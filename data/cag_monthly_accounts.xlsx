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harts/chart1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2.xml" ContentType="application/vnd.ms-office.chartstyle+xml"/>
  <Override PartName="/xl/charts/colors2.xml" ContentType="application/vnd.ms-office.chartcolorstyle+xml"/>
  <Override PartName="/xl/charts/chart14.xml" ContentType="application/vnd.openxmlformats-officedocument.drawingml.chart+xml"/>
  <Override PartName="/xl/charts/style3.xml" ContentType="application/vnd.ms-office.chartstyle+xml"/>
  <Override PartName="/xl/charts/colors3.xml" ContentType="application/vnd.ms-office.chartcolorstyle+xml"/>
  <Override PartName="/xl/charts/chart1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trlProps/ctrlProp11.xml" ContentType="application/vnd.ms-excel.controlproperties+xml"/>
  <Override PartName="/xl/ctrlProps/ctrlProp12.xml" ContentType="application/vnd.ms-excel.controlproperties+xml"/>
  <Override PartName="/xl/charts/chart16.xml" ContentType="application/vnd.openxmlformats-officedocument.drawingml.chart+xml"/>
  <Override PartName="/xl/charts/style5.xml" ContentType="application/vnd.ms-office.chartstyle+xml"/>
  <Override PartName="/xl/charts/colors5.xml" ContentType="application/vnd.ms-office.chartcolorstyle+xml"/>
  <Override PartName="/xl/charts/chart17.xml" ContentType="application/vnd.openxmlformats-officedocument.drawingml.chart+xml"/>
  <Override PartName="/xl/charts/style6.xml" ContentType="application/vnd.ms-office.chartstyle+xml"/>
  <Override PartName="/xl/charts/colors6.xml" ContentType="application/vnd.ms-office.chartcolorstyle+xml"/>
  <Override PartName="/xl/charts/chart18.xml" ContentType="application/vnd.openxmlformats-officedocument.drawingml.chart+xml"/>
  <Override PartName="/xl/charts/style7.xml" ContentType="application/vnd.ms-office.chartstyle+xml"/>
  <Override PartName="/xl/charts/colors7.xml" ContentType="application/vnd.ms-office.chartcolorstyle+xml"/>
  <Override PartName="/xl/charts/chart19.xml" ContentType="application/vnd.openxmlformats-officedocument.drawingml.chart+xml"/>
  <Override PartName="/xl/charts/style8.xml" ContentType="application/vnd.ms-office.chartstyle+xml"/>
  <Override PartName="/xl/charts/colors8.xml" ContentType="application/vnd.ms-office.chartcolorstyle+xml"/>
  <Override PartName="/xl/charts/chart20.xml" ContentType="application/vnd.openxmlformats-officedocument.drawingml.chart+xml"/>
  <Override PartName="/xl/charts/style9.xml" ContentType="application/vnd.ms-office.chartstyle+xml"/>
  <Override PartName="/xl/charts/colors9.xml" ContentType="application/vnd.ms-office.chartcolorstyle+xml"/>
  <Override PartName="/xl/charts/chart21.xml" ContentType="application/vnd.openxmlformats-officedocument.drawingml.chart+xml"/>
  <Override PartName="/xl/charts/style10.xml" ContentType="application/vnd.ms-office.chartstyle+xml"/>
  <Override PartName="/xl/charts/colors10.xml" ContentType="application/vnd.ms-office.chartcolorstyle+xml"/>
  <Override PartName="/xl/charts/chart22.xml" ContentType="application/vnd.openxmlformats-officedocument.drawingml.chart+xml"/>
  <Override PartName="/xl/charts/style11.xml" ContentType="application/vnd.ms-office.chartstyle+xml"/>
  <Override PartName="/xl/charts/colors11.xml" ContentType="application/vnd.ms-office.chartcolorstyle+xml"/>
  <Override PartName="/xl/charts/chart2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24.xml" ContentType="application/vnd.openxmlformats-officedocument.drawingml.chart+xml"/>
  <Override PartName="/xl/charts/style13.xml" ContentType="application/vnd.ms-office.chartstyle+xml"/>
  <Override PartName="/xl/charts/colors13.xml" ContentType="application/vnd.ms-office.chartcolorstyle+xml"/>
  <Override PartName="/xl/charts/chart25.xml" ContentType="application/vnd.openxmlformats-officedocument.drawingml.chart+xml"/>
  <Override PartName="/xl/charts/style14.xml" ContentType="application/vnd.ms-office.chartstyle+xml"/>
  <Override PartName="/xl/charts/colors14.xml" ContentType="application/vnd.ms-office.chartcolorstyle+xml"/>
  <Override PartName="/xl/charts/chart26.xml" ContentType="application/vnd.openxmlformats-officedocument.drawingml.chart+xml"/>
  <Override PartName="/xl/charts/chart27.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0.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harts/chart28.xml" ContentType="application/vnd.openxmlformats-officedocument.drawingml.chart+xml"/>
  <Override PartName="/xl/charts/style16.xml" ContentType="application/vnd.ms-office.chartstyle+xml"/>
  <Override PartName="/xl/charts/colors16.xml" ContentType="application/vnd.ms-office.chartcolorstyle+xml"/>
  <Override PartName="/xl/charts/chart29.xml" ContentType="application/vnd.openxmlformats-officedocument.drawingml.chart+xml"/>
  <Override PartName="/xl/charts/style17.xml" ContentType="application/vnd.ms-office.chartstyle+xml"/>
  <Override PartName="/xl/charts/colors17.xml" ContentType="application/vnd.ms-office.chartcolorstyle+xml"/>
  <Override PartName="/xl/charts/chart30.xml" ContentType="application/vnd.openxmlformats-officedocument.drawingml.chart+xml"/>
  <Override PartName="/xl/charts/style18.xml" ContentType="application/vnd.ms-office.chartstyle+xml"/>
  <Override PartName="/xl/charts/colors18.xml" ContentType="application/vnd.ms-office.chartcolorstyle+xml"/>
  <Override PartName="/xl/charts/chart31.xml" ContentType="application/vnd.openxmlformats-officedocument.drawingml.chart+xml"/>
  <Override PartName="/xl/charts/style19.xml" ContentType="application/vnd.ms-office.chartstyle+xml"/>
  <Override PartName="/xl/charts/colors19.xml" ContentType="application/vnd.ms-office.chartcolorstyle+xml"/>
  <Override PartName="/xl/charts/chart32.xml" ContentType="application/vnd.openxmlformats-officedocument.drawingml.chart+xml"/>
  <Override PartName="/xl/charts/style20.xml" ContentType="application/vnd.ms-office.chartstyle+xml"/>
  <Override PartName="/xl/charts/colors20.xml" ContentType="application/vnd.ms-office.chartcolorstyle+xml"/>
  <Override PartName="/xl/charts/chart33.xml" ContentType="application/vnd.openxmlformats-officedocument.drawingml.chart+xml"/>
  <Override PartName="/xl/charts/style21.xml" ContentType="application/vnd.ms-office.chartstyle+xml"/>
  <Override PartName="/xl/charts/colors21.xml" ContentType="application/vnd.ms-office.chartcolorstyle+xml"/>
  <Override PartName="/xl/charts/chart34.xml" ContentType="application/vnd.openxmlformats-officedocument.drawingml.chart+xml"/>
  <Override PartName="/xl/charts/style22.xml" ContentType="application/vnd.ms-office.chartstyle+xml"/>
  <Override PartName="/xl/charts/colors22.xml" ContentType="application/vnd.ms-office.chartcolorstyle+xml"/>
  <Override PartName="/xl/charts/chart35.xml" ContentType="application/vnd.openxmlformats-officedocument.drawingml.chart+xml"/>
  <Override PartName="/xl/charts/chart36.xml" ContentType="application/vnd.openxmlformats-officedocument.drawingml.chart+xml"/>
  <Override PartName="/xl/charts/style23.xml" ContentType="application/vnd.ms-office.chartstyle+xml"/>
  <Override PartName="/xl/charts/colors23.xml" ContentType="application/vnd.ms-office.chartcolorstyle+xml"/>
  <Override PartName="/xl/charts/chart37.xml" ContentType="application/vnd.openxmlformats-officedocument.drawingml.chart+xml"/>
  <Override PartName="/xl/charts/style24.xml" ContentType="application/vnd.ms-office.chartstyle+xml"/>
  <Override PartName="/xl/charts/colors24.xml" ContentType="application/vnd.ms-office.chartcolorstyle+xml"/>
  <Override PartName="/xl/charts/chart38.xml" ContentType="application/vnd.openxmlformats-officedocument.drawingml.chart+xml"/>
  <Override PartName="/xl/charts/style25.xml" ContentType="application/vnd.ms-office.chartstyle+xml"/>
  <Override PartName="/xl/charts/colors25.xml" ContentType="application/vnd.ms-office.chartcolorstyle+xml"/>
  <Override PartName="/xl/charts/chart39.xml" ContentType="application/vnd.openxmlformats-officedocument.drawingml.chart+xml"/>
  <Override PartName="/xl/charts/style26.xml" ContentType="application/vnd.ms-office.chartstyle+xml"/>
  <Override PartName="/xl/charts/colors26.xml" ContentType="application/vnd.ms-office.chartcolorstyle+xml"/>
  <Override PartName="/xl/charts/chart40.xml" ContentType="application/vnd.openxmlformats-officedocument.drawingml.chart+xml"/>
  <Override PartName="/xl/charts/style27.xml" ContentType="application/vnd.ms-office.chartstyle+xml"/>
  <Override PartName="/xl/charts/colors27.xml" ContentType="application/vnd.ms-office.chartcolorstyle+xml"/>
  <Override PartName="/xl/charts/chart41.xml" ContentType="application/vnd.openxmlformats-officedocument.drawingml.chart+xml"/>
  <Override PartName="/xl/pivotTables/pivotTable2.xml" ContentType="application/vnd.openxmlformats-officedocument.spreadsheetml.pivotTable+xml"/>
  <Override PartName="/xl/drawings/drawing11.xml" ContentType="application/vnd.openxmlformats-officedocument.drawing+xml"/>
  <Override PartName="/xl/charts/chart42.xml" ContentType="application/vnd.openxmlformats-officedocument.drawingml.chart+xml"/>
  <Override PartName="/xl/drawings/drawing1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drawings/drawing13.xml" ContentType="application/vnd.openxmlformats-officedocument.drawing+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drawings/drawing14.xml" ContentType="application/vnd.openxmlformats-officedocument.drawingml.chartshapes+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C:\Users\Asus\Desktop\"/>
    </mc:Choice>
  </mc:AlternateContent>
  <xr:revisionPtr revIDLastSave="0" documentId="8_{88986C84-C268-40CE-97E1-57D2D58994FA}" xr6:coauthVersionLast="47" xr6:coauthVersionMax="47" xr10:uidLastSave="{00000000-0000-0000-0000-000000000000}"/>
  <bookViews>
    <workbookView xWindow="-110" yWindow="-110" windowWidth="19420" windowHeight="11020" xr2:uid="{00000000-000D-0000-FFFF-FFFF00000000}"/>
  </bookViews>
  <sheets>
    <sheet name="Dashboard" sheetId="9" r:id="rId1"/>
    <sheet name="Receipts" sheetId="15" r:id="rId2"/>
    <sheet name="Expenditure" sheetId="16" r:id="rId3"/>
    <sheet name="Deficit" sheetId="17" r:id="rId4"/>
    <sheet name="actual" sheetId="2" r:id="rId5"/>
    <sheet name="BERE" sheetId="6" r:id="rId6"/>
    <sheet name="GDP" sheetId="13" r:id="rId7"/>
    <sheet name="actual2" sheetId="5" r:id="rId8"/>
    <sheet name="BERE2" sheetId="8" r:id="rId9"/>
    <sheet name="Sheet4" sheetId="14" state="veryHidden" r:id="rId10"/>
    <sheet name="Sheet5" sheetId="11" state="veryHidden" r:id="rId11"/>
    <sheet name="Sheet1" sheetId="12" state="veryHidden" r:id="rId12"/>
    <sheet name="Sheet2" sheetId="10" state="veryHidden" r:id="rId13"/>
  </sheets>
  <definedNames>
    <definedName name="_xlnm._FilterDatabase" localSheetId="10" hidden="1">Sheet5!$M$19:$N$41</definedName>
    <definedName name="actual2m">actual2[[#All],[Month]:[Primary Deficit]]</definedName>
    <definedName name="_xlnm.Print_Area" localSheetId="0">Dashboard!$A$1:$AB$46</definedName>
    <definedName name="_xlnm.Print_Area" localSheetId="1">Receipts!$A$1:$AA$52</definedName>
  </definedNames>
  <calcPr calcId="191029"/>
  <pivotCaches>
    <pivotCache cacheId="0"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2" i="2" l="1"/>
  <c r="M141" i="2" l="1"/>
  <c r="M140" i="2" l="1"/>
  <c r="M139" i="2" l="1"/>
  <c r="M138" i="2" l="1"/>
  <c r="M137" i="2" l="1"/>
  <c r="M136" i="2" l="1"/>
  <c r="M135" i="2" l="1"/>
  <c r="M121" i="2" l="1"/>
  <c r="M134" i="2" l="1"/>
  <c r="M133" i="2" l="1"/>
  <c r="M132" i="2" l="1"/>
  <c r="M23" i="6"/>
  <c r="M131" i="2"/>
  <c r="AE124" i="2"/>
  <c r="AF124" i="2" s="1"/>
  <c r="AG124" i="2"/>
  <c r="AH124" i="2" s="1"/>
  <c r="AE125" i="2"/>
  <c r="AF125" i="2" s="1"/>
  <c r="AG125" i="2"/>
  <c r="AH125" i="2" s="1"/>
  <c r="AE126" i="2"/>
  <c r="AF126" i="2" s="1"/>
  <c r="AG126" i="2"/>
  <c r="AH126" i="2" s="1"/>
  <c r="AE127" i="2"/>
  <c r="AF127" i="2" s="1"/>
  <c r="AG127" i="2"/>
  <c r="AH127" i="2" s="1"/>
  <c r="AE128" i="2"/>
  <c r="AF128" i="2" s="1"/>
  <c r="AG128" i="2"/>
  <c r="AH128" i="2" s="1"/>
  <c r="AE129" i="2"/>
  <c r="AF129" i="2" s="1"/>
  <c r="AG129" i="2"/>
  <c r="AH129" i="2" s="1"/>
  <c r="AE130" i="2"/>
  <c r="AF130" i="2" s="1"/>
  <c r="AG130" i="2"/>
  <c r="AH130" i="2" s="1"/>
  <c r="AE131" i="2"/>
  <c r="AF131" i="2" s="1"/>
  <c r="AG131" i="2"/>
  <c r="AH131" i="2" s="1"/>
  <c r="AE132" i="2"/>
  <c r="AF132" i="2" s="1"/>
  <c r="AG132" i="2"/>
  <c r="AH132" i="2" s="1"/>
  <c r="AE133" i="2"/>
  <c r="AF133" i="2" s="1"/>
  <c r="AG133" i="2"/>
  <c r="AH133" i="2" s="1"/>
  <c r="AE134" i="2"/>
  <c r="AF134" i="2" s="1"/>
  <c r="AG134" i="2"/>
  <c r="AH134" i="2" s="1"/>
  <c r="AE135" i="2"/>
  <c r="AF135" i="2" s="1"/>
  <c r="AG135" i="2"/>
  <c r="AH135" i="2" s="1"/>
  <c r="AE136" i="2"/>
  <c r="AF136" i="2" s="1"/>
  <c r="AG136" i="2"/>
  <c r="AH136" i="2" s="1"/>
  <c r="AE137" i="2"/>
  <c r="AF137" i="2" s="1"/>
  <c r="AG137" i="2"/>
  <c r="AH137" i="2" s="1"/>
  <c r="AE138" i="2"/>
  <c r="AF138" i="2" s="1"/>
  <c r="AG138" i="2"/>
  <c r="AH138" i="2" s="1"/>
  <c r="AE139" i="2"/>
  <c r="AF139" i="2" s="1"/>
  <c r="AG139" i="2"/>
  <c r="AH139" i="2" s="1"/>
  <c r="AE140" i="2"/>
  <c r="AF140" i="2" s="1"/>
  <c r="AG140" i="2"/>
  <c r="AH140" i="2" s="1"/>
  <c r="AE141" i="2"/>
  <c r="AF141" i="2" s="1"/>
  <c r="AG141" i="2"/>
  <c r="AH141" i="2" s="1"/>
  <c r="AE142" i="2"/>
  <c r="AF142" i="2" s="1"/>
  <c r="AG142" i="2"/>
  <c r="AH142" i="2" s="1"/>
  <c r="AE143" i="2"/>
  <c r="AF143" i="2" s="1"/>
  <c r="AG143" i="2"/>
  <c r="AH143" i="2" s="1"/>
  <c r="AE144" i="2"/>
  <c r="AF144" i="2" s="1"/>
  <c r="AG144" i="2"/>
  <c r="AH144" i="2" s="1"/>
  <c r="AE145" i="2"/>
  <c r="AF145" i="2" s="1"/>
  <c r="AG145" i="2"/>
  <c r="AH145" i="2"/>
  <c r="AE146" i="2"/>
  <c r="AF146" i="2" s="1"/>
  <c r="AG146" i="2"/>
  <c r="AH146" i="2" s="1"/>
  <c r="AE147" i="2"/>
  <c r="AF147" i="2" s="1"/>
  <c r="AG147" i="2"/>
  <c r="AH147" i="2" s="1"/>
  <c r="AE148" i="2"/>
  <c r="AF148" i="2" s="1"/>
  <c r="AG148" i="2"/>
  <c r="AH148" i="2"/>
  <c r="AE149" i="2"/>
  <c r="AF149" i="2" s="1"/>
  <c r="AG149" i="2"/>
  <c r="AH149" i="2" s="1"/>
  <c r="AE150" i="2"/>
  <c r="AF150" i="2" s="1"/>
  <c r="AG150" i="2"/>
  <c r="AH150" i="2" s="1"/>
  <c r="AH6" i="2"/>
  <c r="AH30" i="2"/>
  <c r="AH31" i="2"/>
  <c r="AH45" i="2"/>
  <c r="AH54" i="2"/>
  <c r="AH55" i="2"/>
  <c r="AH88" i="2"/>
  <c r="AH93" i="2"/>
  <c r="AH117" i="2"/>
  <c r="AF11" i="2"/>
  <c r="AF16" i="2"/>
  <c r="AF64" i="2"/>
  <c r="AF65" i="2"/>
  <c r="AF71" i="2"/>
  <c r="AF95" i="2"/>
  <c r="AE3" i="2"/>
  <c r="AF3" i="2" s="1"/>
  <c r="AE4" i="2"/>
  <c r="AF4" i="2" s="1"/>
  <c r="AE5" i="2"/>
  <c r="AF5" i="2" s="1"/>
  <c r="AE6" i="2"/>
  <c r="AF6" i="2" s="1"/>
  <c r="AE7" i="2"/>
  <c r="AF7" i="2" s="1"/>
  <c r="AE8" i="2"/>
  <c r="AF8" i="2" s="1"/>
  <c r="AE9" i="2"/>
  <c r="AF9" i="2" s="1"/>
  <c r="AE10" i="2"/>
  <c r="AF10" i="2" s="1"/>
  <c r="AE11" i="2"/>
  <c r="AE12" i="2"/>
  <c r="AF12" i="2" s="1"/>
  <c r="AE13" i="2"/>
  <c r="AF13" i="2" s="1"/>
  <c r="AE14" i="2"/>
  <c r="AF14" i="2" s="1"/>
  <c r="AE15" i="2"/>
  <c r="AF15" i="2" s="1"/>
  <c r="AE16" i="2"/>
  <c r="AE17" i="2"/>
  <c r="AF17" i="2" s="1"/>
  <c r="AE18" i="2"/>
  <c r="AF18" i="2" s="1"/>
  <c r="AE19" i="2"/>
  <c r="AF19" i="2" s="1"/>
  <c r="AE20" i="2"/>
  <c r="AF20" i="2" s="1"/>
  <c r="AE21" i="2"/>
  <c r="AF21" i="2" s="1"/>
  <c r="AE22" i="2"/>
  <c r="AF22" i="2" s="1"/>
  <c r="AE23" i="2"/>
  <c r="AF23" i="2" s="1"/>
  <c r="AE24" i="2"/>
  <c r="AF24" i="2" s="1"/>
  <c r="AE25" i="2"/>
  <c r="AF25" i="2" s="1"/>
  <c r="AE26" i="2"/>
  <c r="AF26" i="2" s="1"/>
  <c r="AE27" i="2"/>
  <c r="AF27" i="2" s="1"/>
  <c r="AE28" i="2"/>
  <c r="AF28" i="2" s="1"/>
  <c r="AE29" i="2"/>
  <c r="AF29" i="2" s="1"/>
  <c r="AE30" i="2"/>
  <c r="AF30" i="2" s="1"/>
  <c r="AE31" i="2"/>
  <c r="AF31" i="2" s="1"/>
  <c r="AE32" i="2"/>
  <c r="AF32" i="2" s="1"/>
  <c r="AE33" i="2"/>
  <c r="AF33" i="2" s="1"/>
  <c r="AE34" i="2"/>
  <c r="AF34" i="2" s="1"/>
  <c r="AE35" i="2"/>
  <c r="AF35" i="2" s="1"/>
  <c r="AE36" i="2"/>
  <c r="AF36" i="2" s="1"/>
  <c r="AE37" i="2"/>
  <c r="AF37" i="2" s="1"/>
  <c r="AE38" i="2"/>
  <c r="AF38" i="2" s="1"/>
  <c r="AE39" i="2"/>
  <c r="AF39" i="2" s="1"/>
  <c r="AE40" i="2"/>
  <c r="AF40" i="2" s="1"/>
  <c r="AE41" i="2"/>
  <c r="AF41" i="2" s="1"/>
  <c r="AE42" i="2"/>
  <c r="AF42" i="2" s="1"/>
  <c r="AE43" i="2"/>
  <c r="AF43" i="2" s="1"/>
  <c r="AE44" i="2"/>
  <c r="AF44" i="2" s="1"/>
  <c r="AE45" i="2"/>
  <c r="AF45" i="2" s="1"/>
  <c r="AE46" i="2"/>
  <c r="AF46" i="2" s="1"/>
  <c r="AE47" i="2"/>
  <c r="AF47" i="2" s="1"/>
  <c r="AE48" i="2"/>
  <c r="AF48" i="2" s="1"/>
  <c r="AE49" i="2"/>
  <c r="AF49" i="2" s="1"/>
  <c r="AE50" i="2"/>
  <c r="AF50" i="2" s="1"/>
  <c r="AE51" i="2"/>
  <c r="AF51" i="2" s="1"/>
  <c r="AE52" i="2"/>
  <c r="AF52" i="2" s="1"/>
  <c r="AE53" i="2"/>
  <c r="AF53" i="2" s="1"/>
  <c r="AE54" i="2"/>
  <c r="AF54" i="2" s="1"/>
  <c r="AE55" i="2"/>
  <c r="AF55" i="2" s="1"/>
  <c r="AE56" i="2"/>
  <c r="AF56" i="2" s="1"/>
  <c r="AE57" i="2"/>
  <c r="AF57" i="2" s="1"/>
  <c r="AE58" i="2"/>
  <c r="AF58" i="2" s="1"/>
  <c r="AE59" i="2"/>
  <c r="AF59" i="2" s="1"/>
  <c r="AE60" i="2"/>
  <c r="AF60" i="2" s="1"/>
  <c r="AE61" i="2"/>
  <c r="AF61" i="2" s="1"/>
  <c r="AE62" i="2"/>
  <c r="AF62" i="2" s="1"/>
  <c r="AE63" i="2"/>
  <c r="AF63" i="2" s="1"/>
  <c r="AE64" i="2"/>
  <c r="AE65" i="2"/>
  <c r="AE66" i="2"/>
  <c r="AF66" i="2" s="1"/>
  <c r="AE67" i="2"/>
  <c r="AF67" i="2" s="1"/>
  <c r="AE68" i="2"/>
  <c r="AF68" i="2" s="1"/>
  <c r="AE69" i="2"/>
  <c r="AF69" i="2" s="1"/>
  <c r="AE70" i="2"/>
  <c r="AF70" i="2" s="1"/>
  <c r="AE71" i="2"/>
  <c r="AE72" i="2"/>
  <c r="AF72" i="2" s="1"/>
  <c r="AE73" i="2"/>
  <c r="AF73" i="2" s="1"/>
  <c r="AE74" i="2"/>
  <c r="AF74" i="2" s="1"/>
  <c r="AE75" i="2"/>
  <c r="AF75" i="2" s="1"/>
  <c r="AE76" i="2"/>
  <c r="AF76" i="2" s="1"/>
  <c r="AE77" i="2"/>
  <c r="AF77" i="2" s="1"/>
  <c r="AE78" i="2"/>
  <c r="AF78" i="2" s="1"/>
  <c r="AE79" i="2"/>
  <c r="AF79" i="2" s="1"/>
  <c r="AE80" i="2"/>
  <c r="AF80" i="2" s="1"/>
  <c r="AE81" i="2"/>
  <c r="AF81" i="2" s="1"/>
  <c r="AE82" i="2"/>
  <c r="AF82" i="2" s="1"/>
  <c r="AE83" i="2"/>
  <c r="AF83" i="2" s="1"/>
  <c r="AE84" i="2"/>
  <c r="AF84" i="2" s="1"/>
  <c r="AE85" i="2"/>
  <c r="AF85" i="2" s="1"/>
  <c r="AE86" i="2"/>
  <c r="AF86" i="2" s="1"/>
  <c r="AE87" i="2"/>
  <c r="AF87" i="2" s="1"/>
  <c r="AE88" i="2"/>
  <c r="AF88" i="2" s="1"/>
  <c r="AE89" i="2"/>
  <c r="AF89" i="2" s="1"/>
  <c r="AE90" i="2"/>
  <c r="AF90" i="2" s="1"/>
  <c r="AE91" i="2"/>
  <c r="AF91" i="2" s="1"/>
  <c r="AE92" i="2"/>
  <c r="AF92" i="2" s="1"/>
  <c r="AE93" i="2"/>
  <c r="AF93" i="2" s="1"/>
  <c r="AE94" i="2"/>
  <c r="AF94" i="2" s="1"/>
  <c r="AE95" i="2"/>
  <c r="AE96" i="2"/>
  <c r="AF96" i="2" s="1"/>
  <c r="AE97" i="2"/>
  <c r="AF97" i="2" s="1"/>
  <c r="AE98" i="2"/>
  <c r="AF98" i="2" s="1"/>
  <c r="AE99" i="2"/>
  <c r="AF99" i="2" s="1"/>
  <c r="AE100" i="2"/>
  <c r="AF100" i="2" s="1"/>
  <c r="AE101" i="2"/>
  <c r="AF101" i="2" s="1"/>
  <c r="AE102" i="2"/>
  <c r="AF102" i="2" s="1"/>
  <c r="AE103" i="2"/>
  <c r="AF103" i="2" s="1"/>
  <c r="AE104" i="2"/>
  <c r="AF104" i="2" s="1"/>
  <c r="AE105" i="2"/>
  <c r="AF105" i="2" s="1"/>
  <c r="AE106" i="2"/>
  <c r="AF106" i="2" s="1"/>
  <c r="AE107" i="2"/>
  <c r="AF107" i="2" s="1"/>
  <c r="AE108" i="2"/>
  <c r="AF108" i="2" s="1"/>
  <c r="AE109" i="2"/>
  <c r="AF109" i="2" s="1"/>
  <c r="AE110" i="2"/>
  <c r="AF110" i="2" s="1"/>
  <c r="AE111" i="2"/>
  <c r="AF111" i="2" s="1"/>
  <c r="AE112" i="2"/>
  <c r="AF112" i="2" s="1"/>
  <c r="AE113" i="2"/>
  <c r="AF113" i="2" s="1"/>
  <c r="AE114" i="2"/>
  <c r="AF114" i="2" s="1"/>
  <c r="AE115" i="2"/>
  <c r="AF115" i="2" s="1"/>
  <c r="AE116" i="2"/>
  <c r="AF116" i="2" s="1"/>
  <c r="AE117" i="2"/>
  <c r="AF117" i="2" s="1"/>
  <c r="AE118" i="2"/>
  <c r="AF118" i="2" s="1"/>
  <c r="AE119" i="2"/>
  <c r="AF119" i="2" s="1"/>
  <c r="AE120" i="2"/>
  <c r="AF120" i="2" s="1"/>
  <c r="AE121" i="2"/>
  <c r="AF121" i="2" s="1"/>
  <c r="AE122" i="2"/>
  <c r="AF122" i="2" s="1"/>
  <c r="AE123" i="2"/>
  <c r="AF123" i="2" s="1"/>
  <c r="AE2" i="2"/>
  <c r="AF2" i="2" s="1"/>
  <c r="AG3" i="2"/>
  <c r="AH3" i="2" s="1"/>
  <c r="AG4" i="2"/>
  <c r="AH4" i="2" s="1"/>
  <c r="AG5" i="2"/>
  <c r="AH5" i="2" s="1"/>
  <c r="AG6" i="2"/>
  <c r="AG7" i="2"/>
  <c r="AH7" i="2" s="1"/>
  <c r="AG8" i="2"/>
  <c r="AH8" i="2" s="1"/>
  <c r="AG9" i="2"/>
  <c r="AH9" i="2" s="1"/>
  <c r="AG10" i="2"/>
  <c r="AH10" i="2" s="1"/>
  <c r="AG11" i="2"/>
  <c r="AH11" i="2" s="1"/>
  <c r="AG12" i="2"/>
  <c r="AH12" i="2" s="1"/>
  <c r="AG13" i="2"/>
  <c r="AH13" i="2" s="1"/>
  <c r="AG14" i="2"/>
  <c r="AH14" i="2" s="1"/>
  <c r="AG15" i="2"/>
  <c r="AH15" i="2" s="1"/>
  <c r="AG16" i="2"/>
  <c r="AH16" i="2" s="1"/>
  <c r="AG17" i="2"/>
  <c r="AH17" i="2" s="1"/>
  <c r="AG18" i="2"/>
  <c r="AH18" i="2" s="1"/>
  <c r="AG19" i="2"/>
  <c r="AH19" i="2" s="1"/>
  <c r="AG20" i="2"/>
  <c r="AH20" i="2" s="1"/>
  <c r="AG21" i="2"/>
  <c r="AH21" i="2" s="1"/>
  <c r="AG22" i="2"/>
  <c r="AH22" i="2" s="1"/>
  <c r="AG23" i="2"/>
  <c r="AH23" i="2" s="1"/>
  <c r="AG24" i="2"/>
  <c r="AH24" i="2" s="1"/>
  <c r="AG25" i="2"/>
  <c r="AH25" i="2" s="1"/>
  <c r="AG26" i="2"/>
  <c r="AH26" i="2" s="1"/>
  <c r="AG27" i="2"/>
  <c r="AH27" i="2" s="1"/>
  <c r="AG28" i="2"/>
  <c r="AH28" i="2" s="1"/>
  <c r="AG29" i="2"/>
  <c r="AH29" i="2" s="1"/>
  <c r="AG30" i="2"/>
  <c r="AG31" i="2"/>
  <c r="AG32" i="2"/>
  <c r="AH32" i="2" s="1"/>
  <c r="AG33" i="2"/>
  <c r="AH33" i="2" s="1"/>
  <c r="AG34" i="2"/>
  <c r="AH34" i="2" s="1"/>
  <c r="AG35" i="2"/>
  <c r="AH35" i="2" s="1"/>
  <c r="AG36" i="2"/>
  <c r="AH36" i="2" s="1"/>
  <c r="AG37" i="2"/>
  <c r="AH37" i="2" s="1"/>
  <c r="AG38" i="2"/>
  <c r="AH38" i="2" s="1"/>
  <c r="AG39" i="2"/>
  <c r="AH39" i="2" s="1"/>
  <c r="AG40" i="2"/>
  <c r="AH40" i="2" s="1"/>
  <c r="AG41" i="2"/>
  <c r="AH41" i="2" s="1"/>
  <c r="AG42" i="2"/>
  <c r="AH42" i="2" s="1"/>
  <c r="AG43" i="2"/>
  <c r="AH43" i="2" s="1"/>
  <c r="AG44" i="2"/>
  <c r="AH44" i="2" s="1"/>
  <c r="AG45" i="2"/>
  <c r="AG46" i="2"/>
  <c r="AH46" i="2" s="1"/>
  <c r="AG47" i="2"/>
  <c r="AH47" i="2" s="1"/>
  <c r="AG48" i="2"/>
  <c r="AH48" i="2" s="1"/>
  <c r="AG49" i="2"/>
  <c r="AH49" i="2" s="1"/>
  <c r="AG50" i="2"/>
  <c r="AH50" i="2" s="1"/>
  <c r="AG51" i="2"/>
  <c r="AH51" i="2" s="1"/>
  <c r="AG52" i="2"/>
  <c r="AH52" i="2" s="1"/>
  <c r="AG53" i="2"/>
  <c r="AH53" i="2" s="1"/>
  <c r="AG54" i="2"/>
  <c r="AG55" i="2"/>
  <c r="AG56" i="2"/>
  <c r="AH56" i="2" s="1"/>
  <c r="AG57" i="2"/>
  <c r="AH57" i="2" s="1"/>
  <c r="AG58" i="2"/>
  <c r="AH58" i="2" s="1"/>
  <c r="AG59" i="2"/>
  <c r="AH59" i="2" s="1"/>
  <c r="AG60" i="2"/>
  <c r="AH60" i="2" s="1"/>
  <c r="AG61" i="2"/>
  <c r="AH61" i="2" s="1"/>
  <c r="AG62" i="2"/>
  <c r="AH62" i="2" s="1"/>
  <c r="AG63" i="2"/>
  <c r="AH63" i="2" s="1"/>
  <c r="AG64" i="2"/>
  <c r="AH64" i="2" s="1"/>
  <c r="AG65" i="2"/>
  <c r="AH65" i="2" s="1"/>
  <c r="AG66" i="2"/>
  <c r="AH66" i="2" s="1"/>
  <c r="AG67" i="2"/>
  <c r="AH67" i="2" s="1"/>
  <c r="AG68" i="2"/>
  <c r="AH68" i="2" s="1"/>
  <c r="AG69" i="2"/>
  <c r="AH69" i="2" s="1"/>
  <c r="AG70" i="2"/>
  <c r="AH70" i="2" s="1"/>
  <c r="AG71" i="2"/>
  <c r="AH71" i="2" s="1"/>
  <c r="AG72" i="2"/>
  <c r="AH72" i="2" s="1"/>
  <c r="AG73" i="2"/>
  <c r="AH73" i="2" s="1"/>
  <c r="AG74" i="2"/>
  <c r="AH74" i="2" s="1"/>
  <c r="AG75" i="2"/>
  <c r="AH75" i="2" s="1"/>
  <c r="AG76" i="2"/>
  <c r="AH76" i="2" s="1"/>
  <c r="AG77" i="2"/>
  <c r="AH77" i="2" s="1"/>
  <c r="AG78" i="2"/>
  <c r="AH78" i="2" s="1"/>
  <c r="AG79" i="2"/>
  <c r="AH79" i="2" s="1"/>
  <c r="AG80" i="2"/>
  <c r="AH80" i="2" s="1"/>
  <c r="AG81" i="2"/>
  <c r="AH81" i="2" s="1"/>
  <c r="AG82" i="2"/>
  <c r="AH82" i="2" s="1"/>
  <c r="AG83" i="2"/>
  <c r="AH83" i="2" s="1"/>
  <c r="AG84" i="2"/>
  <c r="AH84" i="2" s="1"/>
  <c r="AG85" i="2"/>
  <c r="AH85" i="2" s="1"/>
  <c r="AG86" i="2"/>
  <c r="AH86" i="2" s="1"/>
  <c r="AG87" i="2"/>
  <c r="AH87" i="2" s="1"/>
  <c r="AG88" i="2"/>
  <c r="AG89" i="2"/>
  <c r="AH89" i="2" s="1"/>
  <c r="AG90" i="2"/>
  <c r="AH90" i="2" s="1"/>
  <c r="AG91" i="2"/>
  <c r="AH91" i="2" s="1"/>
  <c r="AG92" i="2"/>
  <c r="AH92" i="2" s="1"/>
  <c r="AG93" i="2"/>
  <c r="AG94" i="2"/>
  <c r="AH94" i="2" s="1"/>
  <c r="AG95" i="2"/>
  <c r="AH95" i="2" s="1"/>
  <c r="AG96" i="2"/>
  <c r="AH96" i="2" s="1"/>
  <c r="AG97" i="2"/>
  <c r="AH97" i="2" s="1"/>
  <c r="AG98" i="2"/>
  <c r="AH98" i="2" s="1"/>
  <c r="AG99" i="2"/>
  <c r="AH99" i="2" s="1"/>
  <c r="AG100" i="2"/>
  <c r="AH100" i="2" s="1"/>
  <c r="AG101" i="2"/>
  <c r="AH101" i="2" s="1"/>
  <c r="AG102" i="2"/>
  <c r="AH102" i="2" s="1"/>
  <c r="AG103" i="2"/>
  <c r="AH103" i="2" s="1"/>
  <c r="AG104" i="2"/>
  <c r="AH104" i="2" s="1"/>
  <c r="AG105" i="2"/>
  <c r="AH105" i="2" s="1"/>
  <c r="AG106" i="2"/>
  <c r="AH106" i="2" s="1"/>
  <c r="AG107" i="2"/>
  <c r="AH107" i="2" s="1"/>
  <c r="AG108" i="2"/>
  <c r="AH108" i="2" s="1"/>
  <c r="AG109" i="2"/>
  <c r="AH109" i="2" s="1"/>
  <c r="AG110" i="2"/>
  <c r="AH110" i="2" s="1"/>
  <c r="AG111" i="2"/>
  <c r="AH111" i="2" s="1"/>
  <c r="AG112" i="2"/>
  <c r="AH112" i="2" s="1"/>
  <c r="AG113" i="2"/>
  <c r="AH113" i="2" s="1"/>
  <c r="AG114" i="2"/>
  <c r="AH114" i="2" s="1"/>
  <c r="AG115" i="2"/>
  <c r="AH115" i="2" s="1"/>
  <c r="AG116" i="2"/>
  <c r="AH116" i="2" s="1"/>
  <c r="AG117" i="2"/>
  <c r="AG118" i="2"/>
  <c r="AH118" i="2" s="1"/>
  <c r="AG119" i="2"/>
  <c r="AH119" i="2" s="1"/>
  <c r="AG120" i="2"/>
  <c r="AH120" i="2" s="1"/>
  <c r="AG121" i="2"/>
  <c r="AH121" i="2" s="1"/>
  <c r="AG122" i="2"/>
  <c r="AH122" i="2" s="1"/>
  <c r="AG123" i="2"/>
  <c r="AH123" i="2" s="1"/>
  <c r="AG2" i="2"/>
  <c r="AH2" i="2" s="1"/>
  <c r="AD3" i="2"/>
  <c r="AD2" i="2"/>
  <c r="A42" i="14" l="1"/>
  <c r="A175" i="14" s="1"/>
  <c r="A41" i="14"/>
  <c r="A174" i="14" s="1"/>
  <c r="A40" i="14"/>
  <c r="A173" i="14" s="1"/>
  <c r="A45" i="14" l="1"/>
  <c r="A47" i="14"/>
  <c r="A46" i="14"/>
  <c r="A22" i="14"/>
  <c r="A20" i="14"/>
  <c r="A149" i="14" s="1"/>
  <c r="A152" i="14" s="1"/>
  <c r="A21" i="14"/>
  <c r="A26" i="14"/>
  <c r="A34" i="14" s="1"/>
  <c r="A27" i="14"/>
  <c r="A35" i="14" s="1"/>
  <c r="A28" i="14"/>
  <c r="A36" i="14" s="1"/>
  <c r="A29" i="14"/>
  <c r="A37" i="14" s="1"/>
  <c r="A30" i="14"/>
  <c r="A38" i="14" s="1"/>
  <c r="A25" i="14"/>
  <c r="A33" i="14" s="1"/>
  <c r="A32" i="14" l="1"/>
  <c r="A44" i="14"/>
  <c r="A129" i="14"/>
  <c r="A134" i="14"/>
  <c r="A133" i="14"/>
  <c r="A132" i="14"/>
  <c r="A155" i="14"/>
  <c r="A158" i="14"/>
  <c r="A131" i="14"/>
  <c r="A130" i="14"/>
  <c r="A122" i="14"/>
  <c r="A123" i="14"/>
  <c r="A161" i="14" l="1"/>
  <c r="A164" i="14"/>
  <c r="A167" i="14" s="1"/>
  <c r="A170" i="14" s="1"/>
  <c r="A111" i="14"/>
  <c r="A116" i="14" s="1"/>
  <c r="A125" i="14" l="1"/>
  <c r="A124" i="14"/>
  <c r="H104" i="14"/>
  <c r="H103" i="14"/>
  <c r="H105" i="14" l="1"/>
  <c r="A19" i="14"/>
  <c r="A104" i="14" s="1"/>
  <c r="A18" i="14"/>
  <c r="A103" i="14" s="1"/>
  <c r="H99" i="14"/>
  <c r="H98" i="14"/>
  <c r="A16" i="14"/>
  <c r="A99" i="14" s="1"/>
  <c r="A15" i="14"/>
  <c r="A98" i="14" s="1"/>
  <c r="H94" i="14"/>
  <c r="H93" i="14"/>
  <c r="H92" i="14"/>
  <c r="I105" i="14" l="1"/>
  <c r="A110" i="14"/>
  <c r="A115" i="14" s="1"/>
  <c r="A121" i="14"/>
  <c r="A109" i="14"/>
  <c r="A114" i="14" s="1"/>
  <c r="A120" i="14"/>
  <c r="H100" i="14"/>
  <c r="H95" i="14"/>
  <c r="I95" i="14" s="1"/>
  <c r="A13" i="14"/>
  <c r="A94" i="14" s="1"/>
  <c r="A12" i="14"/>
  <c r="A93" i="14" s="1"/>
  <c r="A11" i="14"/>
  <c r="A92" i="14" s="1"/>
  <c r="I100" i="14" l="1"/>
  <c r="H88" i="14" l="1"/>
  <c r="H87" i="14"/>
  <c r="A87" i="14"/>
  <c r="H89" i="14" l="1"/>
  <c r="P5" i="14"/>
  <c r="P4" i="14"/>
  <c r="P3" i="14"/>
  <c r="I89" i="14" l="1"/>
  <c r="P6" i="14"/>
  <c r="Q6" i="14" s="1"/>
  <c r="A6" i="14" l="1"/>
  <c r="A63" i="14" s="1"/>
  <c r="A5" i="14"/>
  <c r="A4" i="14"/>
  <c r="A3" i="14"/>
  <c r="A76" i="14" l="1"/>
  <c r="A81" i="14" s="1"/>
  <c r="A9" i="14"/>
  <c r="A88" i="14" s="1"/>
  <c r="A62" i="14"/>
  <c r="A78" i="14"/>
  <c r="A83" i="14" s="1"/>
  <c r="A60" i="14"/>
  <c r="A61" i="14"/>
  <c r="A77" i="14"/>
  <c r="A82" i="14" s="1"/>
  <c r="A16" i="8"/>
  <c r="B16" i="8"/>
  <c r="C16" i="8"/>
  <c r="D16" i="8" s="1"/>
  <c r="E16" i="8"/>
  <c r="G16" i="8"/>
  <c r="I16" i="8"/>
  <c r="J16" i="8"/>
  <c r="A17" i="8"/>
  <c r="B17" i="8"/>
  <c r="C17" i="8"/>
  <c r="D17" i="8" s="1"/>
  <c r="E17" i="8"/>
  <c r="G17" i="8"/>
  <c r="I17" i="8"/>
  <c r="J17" i="8"/>
  <c r="A18" i="8"/>
  <c r="B18" i="8"/>
  <c r="C18" i="8"/>
  <c r="D18" i="8" s="1"/>
  <c r="E18" i="8"/>
  <c r="G18" i="8"/>
  <c r="I18" i="8"/>
  <c r="J18" i="8"/>
  <c r="A19" i="8"/>
  <c r="B19" i="8"/>
  <c r="C19" i="8"/>
  <c r="D19" i="8" s="1"/>
  <c r="E19" i="8"/>
  <c r="G19" i="8"/>
  <c r="I19" i="8"/>
  <c r="J19" i="8"/>
  <c r="A20" i="8"/>
  <c r="B20" i="8"/>
  <c r="C20" i="8"/>
  <c r="D20" i="8" s="1"/>
  <c r="E20" i="8"/>
  <c r="G20" i="8"/>
  <c r="I20" i="8"/>
  <c r="J20" i="8"/>
  <c r="A21" i="8"/>
  <c r="B21" i="8"/>
  <c r="C21" i="8"/>
  <c r="D21" i="8" s="1"/>
  <c r="E21" i="8"/>
  <c r="G21" i="8"/>
  <c r="I21" i="8"/>
  <c r="J21" i="8"/>
  <c r="A22" i="8"/>
  <c r="B22" i="8"/>
  <c r="C22" i="8"/>
  <c r="D22" i="8" s="1"/>
  <c r="E22" i="8"/>
  <c r="G22" i="8"/>
  <c r="I22" i="8"/>
  <c r="J22" i="8"/>
  <c r="A23" i="8"/>
  <c r="B23" i="8"/>
  <c r="C23" i="8"/>
  <c r="D23" i="8" s="1"/>
  <c r="E23" i="8"/>
  <c r="G23" i="8"/>
  <c r="I23" i="8"/>
  <c r="J23" i="8"/>
  <c r="A24" i="8"/>
  <c r="B24" i="8"/>
  <c r="C24" i="8"/>
  <c r="D24" i="8" s="1"/>
  <c r="E24" i="8"/>
  <c r="G24" i="8"/>
  <c r="I24" i="8"/>
  <c r="J24" i="8"/>
  <c r="A25" i="8"/>
  <c r="B25" i="8"/>
  <c r="C25" i="8"/>
  <c r="D25" i="8" s="1"/>
  <c r="E25" i="8"/>
  <c r="G25" i="8"/>
  <c r="I25" i="8"/>
  <c r="J25" i="8"/>
  <c r="A26" i="8"/>
  <c r="B26" i="8"/>
  <c r="C26" i="8"/>
  <c r="D26" i="8" s="1"/>
  <c r="E26" i="8"/>
  <c r="G26" i="8"/>
  <c r="I26" i="8"/>
  <c r="J26" i="8"/>
  <c r="A27" i="8"/>
  <c r="B27" i="8"/>
  <c r="C27" i="8"/>
  <c r="D27" i="8" s="1"/>
  <c r="E27" i="8"/>
  <c r="G27" i="8"/>
  <c r="I27" i="8"/>
  <c r="J27" i="8"/>
  <c r="A28" i="8"/>
  <c r="B28" i="8"/>
  <c r="C28" i="8"/>
  <c r="D28" i="8" s="1"/>
  <c r="E28" i="8"/>
  <c r="G28" i="8"/>
  <c r="I28" i="8"/>
  <c r="J28" i="8"/>
  <c r="A29" i="8"/>
  <c r="B29" i="8"/>
  <c r="C29" i="8"/>
  <c r="D29" i="8" s="1"/>
  <c r="E29" i="8"/>
  <c r="G29" i="8"/>
  <c r="I29" i="8"/>
  <c r="J29" i="8"/>
  <c r="A30" i="8"/>
  <c r="B30" i="8"/>
  <c r="C30" i="8"/>
  <c r="D30" i="8" s="1"/>
  <c r="E30" i="8"/>
  <c r="G30" i="8"/>
  <c r="I30" i="8"/>
  <c r="J30" i="8"/>
  <c r="A31" i="8"/>
  <c r="B31" i="8"/>
  <c r="C31" i="8"/>
  <c r="D31" i="8" s="1"/>
  <c r="E31" i="8"/>
  <c r="G31" i="8"/>
  <c r="I31" i="8"/>
  <c r="J31" i="8"/>
  <c r="A32" i="8"/>
  <c r="B32" i="8"/>
  <c r="C32" i="8"/>
  <c r="D32" i="8" s="1"/>
  <c r="E32" i="8"/>
  <c r="G32" i="8"/>
  <c r="I32" i="8"/>
  <c r="J32" i="8"/>
  <c r="A33" i="8"/>
  <c r="B33" i="8"/>
  <c r="C33" i="8"/>
  <c r="D33" i="8" s="1"/>
  <c r="E33" i="8"/>
  <c r="G33" i="8"/>
  <c r="I33" i="8"/>
  <c r="J33" i="8"/>
  <c r="A34" i="8"/>
  <c r="B34" i="8"/>
  <c r="C34" i="8"/>
  <c r="D34" i="8" s="1"/>
  <c r="E34" i="8"/>
  <c r="G34" i="8"/>
  <c r="I34" i="8"/>
  <c r="J34" i="8"/>
  <c r="A35" i="8"/>
  <c r="B35" i="8"/>
  <c r="C35" i="8"/>
  <c r="D35" i="8" s="1"/>
  <c r="E35" i="8"/>
  <c r="G35" i="8"/>
  <c r="I35" i="8"/>
  <c r="J35" i="8"/>
  <c r="A36" i="8"/>
  <c r="B36" i="8"/>
  <c r="C36" i="8"/>
  <c r="D36" i="8" s="1"/>
  <c r="E36" i="8"/>
  <c r="G36" i="8"/>
  <c r="I36" i="8"/>
  <c r="J36" i="8"/>
  <c r="A37" i="8"/>
  <c r="B37" i="8"/>
  <c r="C37" i="8"/>
  <c r="D37" i="8" s="1"/>
  <c r="E37" i="8"/>
  <c r="G37" i="8"/>
  <c r="I37" i="8"/>
  <c r="J37" i="8"/>
  <c r="A38" i="8"/>
  <c r="B38" i="8"/>
  <c r="C38" i="8"/>
  <c r="D38" i="8" s="1"/>
  <c r="E38" i="8"/>
  <c r="G38" i="8"/>
  <c r="I38" i="8"/>
  <c r="J38" i="8"/>
  <c r="A39" i="8"/>
  <c r="B39" i="8"/>
  <c r="C39" i="8"/>
  <c r="D39" i="8" s="1"/>
  <c r="E39" i="8"/>
  <c r="G39" i="8"/>
  <c r="I39" i="8"/>
  <c r="J39" i="8"/>
  <c r="A40" i="8"/>
  <c r="B40" i="8"/>
  <c r="C40" i="8"/>
  <c r="D40" i="8" s="1"/>
  <c r="E40" i="8"/>
  <c r="G40" i="8"/>
  <c r="I40" i="8"/>
  <c r="J40" i="8"/>
  <c r="A41" i="8"/>
  <c r="B41" i="8"/>
  <c r="C41" i="8"/>
  <c r="D41" i="8" s="1"/>
  <c r="E41" i="8"/>
  <c r="G41" i="8"/>
  <c r="I41" i="8"/>
  <c r="J41" i="8"/>
  <c r="A42" i="8"/>
  <c r="B42" i="8"/>
  <c r="C42" i="8"/>
  <c r="D42" i="8" s="1"/>
  <c r="E42" i="8"/>
  <c r="G42" i="8"/>
  <c r="I42" i="8"/>
  <c r="J42" i="8"/>
  <c r="A43" i="8"/>
  <c r="B43" i="8"/>
  <c r="C43" i="8"/>
  <c r="D43" i="8" s="1"/>
  <c r="F43" i="8" s="1"/>
  <c r="E43" i="8"/>
  <c r="G43" i="8"/>
  <c r="I43" i="8"/>
  <c r="J43" i="8"/>
  <c r="A44" i="8"/>
  <c r="B44" i="8"/>
  <c r="C44" i="8"/>
  <c r="D44" i="8"/>
  <c r="E44" i="8"/>
  <c r="G44" i="8"/>
  <c r="I44" i="8"/>
  <c r="J44" i="8"/>
  <c r="F37" i="8" l="1"/>
  <c r="F35" i="8"/>
  <c r="F17" i="8"/>
  <c r="L17" i="8" s="1"/>
  <c r="M17" i="8" s="1"/>
  <c r="F24" i="8"/>
  <c r="F19" i="8"/>
  <c r="H19" i="8" s="1"/>
  <c r="K19" i="8" s="1"/>
  <c r="N19" i="8" s="1"/>
  <c r="F22" i="8"/>
  <c r="L22" i="8" s="1"/>
  <c r="M22" i="8" s="1"/>
  <c r="F30" i="8"/>
  <c r="H30" i="8" s="1"/>
  <c r="K30" i="8" s="1"/>
  <c r="N30" i="8" s="1"/>
  <c r="F25" i="8"/>
  <c r="H25" i="8" s="1"/>
  <c r="K25" i="8" s="1"/>
  <c r="N25" i="8" s="1"/>
  <c r="F44" i="8"/>
  <c r="L44" i="8" s="1"/>
  <c r="M44" i="8" s="1"/>
  <c r="F26" i="8"/>
  <c r="F39" i="8"/>
  <c r="L39" i="8" s="1"/>
  <c r="M39" i="8" s="1"/>
  <c r="F42" i="8"/>
  <c r="H42" i="8" s="1"/>
  <c r="K42" i="8" s="1"/>
  <c r="N42" i="8" s="1"/>
  <c r="F28" i="8"/>
  <c r="H28" i="8" s="1"/>
  <c r="K28" i="8" s="1"/>
  <c r="N28" i="8" s="1"/>
  <c r="F32" i="8"/>
  <c r="L32" i="8" s="1"/>
  <c r="M32" i="8" s="1"/>
  <c r="F27" i="8"/>
  <c r="H27" i="8" s="1"/>
  <c r="K27" i="8" s="1"/>
  <c r="N27" i="8" s="1"/>
  <c r="F38" i="8"/>
  <c r="H38" i="8" s="1"/>
  <c r="K38" i="8" s="1"/>
  <c r="N38" i="8" s="1"/>
  <c r="F20" i="8"/>
  <c r="H20" i="8" s="1"/>
  <c r="K20" i="8" s="1"/>
  <c r="N20" i="8" s="1"/>
  <c r="F33" i="8"/>
  <c r="H33" i="8" s="1"/>
  <c r="K33" i="8" s="1"/>
  <c r="N33" i="8" s="1"/>
  <c r="F36" i="8"/>
  <c r="H36" i="8" s="1"/>
  <c r="K36" i="8" s="1"/>
  <c r="N36" i="8" s="1"/>
  <c r="L26" i="8"/>
  <c r="M26" i="8" s="1"/>
  <c r="H26" i="8"/>
  <c r="K26" i="8" s="1"/>
  <c r="N26" i="8" s="1"/>
  <c r="H24" i="8"/>
  <c r="K24" i="8" s="1"/>
  <c r="N24" i="8" s="1"/>
  <c r="L24" i="8"/>
  <c r="M24" i="8" s="1"/>
  <c r="F31" i="8"/>
  <c r="H31" i="8" s="1"/>
  <c r="K31" i="8" s="1"/>
  <c r="N31" i="8" s="1"/>
  <c r="F21" i="8"/>
  <c r="H21" i="8" s="1"/>
  <c r="K21" i="8" s="1"/>
  <c r="N21" i="8" s="1"/>
  <c r="F16" i="8"/>
  <c r="L16" i="8" s="1"/>
  <c r="M16" i="8" s="1"/>
  <c r="F34" i="8"/>
  <c r="H34" i="8" s="1"/>
  <c r="K34" i="8" s="1"/>
  <c r="N34" i="8" s="1"/>
  <c r="F40" i="8"/>
  <c r="H40" i="8" s="1"/>
  <c r="K40" i="8" s="1"/>
  <c r="N40" i="8" s="1"/>
  <c r="F29" i="8"/>
  <c r="L29" i="8" s="1"/>
  <c r="M29" i="8" s="1"/>
  <c r="F18" i="8"/>
  <c r="L18" i="8" s="1"/>
  <c r="M18" i="8" s="1"/>
  <c r="F41" i="8"/>
  <c r="H41" i="8" s="1"/>
  <c r="K41" i="8" s="1"/>
  <c r="N41" i="8" s="1"/>
  <c r="F23" i="8"/>
  <c r="L23" i="8" s="1"/>
  <c r="M23" i="8" s="1"/>
  <c r="H43" i="8"/>
  <c r="K43" i="8" s="1"/>
  <c r="N43" i="8" s="1"/>
  <c r="L43" i="8"/>
  <c r="M43" i="8" s="1"/>
  <c r="L19" i="8"/>
  <c r="M19" i="8" s="1"/>
  <c r="L37" i="8"/>
  <c r="M37" i="8" s="1"/>
  <c r="H37" i="8"/>
  <c r="K37" i="8" s="1"/>
  <c r="N37" i="8" s="1"/>
  <c r="L35" i="8"/>
  <c r="M35" i="8" s="1"/>
  <c r="H35" i="8"/>
  <c r="K35" i="8" s="1"/>
  <c r="N35" i="8" s="1"/>
  <c r="A97" i="5"/>
  <c r="B97" i="5"/>
  <c r="C97" i="5"/>
  <c r="D97" i="5" s="1"/>
  <c r="E97" i="5"/>
  <c r="G97" i="5"/>
  <c r="I97" i="5"/>
  <c r="J97" i="5"/>
  <c r="A98" i="5"/>
  <c r="B98" i="5"/>
  <c r="C98" i="5"/>
  <c r="D98" i="5" s="1"/>
  <c r="E98" i="5"/>
  <c r="G98" i="5"/>
  <c r="I98" i="5"/>
  <c r="J98" i="5"/>
  <c r="A99" i="5"/>
  <c r="B99" i="5"/>
  <c r="C99" i="5"/>
  <c r="D99" i="5" s="1"/>
  <c r="E99" i="5"/>
  <c r="G99" i="5"/>
  <c r="I99" i="5"/>
  <c r="J99" i="5"/>
  <c r="A100" i="5"/>
  <c r="B100" i="5"/>
  <c r="C100" i="5"/>
  <c r="D100" i="5" s="1"/>
  <c r="E100" i="5"/>
  <c r="G100" i="5"/>
  <c r="I100" i="5"/>
  <c r="J100" i="5"/>
  <c r="A101" i="5"/>
  <c r="B101" i="5"/>
  <c r="C101" i="5"/>
  <c r="D101" i="5" s="1"/>
  <c r="E101" i="5"/>
  <c r="G101" i="5"/>
  <c r="I101" i="5"/>
  <c r="J101" i="5"/>
  <c r="A102" i="5"/>
  <c r="B102" i="5"/>
  <c r="C102" i="5"/>
  <c r="D102" i="5" s="1"/>
  <c r="E102" i="5"/>
  <c r="G102" i="5"/>
  <c r="I102" i="5"/>
  <c r="J102" i="5"/>
  <c r="A103" i="5"/>
  <c r="B103" i="5"/>
  <c r="C103" i="5"/>
  <c r="D103" i="5" s="1"/>
  <c r="E103" i="5"/>
  <c r="G103" i="5"/>
  <c r="I103" i="5"/>
  <c r="J103" i="5"/>
  <c r="A104" i="5"/>
  <c r="B104" i="5"/>
  <c r="C104" i="5"/>
  <c r="D104" i="5" s="1"/>
  <c r="E104" i="5"/>
  <c r="G104" i="5"/>
  <c r="I104" i="5"/>
  <c r="J104" i="5"/>
  <c r="A105" i="5"/>
  <c r="B105" i="5"/>
  <c r="C105" i="5"/>
  <c r="D105" i="5" s="1"/>
  <c r="E105" i="5"/>
  <c r="G105" i="5"/>
  <c r="I105" i="5"/>
  <c r="J105" i="5"/>
  <c r="A106" i="5"/>
  <c r="B106" i="5"/>
  <c r="C106" i="5"/>
  <c r="D106" i="5" s="1"/>
  <c r="E106" i="5"/>
  <c r="G106" i="5"/>
  <c r="I106" i="5"/>
  <c r="J106" i="5"/>
  <c r="A107" i="5"/>
  <c r="B107" i="5"/>
  <c r="C107" i="5"/>
  <c r="D107" i="5" s="1"/>
  <c r="E107" i="5"/>
  <c r="G107" i="5"/>
  <c r="I107" i="5"/>
  <c r="J107" i="5"/>
  <c r="A108" i="5"/>
  <c r="B108" i="5"/>
  <c r="C108" i="5"/>
  <c r="D108" i="5" s="1"/>
  <c r="E108" i="5"/>
  <c r="G108" i="5"/>
  <c r="I108" i="5"/>
  <c r="J108" i="5"/>
  <c r="A109" i="5"/>
  <c r="B109" i="5"/>
  <c r="C109" i="5"/>
  <c r="D109" i="5" s="1"/>
  <c r="E109" i="5"/>
  <c r="G109" i="5"/>
  <c r="I109" i="5"/>
  <c r="J109" i="5"/>
  <c r="A110" i="5"/>
  <c r="B110" i="5"/>
  <c r="C110" i="5"/>
  <c r="D110" i="5" s="1"/>
  <c r="E110" i="5"/>
  <c r="G110" i="5"/>
  <c r="I110" i="5"/>
  <c r="J110" i="5"/>
  <c r="A111" i="5"/>
  <c r="B111" i="5"/>
  <c r="C111" i="5"/>
  <c r="D111" i="5" s="1"/>
  <c r="E111" i="5"/>
  <c r="G111" i="5"/>
  <c r="I111" i="5"/>
  <c r="J111" i="5"/>
  <c r="A112" i="5"/>
  <c r="B112" i="5"/>
  <c r="C112" i="5"/>
  <c r="D112" i="5" s="1"/>
  <c r="E112" i="5"/>
  <c r="G112" i="5"/>
  <c r="I112" i="5"/>
  <c r="J112" i="5"/>
  <c r="A113" i="5"/>
  <c r="B113" i="5"/>
  <c r="C113" i="5"/>
  <c r="D113" i="5" s="1"/>
  <c r="E113" i="5"/>
  <c r="G113" i="5"/>
  <c r="I113" i="5"/>
  <c r="J113" i="5"/>
  <c r="A114" i="5"/>
  <c r="B114" i="5"/>
  <c r="C114" i="5"/>
  <c r="D114" i="5" s="1"/>
  <c r="E114" i="5"/>
  <c r="G114" i="5"/>
  <c r="I114" i="5"/>
  <c r="J114" i="5"/>
  <c r="A115" i="5"/>
  <c r="B115" i="5"/>
  <c r="C115" i="5"/>
  <c r="D115" i="5" s="1"/>
  <c r="E115" i="5"/>
  <c r="G115" i="5"/>
  <c r="I115" i="5"/>
  <c r="J115" i="5"/>
  <c r="A116" i="5"/>
  <c r="B116" i="5"/>
  <c r="C116" i="5"/>
  <c r="D116" i="5" s="1"/>
  <c r="E116" i="5"/>
  <c r="G116" i="5"/>
  <c r="I116" i="5"/>
  <c r="J116" i="5"/>
  <c r="A117" i="5"/>
  <c r="B117" i="5"/>
  <c r="C117" i="5"/>
  <c r="D117" i="5" s="1"/>
  <c r="E117" i="5"/>
  <c r="G117" i="5"/>
  <c r="I117" i="5"/>
  <c r="J117" i="5"/>
  <c r="A118" i="5"/>
  <c r="B118" i="5"/>
  <c r="C118" i="5"/>
  <c r="D118" i="5" s="1"/>
  <c r="E118" i="5"/>
  <c r="G118" i="5"/>
  <c r="I118" i="5"/>
  <c r="J118" i="5"/>
  <c r="A119" i="5"/>
  <c r="B119" i="5"/>
  <c r="C119" i="5"/>
  <c r="D119" i="5" s="1"/>
  <c r="E119" i="5"/>
  <c r="G119" i="5"/>
  <c r="I119" i="5"/>
  <c r="J119" i="5"/>
  <c r="A120" i="5"/>
  <c r="B120" i="5"/>
  <c r="C120" i="5"/>
  <c r="D120" i="5" s="1"/>
  <c r="E120" i="5"/>
  <c r="G120" i="5"/>
  <c r="I120" i="5"/>
  <c r="J120" i="5"/>
  <c r="A121" i="5"/>
  <c r="B121" i="5"/>
  <c r="C121" i="5"/>
  <c r="D121" i="5" s="1"/>
  <c r="E121" i="5"/>
  <c r="G121" i="5"/>
  <c r="I121" i="5"/>
  <c r="J121" i="5"/>
  <c r="A122" i="5"/>
  <c r="B122" i="5"/>
  <c r="C122" i="5"/>
  <c r="D122" i="5" s="1"/>
  <c r="E122" i="5"/>
  <c r="G122" i="5"/>
  <c r="I122" i="5"/>
  <c r="J122" i="5"/>
  <c r="A123" i="5"/>
  <c r="B123" i="5"/>
  <c r="C123" i="5"/>
  <c r="D123" i="5" s="1"/>
  <c r="E123" i="5"/>
  <c r="G123" i="5"/>
  <c r="I123" i="5"/>
  <c r="J123" i="5"/>
  <c r="A124" i="5"/>
  <c r="B124" i="5"/>
  <c r="C124" i="5"/>
  <c r="D124" i="5" s="1"/>
  <c r="E124" i="5"/>
  <c r="G124" i="5"/>
  <c r="I124" i="5"/>
  <c r="J124" i="5"/>
  <c r="A125" i="5"/>
  <c r="B125" i="5"/>
  <c r="C125" i="5"/>
  <c r="D125" i="5" s="1"/>
  <c r="E125" i="5"/>
  <c r="G125" i="5"/>
  <c r="I125" i="5"/>
  <c r="J125" i="5"/>
  <c r="A126" i="5"/>
  <c r="B126" i="5"/>
  <c r="C126" i="5"/>
  <c r="D126" i="5" s="1"/>
  <c r="E126" i="5"/>
  <c r="G126" i="5"/>
  <c r="I126" i="5"/>
  <c r="J126" i="5"/>
  <c r="A127" i="5"/>
  <c r="B127" i="5"/>
  <c r="C127" i="5"/>
  <c r="D127" i="5" s="1"/>
  <c r="E127" i="5"/>
  <c r="G127" i="5"/>
  <c r="I127" i="5"/>
  <c r="J127" i="5"/>
  <c r="A128" i="5"/>
  <c r="B128" i="5"/>
  <c r="C128" i="5"/>
  <c r="D128" i="5" s="1"/>
  <c r="E128" i="5"/>
  <c r="G128" i="5"/>
  <c r="I128" i="5"/>
  <c r="J128" i="5"/>
  <c r="A129" i="5"/>
  <c r="B129" i="5"/>
  <c r="C129" i="5"/>
  <c r="D129" i="5" s="1"/>
  <c r="E129" i="5"/>
  <c r="G129" i="5"/>
  <c r="I129" i="5"/>
  <c r="J129" i="5"/>
  <c r="A130" i="5"/>
  <c r="B130" i="5"/>
  <c r="C130" i="5"/>
  <c r="D130" i="5" s="1"/>
  <c r="E130" i="5"/>
  <c r="G130" i="5"/>
  <c r="I130" i="5"/>
  <c r="J130" i="5"/>
  <c r="A131" i="5"/>
  <c r="B131" i="5"/>
  <c r="C131" i="5"/>
  <c r="D131" i="5" s="1"/>
  <c r="E131" i="5"/>
  <c r="G131" i="5"/>
  <c r="I131" i="5"/>
  <c r="J131" i="5"/>
  <c r="A132" i="5"/>
  <c r="B132" i="5"/>
  <c r="C132" i="5"/>
  <c r="D132" i="5" s="1"/>
  <c r="E132" i="5"/>
  <c r="G132" i="5"/>
  <c r="I132" i="5"/>
  <c r="J132" i="5"/>
  <c r="A133" i="5"/>
  <c r="B133" i="5"/>
  <c r="C133" i="5"/>
  <c r="D133" i="5" s="1"/>
  <c r="E133" i="5"/>
  <c r="G133" i="5"/>
  <c r="I133" i="5"/>
  <c r="J133" i="5"/>
  <c r="A134" i="5"/>
  <c r="B134" i="5"/>
  <c r="C134" i="5"/>
  <c r="D134" i="5" s="1"/>
  <c r="E134" i="5"/>
  <c r="G134" i="5"/>
  <c r="I134" i="5"/>
  <c r="J134" i="5"/>
  <c r="A135" i="5"/>
  <c r="B135" i="5"/>
  <c r="C135" i="5"/>
  <c r="D135" i="5" s="1"/>
  <c r="E135" i="5"/>
  <c r="G135" i="5"/>
  <c r="I135" i="5"/>
  <c r="J135" i="5"/>
  <c r="A136" i="5"/>
  <c r="B136" i="5"/>
  <c r="C136" i="5"/>
  <c r="D136" i="5" s="1"/>
  <c r="E136" i="5"/>
  <c r="G136" i="5"/>
  <c r="I136" i="5"/>
  <c r="J136" i="5"/>
  <c r="A137" i="5"/>
  <c r="B137" i="5"/>
  <c r="C137" i="5"/>
  <c r="D137" i="5" s="1"/>
  <c r="E137" i="5"/>
  <c r="G137" i="5"/>
  <c r="I137" i="5"/>
  <c r="J137" i="5"/>
  <c r="A138" i="5"/>
  <c r="B138" i="5"/>
  <c r="C138" i="5"/>
  <c r="D138" i="5" s="1"/>
  <c r="E138" i="5"/>
  <c r="G138" i="5"/>
  <c r="I138" i="5"/>
  <c r="J138" i="5"/>
  <c r="A139" i="5"/>
  <c r="B139" i="5"/>
  <c r="C139" i="5"/>
  <c r="D139" i="5" s="1"/>
  <c r="E139" i="5"/>
  <c r="G139" i="5"/>
  <c r="I139" i="5"/>
  <c r="J139" i="5"/>
  <c r="A140" i="5"/>
  <c r="B140" i="5"/>
  <c r="C140" i="5"/>
  <c r="D140" i="5" s="1"/>
  <c r="E140" i="5"/>
  <c r="G140" i="5"/>
  <c r="I140" i="5"/>
  <c r="J140" i="5"/>
  <c r="A141" i="5"/>
  <c r="B141" i="5"/>
  <c r="C141" i="5"/>
  <c r="D141" i="5" s="1"/>
  <c r="E141" i="5"/>
  <c r="G141" i="5"/>
  <c r="I141" i="5"/>
  <c r="J141" i="5"/>
  <c r="A142" i="5"/>
  <c r="B142" i="5"/>
  <c r="C142" i="5"/>
  <c r="D142" i="5" s="1"/>
  <c r="E142" i="5"/>
  <c r="G142" i="5"/>
  <c r="I142" i="5"/>
  <c r="J142" i="5"/>
  <c r="A143" i="5"/>
  <c r="B143" i="5"/>
  <c r="C143" i="5"/>
  <c r="D143" i="5" s="1"/>
  <c r="E143" i="5"/>
  <c r="G143" i="5"/>
  <c r="I143" i="5"/>
  <c r="J143" i="5"/>
  <c r="A144" i="5"/>
  <c r="B144" i="5"/>
  <c r="C144" i="5"/>
  <c r="D144" i="5" s="1"/>
  <c r="E144" i="5"/>
  <c r="G144" i="5"/>
  <c r="I144" i="5"/>
  <c r="J144" i="5"/>
  <c r="A145" i="5"/>
  <c r="B145" i="5"/>
  <c r="C145" i="5"/>
  <c r="D145" i="5" s="1"/>
  <c r="E145" i="5"/>
  <c r="G145" i="5"/>
  <c r="I145" i="5"/>
  <c r="J145" i="5"/>
  <c r="A146" i="5"/>
  <c r="B146" i="5"/>
  <c r="C146" i="5"/>
  <c r="D146" i="5" s="1"/>
  <c r="E146" i="5"/>
  <c r="G146" i="5"/>
  <c r="I146" i="5"/>
  <c r="J146" i="5"/>
  <c r="A147" i="5"/>
  <c r="B147" i="5"/>
  <c r="C147" i="5"/>
  <c r="D147" i="5" s="1"/>
  <c r="E147" i="5"/>
  <c r="G147" i="5"/>
  <c r="I147" i="5"/>
  <c r="J147" i="5"/>
  <c r="A148" i="5"/>
  <c r="B148" i="5"/>
  <c r="C148" i="5"/>
  <c r="D148" i="5" s="1"/>
  <c r="E148" i="5"/>
  <c r="G148" i="5"/>
  <c r="I148" i="5"/>
  <c r="J148" i="5"/>
  <c r="A149" i="5"/>
  <c r="B149" i="5"/>
  <c r="C149" i="5"/>
  <c r="D149" i="5" s="1"/>
  <c r="E149" i="5"/>
  <c r="G149" i="5"/>
  <c r="I149" i="5"/>
  <c r="J149" i="5"/>
  <c r="A150" i="5"/>
  <c r="B150" i="5"/>
  <c r="C150" i="5"/>
  <c r="D150" i="5" s="1"/>
  <c r="E150" i="5"/>
  <c r="G150" i="5"/>
  <c r="I150" i="5"/>
  <c r="J150" i="5"/>
  <c r="A151" i="5"/>
  <c r="B151" i="5"/>
  <c r="C151" i="5"/>
  <c r="D151" i="5" s="1"/>
  <c r="E151" i="5"/>
  <c r="G151" i="5"/>
  <c r="I151" i="5"/>
  <c r="J151" i="5"/>
  <c r="A152" i="5"/>
  <c r="B152" i="5"/>
  <c r="C152" i="5"/>
  <c r="D152" i="5" s="1"/>
  <c r="E152" i="5"/>
  <c r="G152" i="5"/>
  <c r="I152" i="5"/>
  <c r="J152" i="5"/>
  <c r="A153" i="5"/>
  <c r="B153" i="5"/>
  <c r="C153" i="5"/>
  <c r="D153" i="5" s="1"/>
  <c r="E153" i="5"/>
  <c r="G153" i="5"/>
  <c r="I153" i="5"/>
  <c r="J153" i="5"/>
  <c r="A154" i="5"/>
  <c r="B154" i="5"/>
  <c r="C154" i="5"/>
  <c r="D154" i="5" s="1"/>
  <c r="E154" i="5"/>
  <c r="G154" i="5"/>
  <c r="I154" i="5"/>
  <c r="J154" i="5"/>
  <c r="A155" i="5"/>
  <c r="B155" i="5"/>
  <c r="C155" i="5"/>
  <c r="D155" i="5" s="1"/>
  <c r="E155" i="5"/>
  <c r="G155" i="5"/>
  <c r="I155" i="5"/>
  <c r="J155" i="5"/>
  <c r="F4" i="12"/>
  <c r="D4" i="12"/>
  <c r="D40" i="10"/>
  <c r="J53" i="9"/>
  <c r="M53" i="9" s="1"/>
  <c r="Q62" i="9" s="1"/>
  <c r="B47" i="10" s="1"/>
  <c r="G104" i="10"/>
  <c r="E104" i="10"/>
  <c r="D110" i="10"/>
  <c r="D109" i="10"/>
  <c r="D108" i="10"/>
  <c r="D107" i="10"/>
  <c r="D106" i="10"/>
  <c r="D105" i="10"/>
  <c r="J58" i="9"/>
  <c r="J59" i="9"/>
  <c r="J60" i="9"/>
  <c r="J61" i="9"/>
  <c r="J62" i="9"/>
  <c r="J63" i="9"/>
  <c r="J64" i="9"/>
  <c r="J65" i="9"/>
  <c r="J66" i="9"/>
  <c r="J67" i="9"/>
  <c r="J68" i="9"/>
  <c r="J69" i="9"/>
  <c r="A45" i="5"/>
  <c r="B45" i="5"/>
  <c r="C45" i="5"/>
  <c r="D45" i="5" s="1"/>
  <c r="E45" i="5"/>
  <c r="G45" i="5"/>
  <c r="I45" i="5"/>
  <c r="J45" i="5"/>
  <c r="A46" i="5"/>
  <c r="B46" i="5"/>
  <c r="C46" i="5"/>
  <c r="D46" i="5" s="1"/>
  <c r="E46" i="5"/>
  <c r="G46" i="5"/>
  <c r="I46" i="5"/>
  <c r="J46" i="5"/>
  <c r="A47" i="5"/>
  <c r="B47" i="5"/>
  <c r="C47" i="5"/>
  <c r="D47" i="5" s="1"/>
  <c r="E47" i="5"/>
  <c r="G47" i="5"/>
  <c r="I47" i="5"/>
  <c r="J47" i="5"/>
  <c r="A48" i="5"/>
  <c r="B48" i="5"/>
  <c r="C48" i="5"/>
  <c r="D48" i="5" s="1"/>
  <c r="E48" i="5"/>
  <c r="G48" i="5"/>
  <c r="I48" i="5"/>
  <c r="J48" i="5"/>
  <c r="A49" i="5"/>
  <c r="B49" i="5"/>
  <c r="C49" i="5"/>
  <c r="D49" i="5" s="1"/>
  <c r="E49" i="5"/>
  <c r="G49" i="5"/>
  <c r="I49" i="5"/>
  <c r="J49" i="5"/>
  <c r="A50" i="5"/>
  <c r="B50" i="5"/>
  <c r="C50" i="5"/>
  <c r="D50" i="5" s="1"/>
  <c r="E50" i="5"/>
  <c r="G50" i="5"/>
  <c r="I50" i="5"/>
  <c r="J50" i="5"/>
  <c r="A51" i="5"/>
  <c r="B51" i="5"/>
  <c r="C51" i="5"/>
  <c r="D51" i="5" s="1"/>
  <c r="E51" i="5"/>
  <c r="G51" i="5"/>
  <c r="I51" i="5"/>
  <c r="J51" i="5"/>
  <c r="A52" i="5"/>
  <c r="B52" i="5"/>
  <c r="C52" i="5"/>
  <c r="D52" i="5" s="1"/>
  <c r="E52" i="5"/>
  <c r="G52" i="5"/>
  <c r="I52" i="5"/>
  <c r="J52" i="5"/>
  <c r="A53" i="5"/>
  <c r="B53" i="5"/>
  <c r="C53" i="5"/>
  <c r="D53" i="5" s="1"/>
  <c r="E53" i="5"/>
  <c r="G53" i="5"/>
  <c r="I53" i="5"/>
  <c r="J53" i="5"/>
  <c r="A54" i="5"/>
  <c r="B54" i="5"/>
  <c r="C54" i="5"/>
  <c r="D54" i="5" s="1"/>
  <c r="E54" i="5"/>
  <c r="G54" i="5"/>
  <c r="I54" i="5"/>
  <c r="J54" i="5"/>
  <c r="A55" i="5"/>
  <c r="B55" i="5"/>
  <c r="C55" i="5"/>
  <c r="D55" i="5" s="1"/>
  <c r="E55" i="5"/>
  <c r="G55" i="5"/>
  <c r="I55" i="5"/>
  <c r="J55" i="5"/>
  <c r="A56" i="5"/>
  <c r="B56" i="5"/>
  <c r="C56" i="5"/>
  <c r="D56" i="5" s="1"/>
  <c r="E56" i="5"/>
  <c r="G56" i="5"/>
  <c r="I56" i="5"/>
  <c r="J56" i="5"/>
  <c r="A57" i="5"/>
  <c r="B57" i="5"/>
  <c r="C57" i="5"/>
  <c r="D57" i="5" s="1"/>
  <c r="E57" i="5"/>
  <c r="G57" i="5"/>
  <c r="I57" i="5"/>
  <c r="J57" i="5"/>
  <c r="A58" i="5"/>
  <c r="B58" i="5"/>
  <c r="C58" i="5"/>
  <c r="D58" i="5" s="1"/>
  <c r="E58" i="5"/>
  <c r="G58" i="5"/>
  <c r="I58" i="5"/>
  <c r="J58" i="5"/>
  <c r="A59" i="5"/>
  <c r="B59" i="5"/>
  <c r="C59" i="5"/>
  <c r="D59" i="5" s="1"/>
  <c r="E59" i="5"/>
  <c r="G59" i="5"/>
  <c r="I59" i="5"/>
  <c r="J59" i="5"/>
  <c r="A60" i="5"/>
  <c r="B60" i="5"/>
  <c r="C60" i="5"/>
  <c r="D60" i="5" s="1"/>
  <c r="E60" i="5"/>
  <c r="G60" i="5"/>
  <c r="I60" i="5"/>
  <c r="J60" i="5"/>
  <c r="A61" i="5"/>
  <c r="B61" i="5"/>
  <c r="C61" i="5"/>
  <c r="D61" i="5" s="1"/>
  <c r="E61" i="5"/>
  <c r="G61" i="5"/>
  <c r="I61" i="5"/>
  <c r="J61" i="5"/>
  <c r="A62" i="5"/>
  <c r="B62" i="5"/>
  <c r="C62" i="5"/>
  <c r="D62" i="5" s="1"/>
  <c r="E62" i="5"/>
  <c r="G62" i="5"/>
  <c r="I62" i="5"/>
  <c r="J62" i="5"/>
  <c r="A63" i="5"/>
  <c r="B63" i="5"/>
  <c r="C63" i="5"/>
  <c r="D63" i="5" s="1"/>
  <c r="E63" i="5"/>
  <c r="G63" i="5"/>
  <c r="I63" i="5"/>
  <c r="J63" i="5"/>
  <c r="A64" i="5"/>
  <c r="B64" i="5"/>
  <c r="C64" i="5"/>
  <c r="D64" i="5" s="1"/>
  <c r="E64" i="5"/>
  <c r="G64" i="5"/>
  <c r="I64" i="5"/>
  <c r="J64" i="5"/>
  <c r="A65" i="5"/>
  <c r="B65" i="5"/>
  <c r="C65" i="5"/>
  <c r="D65" i="5" s="1"/>
  <c r="E65" i="5"/>
  <c r="G65" i="5"/>
  <c r="I65" i="5"/>
  <c r="J65" i="5"/>
  <c r="A66" i="5"/>
  <c r="B66" i="5"/>
  <c r="C66" i="5"/>
  <c r="D66" i="5" s="1"/>
  <c r="E66" i="5"/>
  <c r="G66" i="5"/>
  <c r="I66" i="5"/>
  <c r="J66" i="5"/>
  <c r="A67" i="5"/>
  <c r="B67" i="5"/>
  <c r="C67" i="5"/>
  <c r="D67" i="5" s="1"/>
  <c r="E67" i="5"/>
  <c r="G67" i="5"/>
  <c r="I67" i="5"/>
  <c r="J67" i="5"/>
  <c r="A68" i="5"/>
  <c r="B68" i="5"/>
  <c r="C68" i="5"/>
  <c r="D68" i="5" s="1"/>
  <c r="E68" i="5"/>
  <c r="G68" i="5"/>
  <c r="I68" i="5"/>
  <c r="J68" i="5"/>
  <c r="A69" i="5"/>
  <c r="B69" i="5"/>
  <c r="C69" i="5"/>
  <c r="D69" i="5" s="1"/>
  <c r="E69" i="5"/>
  <c r="G69" i="5"/>
  <c r="I69" i="5"/>
  <c r="J69" i="5"/>
  <c r="A70" i="5"/>
  <c r="B70" i="5"/>
  <c r="C70" i="5"/>
  <c r="D70" i="5" s="1"/>
  <c r="E70" i="5"/>
  <c r="G70" i="5"/>
  <c r="I70" i="5"/>
  <c r="J70" i="5"/>
  <c r="A71" i="5"/>
  <c r="B71" i="5"/>
  <c r="C71" i="5"/>
  <c r="D71" i="5" s="1"/>
  <c r="E71" i="5"/>
  <c r="G71" i="5"/>
  <c r="I71" i="5"/>
  <c r="J71" i="5"/>
  <c r="A72" i="5"/>
  <c r="B72" i="5"/>
  <c r="C72" i="5"/>
  <c r="D72" i="5" s="1"/>
  <c r="E72" i="5"/>
  <c r="G72" i="5"/>
  <c r="I72" i="5"/>
  <c r="J72" i="5"/>
  <c r="A73" i="5"/>
  <c r="B73" i="5"/>
  <c r="C73" i="5"/>
  <c r="D73" i="5" s="1"/>
  <c r="E73" i="5"/>
  <c r="G73" i="5"/>
  <c r="I73" i="5"/>
  <c r="J73" i="5"/>
  <c r="A74" i="5"/>
  <c r="B74" i="5"/>
  <c r="C74" i="5"/>
  <c r="D74" i="5" s="1"/>
  <c r="E74" i="5"/>
  <c r="G74" i="5"/>
  <c r="I74" i="5"/>
  <c r="J74" i="5"/>
  <c r="A75" i="5"/>
  <c r="B75" i="5"/>
  <c r="C75" i="5"/>
  <c r="D75" i="5" s="1"/>
  <c r="E75" i="5"/>
  <c r="G75" i="5"/>
  <c r="I75" i="5"/>
  <c r="J75" i="5"/>
  <c r="A76" i="5"/>
  <c r="B76" i="5"/>
  <c r="C76" i="5"/>
  <c r="D76" i="5" s="1"/>
  <c r="E76" i="5"/>
  <c r="G76" i="5"/>
  <c r="I76" i="5"/>
  <c r="J76" i="5"/>
  <c r="A77" i="5"/>
  <c r="B77" i="5"/>
  <c r="C77" i="5"/>
  <c r="D77" i="5" s="1"/>
  <c r="E77" i="5"/>
  <c r="G77" i="5"/>
  <c r="I77" i="5"/>
  <c r="J77" i="5"/>
  <c r="A78" i="5"/>
  <c r="B78" i="5"/>
  <c r="C78" i="5"/>
  <c r="D78" i="5" s="1"/>
  <c r="E78" i="5"/>
  <c r="G78" i="5"/>
  <c r="I78" i="5"/>
  <c r="J78" i="5"/>
  <c r="A79" i="5"/>
  <c r="B79" i="5"/>
  <c r="C79" i="5"/>
  <c r="D79" i="5" s="1"/>
  <c r="E79" i="5"/>
  <c r="G79" i="5"/>
  <c r="I79" i="5"/>
  <c r="J79" i="5"/>
  <c r="A80" i="5"/>
  <c r="B80" i="5"/>
  <c r="C80" i="5"/>
  <c r="D80" i="5" s="1"/>
  <c r="E80" i="5"/>
  <c r="G80" i="5"/>
  <c r="I80" i="5"/>
  <c r="J80" i="5"/>
  <c r="A81" i="5"/>
  <c r="B81" i="5"/>
  <c r="C81" i="5"/>
  <c r="D81" i="5" s="1"/>
  <c r="E81" i="5"/>
  <c r="G81" i="5"/>
  <c r="I81" i="5"/>
  <c r="J81" i="5"/>
  <c r="A82" i="5"/>
  <c r="B82" i="5"/>
  <c r="C82" i="5"/>
  <c r="D82" i="5" s="1"/>
  <c r="E82" i="5"/>
  <c r="G82" i="5"/>
  <c r="I82" i="5"/>
  <c r="J82" i="5"/>
  <c r="A83" i="5"/>
  <c r="B83" i="5"/>
  <c r="C83" i="5"/>
  <c r="D83" i="5" s="1"/>
  <c r="E83" i="5"/>
  <c r="G83" i="5"/>
  <c r="I83" i="5"/>
  <c r="J83" i="5"/>
  <c r="A84" i="5"/>
  <c r="B84" i="5"/>
  <c r="C84" i="5"/>
  <c r="D84" i="5" s="1"/>
  <c r="E84" i="5"/>
  <c r="G84" i="5"/>
  <c r="I84" i="5"/>
  <c r="J84" i="5"/>
  <c r="A85" i="5"/>
  <c r="B85" i="5"/>
  <c r="C85" i="5"/>
  <c r="D85" i="5" s="1"/>
  <c r="E85" i="5"/>
  <c r="G85" i="5"/>
  <c r="I85" i="5"/>
  <c r="J85" i="5"/>
  <c r="A86" i="5"/>
  <c r="B86" i="5"/>
  <c r="C86" i="5"/>
  <c r="D86" i="5" s="1"/>
  <c r="E86" i="5"/>
  <c r="G86" i="5"/>
  <c r="I86" i="5"/>
  <c r="J86" i="5"/>
  <c r="A87" i="5"/>
  <c r="B87" i="5"/>
  <c r="C87" i="5"/>
  <c r="D87" i="5" s="1"/>
  <c r="E87" i="5"/>
  <c r="G87" i="5"/>
  <c r="I87" i="5"/>
  <c r="J87" i="5"/>
  <c r="A88" i="5"/>
  <c r="B88" i="5"/>
  <c r="C88" i="5"/>
  <c r="D88" i="5" s="1"/>
  <c r="E88" i="5"/>
  <c r="G88" i="5"/>
  <c r="I88" i="5"/>
  <c r="J88" i="5"/>
  <c r="A89" i="5"/>
  <c r="B89" i="5"/>
  <c r="C89" i="5"/>
  <c r="D89" i="5" s="1"/>
  <c r="E89" i="5"/>
  <c r="G89" i="5"/>
  <c r="I89" i="5"/>
  <c r="J89" i="5"/>
  <c r="A90" i="5"/>
  <c r="B90" i="5"/>
  <c r="C90" i="5"/>
  <c r="D90" i="5" s="1"/>
  <c r="E90" i="5"/>
  <c r="G90" i="5"/>
  <c r="I90" i="5"/>
  <c r="J90" i="5"/>
  <c r="A91" i="5"/>
  <c r="B91" i="5"/>
  <c r="C91" i="5"/>
  <c r="D91" i="5" s="1"/>
  <c r="E91" i="5"/>
  <c r="G91" i="5"/>
  <c r="I91" i="5"/>
  <c r="J91" i="5"/>
  <c r="A92" i="5"/>
  <c r="B92" i="5"/>
  <c r="C92" i="5"/>
  <c r="D92" i="5" s="1"/>
  <c r="E92" i="5"/>
  <c r="G92" i="5"/>
  <c r="I92" i="5"/>
  <c r="J92" i="5"/>
  <c r="A93" i="5"/>
  <c r="B93" i="5"/>
  <c r="C93" i="5"/>
  <c r="D93" i="5" s="1"/>
  <c r="E93" i="5"/>
  <c r="G93" i="5"/>
  <c r="I93" i="5"/>
  <c r="J93" i="5"/>
  <c r="A94" i="5"/>
  <c r="B94" i="5"/>
  <c r="C94" i="5"/>
  <c r="D94" i="5" s="1"/>
  <c r="E94" i="5"/>
  <c r="G94" i="5"/>
  <c r="I94" i="5"/>
  <c r="J94" i="5"/>
  <c r="A95" i="5"/>
  <c r="B95" i="5"/>
  <c r="C95" i="5"/>
  <c r="D95" i="5" s="1"/>
  <c r="E95" i="5"/>
  <c r="G95" i="5"/>
  <c r="I95" i="5"/>
  <c r="J95" i="5"/>
  <c r="A96" i="5"/>
  <c r="B96" i="5"/>
  <c r="C96" i="5"/>
  <c r="D96" i="5" s="1"/>
  <c r="E96" i="5"/>
  <c r="G96" i="5"/>
  <c r="I96" i="5"/>
  <c r="J96" i="5"/>
  <c r="L25" i="8" l="1"/>
  <c r="M25" i="8" s="1"/>
  <c r="L36" i="8"/>
  <c r="M36" i="8" s="1"/>
  <c r="H16" i="8"/>
  <c r="K16" i="8" s="1"/>
  <c r="N16" i="8" s="1"/>
  <c r="H17" i="8"/>
  <c r="K17" i="8" s="1"/>
  <c r="N17" i="8" s="1"/>
  <c r="L30" i="8"/>
  <c r="M30" i="8" s="1"/>
  <c r="H44" i="8"/>
  <c r="K44" i="8" s="1"/>
  <c r="N44" i="8" s="1"/>
  <c r="H22" i="8"/>
  <c r="K22" i="8" s="1"/>
  <c r="N22" i="8" s="1"/>
  <c r="F111" i="5"/>
  <c r="H111" i="5" s="1"/>
  <c r="K111" i="5" s="1"/>
  <c r="N111" i="5" s="1"/>
  <c r="F141" i="5"/>
  <c r="L141" i="5" s="1"/>
  <c r="M141" i="5" s="1"/>
  <c r="F137" i="5"/>
  <c r="H137" i="5" s="1"/>
  <c r="K137" i="5" s="1"/>
  <c r="N137" i="5" s="1"/>
  <c r="F132" i="5"/>
  <c r="L132" i="5" s="1"/>
  <c r="M132" i="5" s="1"/>
  <c r="F97" i="5"/>
  <c r="F98" i="5"/>
  <c r="L98" i="5" s="1"/>
  <c r="M98" i="5" s="1"/>
  <c r="F118" i="5"/>
  <c r="H118" i="5" s="1"/>
  <c r="K118" i="5" s="1"/>
  <c r="N118" i="5" s="1"/>
  <c r="L28" i="8"/>
  <c r="M28" i="8" s="1"/>
  <c r="F138" i="5"/>
  <c r="H138" i="5" s="1"/>
  <c r="K138" i="5" s="1"/>
  <c r="N138" i="5" s="1"/>
  <c r="H39" i="8"/>
  <c r="K39" i="8" s="1"/>
  <c r="N39" i="8" s="1"/>
  <c r="F154" i="5"/>
  <c r="L154" i="5" s="1"/>
  <c r="M154" i="5" s="1"/>
  <c r="F147" i="5"/>
  <c r="L147" i="5" s="1"/>
  <c r="M147" i="5" s="1"/>
  <c r="F105" i="5"/>
  <c r="L105" i="5" s="1"/>
  <c r="M105" i="5" s="1"/>
  <c r="F152" i="5"/>
  <c r="H152" i="5" s="1"/>
  <c r="K152" i="5" s="1"/>
  <c r="N152" i="5" s="1"/>
  <c r="L31" i="8"/>
  <c r="M31" i="8" s="1"/>
  <c r="L38" i="8"/>
  <c r="M38" i="8" s="1"/>
  <c r="F155" i="5"/>
  <c r="H155" i="5" s="1"/>
  <c r="K155" i="5" s="1"/>
  <c r="N155" i="5" s="1"/>
  <c r="F149" i="5"/>
  <c r="H149" i="5" s="1"/>
  <c r="K149" i="5" s="1"/>
  <c r="N149" i="5" s="1"/>
  <c r="F144" i="5"/>
  <c r="H144" i="5" s="1"/>
  <c r="K144" i="5" s="1"/>
  <c r="N144" i="5" s="1"/>
  <c r="F139" i="5"/>
  <c r="H139" i="5" s="1"/>
  <c r="K139" i="5" s="1"/>
  <c r="N139" i="5" s="1"/>
  <c r="F129" i="5"/>
  <c r="L129" i="5" s="1"/>
  <c r="M129" i="5" s="1"/>
  <c r="F101" i="5"/>
  <c r="L101" i="5" s="1"/>
  <c r="M101" i="5" s="1"/>
  <c r="F136" i="5"/>
  <c r="H136" i="5" s="1"/>
  <c r="K136" i="5" s="1"/>
  <c r="N136" i="5" s="1"/>
  <c r="F142" i="5"/>
  <c r="L142" i="5" s="1"/>
  <c r="M142" i="5" s="1"/>
  <c r="L42" i="8"/>
  <c r="M42" i="8" s="1"/>
  <c r="F124" i="5"/>
  <c r="H124" i="5" s="1"/>
  <c r="K124" i="5" s="1"/>
  <c r="N124" i="5" s="1"/>
  <c r="F125" i="5"/>
  <c r="H125" i="5" s="1"/>
  <c r="K125" i="5" s="1"/>
  <c r="N125" i="5" s="1"/>
  <c r="F115" i="5"/>
  <c r="H115" i="5" s="1"/>
  <c r="K115" i="5" s="1"/>
  <c r="N115" i="5" s="1"/>
  <c r="L40" i="8"/>
  <c r="M40" i="8" s="1"/>
  <c r="F150" i="5"/>
  <c r="H150" i="5" s="1"/>
  <c r="K150" i="5" s="1"/>
  <c r="N150" i="5" s="1"/>
  <c r="F140" i="5"/>
  <c r="L140" i="5" s="1"/>
  <c r="M140" i="5" s="1"/>
  <c r="L33" i="8"/>
  <c r="M33" i="8" s="1"/>
  <c r="H32" i="8"/>
  <c r="K32" i="8" s="1"/>
  <c r="N32" i="8" s="1"/>
  <c r="L41" i="8"/>
  <c r="M41" i="8" s="1"/>
  <c r="F151" i="5"/>
  <c r="L151" i="5" s="1"/>
  <c r="M151" i="5" s="1"/>
  <c r="F143" i="5"/>
  <c r="H143" i="5" s="1"/>
  <c r="K143" i="5" s="1"/>
  <c r="N143" i="5" s="1"/>
  <c r="L20" i="8"/>
  <c r="M20" i="8" s="1"/>
  <c r="F114" i="5"/>
  <c r="H114" i="5" s="1"/>
  <c r="K114" i="5" s="1"/>
  <c r="N114" i="5" s="1"/>
  <c r="F106" i="5"/>
  <c r="L106" i="5" s="1"/>
  <c r="M106" i="5" s="1"/>
  <c r="F127" i="5"/>
  <c r="H127" i="5" s="1"/>
  <c r="K127" i="5" s="1"/>
  <c r="N127" i="5" s="1"/>
  <c r="L27" i="8"/>
  <c r="M27" i="8" s="1"/>
  <c r="F104" i="5"/>
  <c r="L104" i="5" s="1"/>
  <c r="M104" i="5" s="1"/>
  <c r="F99" i="5"/>
  <c r="L99" i="5" s="1"/>
  <c r="M99" i="5" s="1"/>
  <c r="L21" i="8"/>
  <c r="M21" i="8" s="1"/>
  <c r="F135" i="5"/>
  <c r="H135" i="5" s="1"/>
  <c r="K135" i="5" s="1"/>
  <c r="N135" i="5" s="1"/>
  <c r="F130" i="5"/>
  <c r="H130" i="5" s="1"/>
  <c r="K130" i="5" s="1"/>
  <c r="N130" i="5" s="1"/>
  <c r="F102" i="5"/>
  <c r="H102" i="5" s="1"/>
  <c r="K102" i="5" s="1"/>
  <c r="N102" i="5" s="1"/>
  <c r="F133" i="5"/>
  <c r="H133" i="5" s="1"/>
  <c r="K133" i="5" s="1"/>
  <c r="N133" i="5" s="1"/>
  <c r="F123" i="5"/>
  <c r="H123" i="5" s="1"/>
  <c r="K123" i="5" s="1"/>
  <c r="N123" i="5" s="1"/>
  <c r="H23" i="8"/>
  <c r="K23" i="8" s="1"/>
  <c r="N23" i="8" s="1"/>
  <c r="H29" i="8"/>
  <c r="K29" i="8" s="1"/>
  <c r="N29" i="8" s="1"/>
  <c r="F153" i="5"/>
  <c r="L153" i="5" s="1"/>
  <c r="M153" i="5" s="1"/>
  <c r="F148" i="5"/>
  <c r="H148" i="5" s="1"/>
  <c r="K148" i="5" s="1"/>
  <c r="N148" i="5" s="1"/>
  <c r="F126" i="5"/>
  <c r="H126" i="5" s="1"/>
  <c r="K126" i="5" s="1"/>
  <c r="N126" i="5" s="1"/>
  <c r="F145" i="5"/>
  <c r="L145" i="5" s="1"/>
  <c r="M145" i="5" s="1"/>
  <c r="F134" i="5"/>
  <c r="L134" i="5" s="1"/>
  <c r="M134" i="5" s="1"/>
  <c r="F131" i="5"/>
  <c r="L131" i="5" s="1"/>
  <c r="M131" i="5" s="1"/>
  <c r="F108" i="5"/>
  <c r="H108" i="5" s="1"/>
  <c r="K108" i="5" s="1"/>
  <c r="N108" i="5" s="1"/>
  <c r="F128" i="5"/>
  <c r="L128" i="5" s="1"/>
  <c r="M128" i="5" s="1"/>
  <c r="F146" i="5"/>
  <c r="H146" i="5" s="1"/>
  <c r="K146" i="5" s="1"/>
  <c r="N146" i="5" s="1"/>
  <c r="F103" i="5"/>
  <c r="H103" i="5" s="1"/>
  <c r="K103" i="5" s="1"/>
  <c r="N103" i="5" s="1"/>
  <c r="F100" i="5"/>
  <c r="H100" i="5" s="1"/>
  <c r="K100" i="5" s="1"/>
  <c r="N100" i="5" s="1"/>
  <c r="H18" i="8"/>
  <c r="K18" i="8" s="1"/>
  <c r="N18" i="8" s="1"/>
  <c r="L34" i="8"/>
  <c r="M34" i="8" s="1"/>
  <c r="F120" i="5"/>
  <c r="H120" i="5" s="1"/>
  <c r="K120" i="5" s="1"/>
  <c r="N120" i="5" s="1"/>
  <c r="F117" i="5"/>
  <c r="H117" i="5" s="1"/>
  <c r="K117" i="5" s="1"/>
  <c r="N117" i="5" s="1"/>
  <c r="F112" i="5"/>
  <c r="H112" i="5" s="1"/>
  <c r="K112" i="5" s="1"/>
  <c r="N112" i="5" s="1"/>
  <c r="F109" i="5"/>
  <c r="L109" i="5" s="1"/>
  <c r="M109" i="5" s="1"/>
  <c r="F122" i="5"/>
  <c r="H122" i="5" s="1"/>
  <c r="K122" i="5" s="1"/>
  <c r="N122" i="5" s="1"/>
  <c r="F121" i="5"/>
  <c r="L121" i="5" s="1"/>
  <c r="M121" i="5" s="1"/>
  <c r="F119" i="5"/>
  <c r="H119" i="5" s="1"/>
  <c r="K119" i="5" s="1"/>
  <c r="N119" i="5" s="1"/>
  <c r="F116" i="5"/>
  <c r="H116" i="5" s="1"/>
  <c r="K116" i="5" s="1"/>
  <c r="N116" i="5" s="1"/>
  <c r="F113" i="5"/>
  <c r="L113" i="5" s="1"/>
  <c r="M113" i="5" s="1"/>
  <c r="F110" i="5"/>
  <c r="L110" i="5" s="1"/>
  <c r="M110" i="5" s="1"/>
  <c r="F107" i="5"/>
  <c r="H107" i="5" s="1"/>
  <c r="K107" i="5" s="1"/>
  <c r="N107" i="5" s="1"/>
  <c r="H97" i="5"/>
  <c r="K97" i="5" s="1"/>
  <c r="N97" i="5" s="1"/>
  <c r="L97" i="5"/>
  <c r="M97" i="5" s="1"/>
  <c r="F53" i="5"/>
  <c r="L53" i="5" s="1"/>
  <c r="M53" i="5" s="1"/>
  <c r="F68" i="5"/>
  <c r="H68" i="5" s="1"/>
  <c r="K68" i="5" s="1"/>
  <c r="N68" i="5" s="1"/>
  <c r="F77" i="5"/>
  <c r="H77" i="5" s="1"/>
  <c r="K77" i="5" s="1"/>
  <c r="N77" i="5" s="1"/>
  <c r="Q63" i="9"/>
  <c r="B48" i="10" s="1"/>
  <c r="C48" i="10" s="1"/>
  <c r="Q64" i="9"/>
  <c r="B49" i="10" s="1"/>
  <c r="C49" i="10" s="1"/>
  <c r="Q65" i="9"/>
  <c r="B50" i="10" s="1"/>
  <c r="C50" i="10" s="1"/>
  <c r="Q66" i="9"/>
  <c r="B51" i="10" s="1"/>
  <c r="C51" i="10" s="1"/>
  <c r="F93" i="5"/>
  <c r="H93" i="5" s="1"/>
  <c r="K93" i="5" s="1"/>
  <c r="N93" i="5" s="1"/>
  <c r="F92" i="5"/>
  <c r="H92" i="5" s="1"/>
  <c r="K92" i="5" s="1"/>
  <c r="N92" i="5" s="1"/>
  <c r="F91" i="5"/>
  <c r="L91" i="5" s="1"/>
  <c r="M91" i="5" s="1"/>
  <c r="F83" i="5"/>
  <c r="H83" i="5" s="1"/>
  <c r="K83" i="5" s="1"/>
  <c r="N83" i="5" s="1"/>
  <c r="F64" i="5"/>
  <c r="H64" i="5" s="1"/>
  <c r="K64" i="5" s="1"/>
  <c r="N64" i="5" s="1"/>
  <c r="F47" i="5"/>
  <c r="H47" i="5" s="1"/>
  <c r="K47" i="5" s="1"/>
  <c r="N47" i="5" s="1"/>
  <c r="Q59" i="9"/>
  <c r="B44" i="10" s="1"/>
  <c r="C44" i="10" s="1"/>
  <c r="Q67" i="9"/>
  <c r="B52" i="10" s="1"/>
  <c r="C52" i="10" s="1"/>
  <c r="F45" i="5"/>
  <c r="H45" i="5" s="1"/>
  <c r="K45" i="5" s="1"/>
  <c r="N45" i="5" s="1"/>
  <c r="Q58" i="9"/>
  <c r="B43" i="10" s="1"/>
  <c r="C43" i="10" s="1"/>
  <c r="Q60" i="9"/>
  <c r="B45" i="10" s="1"/>
  <c r="C45" i="10" s="1"/>
  <c r="Q68" i="9"/>
  <c r="B53" i="10" s="1"/>
  <c r="C53" i="10" s="1"/>
  <c r="Q69" i="9"/>
  <c r="B54" i="10" s="1"/>
  <c r="C54" i="10" s="1"/>
  <c r="Q61" i="9"/>
  <c r="B46" i="10" s="1"/>
  <c r="C46" i="10" s="1"/>
  <c r="F86" i="5"/>
  <c r="H86" i="5" s="1"/>
  <c r="K86" i="5" s="1"/>
  <c r="N86" i="5" s="1"/>
  <c r="F59" i="5"/>
  <c r="L59" i="5" s="1"/>
  <c r="M59" i="5" s="1"/>
  <c r="C47" i="10"/>
  <c r="C40" i="10"/>
  <c r="F96" i="5"/>
  <c r="H96" i="5" s="1"/>
  <c r="K96" i="5" s="1"/>
  <c r="N96" i="5" s="1"/>
  <c r="F88" i="5"/>
  <c r="H88" i="5" s="1"/>
  <c r="K88" i="5" s="1"/>
  <c r="N88" i="5" s="1"/>
  <c r="F89" i="5"/>
  <c r="H89" i="5" s="1"/>
  <c r="K89" i="5" s="1"/>
  <c r="N89" i="5" s="1"/>
  <c r="F69" i="5"/>
  <c r="L69" i="5" s="1"/>
  <c r="M69" i="5" s="1"/>
  <c r="F90" i="5"/>
  <c r="H90" i="5" s="1"/>
  <c r="K90" i="5" s="1"/>
  <c r="N90" i="5" s="1"/>
  <c r="F71" i="5"/>
  <c r="L71" i="5" s="1"/>
  <c r="M71" i="5" s="1"/>
  <c r="F84" i="5"/>
  <c r="L84" i="5" s="1"/>
  <c r="M84" i="5" s="1"/>
  <c r="F95" i="5"/>
  <c r="H95" i="5" s="1"/>
  <c r="K95" i="5" s="1"/>
  <c r="N95" i="5" s="1"/>
  <c r="F72" i="5"/>
  <c r="H72" i="5" s="1"/>
  <c r="K72" i="5" s="1"/>
  <c r="N72" i="5" s="1"/>
  <c r="F60" i="5"/>
  <c r="H60" i="5" s="1"/>
  <c r="K60" i="5" s="1"/>
  <c r="N60" i="5" s="1"/>
  <c r="F87" i="5"/>
  <c r="L87" i="5" s="1"/>
  <c r="M87" i="5" s="1"/>
  <c r="F80" i="5"/>
  <c r="L80" i="5" s="1"/>
  <c r="M80" i="5" s="1"/>
  <c r="F75" i="5"/>
  <c r="L75" i="5" s="1"/>
  <c r="M75" i="5" s="1"/>
  <c r="F66" i="5"/>
  <c r="L66" i="5" s="1"/>
  <c r="M66" i="5" s="1"/>
  <c r="F56" i="5"/>
  <c r="H56" i="5" s="1"/>
  <c r="K56" i="5" s="1"/>
  <c r="N56" i="5" s="1"/>
  <c r="F76" i="5"/>
  <c r="L76" i="5" s="1"/>
  <c r="M76" i="5" s="1"/>
  <c r="F94" i="5"/>
  <c r="H94" i="5" s="1"/>
  <c r="K94" i="5" s="1"/>
  <c r="N94" i="5" s="1"/>
  <c r="F79" i="5"/>
  <c r="H79" i="5" s="1"/>
  <c r="K79" i="5" s="1"/>
  <c r="N79" i="5" s="1"/>
  <c r="F46" i="5"/>
  <c r="L46" i="5" s="1"/>
  <c r="M46" i="5" s="1"/>
  <c r="F48" i="5"/>
  <c r="L48" i="5" s="1"/>
  <c r="M48" i="5" s="1"/>
  <c r="F85" i="5"/>
  <c r="H85" i="5" s="1"/>
  <c r="K85" i="5" s="1"/>
  <c r="N85" i="5" s="1"/>
  <c r="F82" i="5"/>
  <c r="H82" i="5" s="1"/>
  <c r="K82" i="5" s="1"/>
  <c r="N82" i="5" s="1"/>
  <c r="F62" i="5"/>
  <c r="L62" i="5" s="1"/>
  <c r="M62" i="5" s="1"/>
  <c r="F50" i="5"/>
  <c r="H50" i="5" s="1"/>
  <c r="K50" i="5" s="1"/>
  <c r="N50" i="5" s="1"/>
  <c r="F49" i="5"/>
  <c r="L49" i="5" s="1"/>
  <c r="M49" i="5" s="1"/>
  <c r="F63" i="5"/>
  <c r="H63" i="5" s="1"/>
  <c r="K63" i="5" s="1"/>
  <c r="N63" i="5" s="1"/>
  <c r="F74" i="5"/>
  <c r="H74" i="5" s="1"/>
  <c r="K74" i="5" s="1"/>
  <c r="N74" i="5" s="1"/>
  <c r="F65" i="5"/>
  <c r="H65" i="5" s="1"/>
  <c r="K65" i="5" s="1"/>
  <c r="N65" i="5" s="1"/>
  <c r="F55" i="5"/>
  <c r="H55" i="5" s="1"/>
  <c r="K55" i="5" s="1"/>
  <c r="N55" i="5" s="1"/>
  <c r="F52" i="5"/>
  <c r="H52" i="5" s="1"/>
  <c r="K52" i="5" s="1"/>
  <c r="N52" i="5" s="1"/>
  <c r="F78" i="5"/>
  <c r="L78" i="5" s="1"/>
  <c r="M78" i="5" s="1"/>
  <c r="F58" i="5"/>
  <c r="H58" i="5" s="1"/>
  <c r="K58" i="5" s="1"/>
  <c r="N58" i="5" s="1"/>
  <c r="F81" i="5"/>
  <c r="H81" i="5" s="1"/>
  <c r="K81" i="5" s="1"/>
  <c r="N81" i="5" s="1"/>
  <c r="F61" i="5"/>
  <c r="H61" i="5" s="1"/>
  <c r="K61" i="5" s="1"/>
  <c r="N61" i="5" s="1"/>
  <c r="F67" i="5"/>
  <c r="H67" i="5" s="1"/>
  <c r="K67" i="5" s="1"/>
  <c r="N67" i="5" s="1"/>
  <c r="F70" i="5"/>
  <c r="L70" i="5" s="1"/>
  <c r="M70" i="5" s="1"/>
  <c r="F54" i="5"/>
  <c r="H54" i="5" s="1"/>
  <c r="K54" i="5" s="1"/>
  <c r="N54" i="5" s="1"/>
  <c r="F51" i="5"/>
  <c r="L51" i="5" s="1"/>
  <c r="M51" i="5" s="1"/>
  <c r="F73" i="5"/>
  <c r="L73" i="5" s="1"/>
  <c r="M73" i="5" s="1"/>
  <c r="F57" i="5"/>
  <c r="L57" i="5" s="1"/>
  <c r="M57" i="5" s="1"/>
  <c r="H105" i="5" l="1"/>
  <c r="K105" i="5" s="1"/>
  <c r="N105" i="5" s="1"/>
  <c r="L111" i="5"/>
  <c r="M111" i="5" s="1"/>
  <c r="L118" i="5"/>
  <c r="M118" i="5" s="1"/>
  <c r="L149" i="5"/>
  <c r="M149" i="5" s="1"/>
  <c r="H141" i="5"/>
  <c r="K141" i="5" s="1"/>
  <c r="N141" i="5" s="1"/>
  <c r="H132" i="5"/>
  <c r="K132" i="5" s="1"/>
  <c r="N132" i="5" s="1"/>
  <c r="H98" i="5"/>
  <c r="K98" i="5" s="1"/>
  <c r="N98" i="5" s="1"/>
  <c r="H154" i="5"/>
  <c r="K154" i="5" s="1"/>
  <c r="N154" i="5" s="1"/>
  <c r="H101" i="5"/>
  <c r="K101" i="5" s="1"/>
  <c r="N101" i="5" s="1"/>
  <c r="L102" i="5"/>
  <c r="M102" i="5" s="1"/>
  <c r="H147" i="5"/>
  <c r="K147" i="5" s="1"/>
  <c r="N147" i="5" s="1"/>
  <c r="L139" i="5"/>
  <c r="M139" i="5" s="1"/>
  <c r="L138" i="5"/>
  <c r="M138" i="5" s="1"/>
  <c r="L137" i="5"/>
  <c r="M137" i="5" s="1"/>
  <c r="L150" i="5"/>
  <c r="M150" i="5" s="1"/>
  <c r="H142" i="5"/>
  <c r="K142" i="5" s="1"/>
  <c r="N142" i="5" s="1"/>
  <c r="H153" i="5"/>
  <c r="K153" i="5" s="1"/>
  <c r="N153" i="5" s="1"/>
  <c r="L135" i="5"/>
  <c r="M135" i="5" s="1"/>
  <c r="L133" i="5"/>
  <c r="M133" i="5" s="1"/>
  <c r="L124" i="5"/>
  <c r="M124" i="5" s="1"/>
  <c r="L130" i="5"/>
  <c r="M130" i="5" s="1"/>
  <c r="L146" i="5"/>
  <c r="M146" i="5" s="1"/>
  <c r="H151" i="5"/>
  <c r="K151" i="5" s="1"/>
  <c r="N151" i="5" s="1"/>
  <c r="L136" i="5"/>
  <c r="M136" i="5" s="1"/>
  <c r="L152" i="5"/>
  <c r="M152" i="5" s="1"/>
  <c r="H99" i="5"/>
  <c r="K99" i="5" s="1"/>
  <c r="N99" i="5" s="1"/>
  <c r="H129" i="5"/>
  <c r="K129" i="5" s="1"/>
  <c r="N129" i="5" s="1"/>
  <c r="H140" i="5"/>
  <c r="K140" i="5" s="1"/>
  <c r="N140" i="5" s="1"/>
  <c r="H109" i="5"/>
  <c r="K109" i="5" s="1"/>
  <c r="N109" i="5" s="1"/>
  <c r="L155" i="5"/>
  <c r="M155" i="5" s="1"/>
  <c r="H104" i="5"/>
  <c r="K104" i="5" s="1"/>
  <c r="N104" i="5" s="1"/>
  <c r="L148" i="5"/>
  <c r="M148" i="5" s="1"/>
  <c r="L127" i="5"/>
  <c r="M127" i="5" s="1"/>
  <c r="L123" i="5"/>
  <c r="M123" i="5" s="1"/>
  <c r="L144" i="5"/>
  <c r="M144" i="5" s="1"/>
  <c r="L119" i="5"/>
  <c r="M119" i="5" s="1"/>
  <c r="H106" i="5"/>
  <c r="K106" i="5" s="1"/>
  <c r="N106" i="5" s="1"/>
  <c r="H145" i="5"/>
  <c r="K145" i="5" s="1"/>
  <c r="N145" i="5" s="1"/>
  <c r="L115" i="5"/>
  <c r="M115" i="5" s="1"/>
  <c r="L114" i="5"/>
  <c r="M114" i="5" s="1"/>
  <c r="L103" i="5"/>
  <c r="M103" i="5" s="1"/>
  <c r="L125" i="5"/>
  <c r="M125" i="5" s="1"/>
  <c r="L117" i="5"/>
  <c r="M117" i="5" s="1"/>
  <c r="H128" i="5"/>
  <c r="K128" i="5" s="1"/>
  <c r="N128" i="5" s="1"/>
  <c r="H121" i="5"/>
  <c r="K121" i="5" s="1"/>
  <c r="N121" i="5" s="1"/>
  <c r="L143" i="5"/>
  <c r="M143" i="5" s="1"/>
  <c r="L108" i="5"/>
  <c r="M108" i="5" s="1"/>
  <c r="L126" i="5"/>
  <c r="M126" i="5" s="1"/>
  <c r="H113" i="5"/>
  <c r="K113" i="5" s="1"/>
  <c r="N113" i="5" s="1"/>
  <c r="H131" i="5"/>
  <c r="K131" i="5" s="1"/>
  <c r="N131" i="5" s="1"/>
  <c r="H134" i="5"/>
  <c r="K134" i="5" s="1"/>
  <c r="N134" i="5" s="1"/>
  <c r="L120" i="5"/>
  <c r="M120" i="5" s="1"/>
  <c r="L116" i="5"/>
  <c r="M116" i="5" s="1"/>
  <c r="L112" i="5"/>
  <c r="M112" i="5" s="1"/>
  <c r="L100" i="5"/>
  <c r="M100" i="5" s="1"/>
  <c r="L122" i="5"/>
  <c r="M122" i="5" s="1"/>
  <c r="H110" i="5"/>
  <c r="K110" i="5" s="1"/>
  <c r="N110" i="5" s="1"/>
  <c r="L107" i="5"/>
  <c r="M107" i="5" s="1"/>
  <c r="L93" i="5"/>
  <c r="M93" i="5" s="1"/>
  <c r="L68" i="5"/>
  <c r="M68" i="5" s="1"/>
  <c r="L96" i="5"/>
  <c r="M96" i="5" s="1"/>
  <c r="H76" i="5"/>
  <c r="K76" i="5" s="1"/>
  <c r="N76" i="5" s="1"/>
  <c r="H66" i="5"/>
  <c r="K66" i="5" s="1"/>
  <c r="N66" i="5" s="1"/>
  <c r="H49" i="5"/>
  <c r="K49" i="5" s="1"/>
  <c r="N49" i="5" s="1"/>
  <c r="L77" i="5"/>
  <c r="M77" i="5" s="1"/>
  <c r="L95" i="5"/>
  <c r="M95" i="5" s="1"/>
  <c r="L64" i="5"/>
  <c r="M64" i="5" s="1"/>
  <c r="H53" i="5"/>
  <c r="K53" i="5" s="1"/>
  <c r="N53" i="5" s="1"/>
  <c r="L47" i="5"/>
  <c r="M47" i="5" s="1"/>
  <c r="H46" i="5"/>
  <c r="K46" i="5" s="1"/>
  <c r="N46" i="5" s="1"/>
  <c r="L45" i="5"/>
  <c r="M45" i="5" s="1"/>
  <c r="H59" i="5"/>
  <c r="K59" i="5" s="1"/>
  <c r="N59" i="5" s="1"/>
  <c r="H78" i="5"/>
  <c r="K78" i="5" s="1"/>
  <c r="N78" i="5" s="1"/>
  <c r="L88" i="5"/>
  <c r="M88" i="5" s="1"/>
  <c r="H91" i="5"/>
  <c r="K91" i="5" s="1"/>
  <c r="N91" i="5" s="1"/>
  <c r="H62" i="5"/>
  <c r="K62" i="5" s="1"/>
  <c r="N62" i="5" s="1"/>
  <c r="H84" i="5"/>
  <c r="K84" i="5" s="1"/>
  <c r="N84" i="5" s="1"/>
  <c r="H71" i="5"/>
  <c r="K71" i="5" s="1"/>
  <c r="N71" i="5" s="1"/>
  <c r="L92" i="5"/>
  <c r="M92" i="5" s="1"/>
  <c r="H69" i="5"/>
  <c r="K69" i="5" s="1"/>
  <c r="N69" i="5" s="1"/>
  <c r="H70" i="5"/>
  <c r="K70" i="5" s="1"/>
  <c r="N70" i="5" s="1"/>
  <c r="H51" i="5"/>
  <c r="K51" i="5" s="1"/>
  <c r="N51" i="5" s="1"/>
  <c r="H87" i="5"/>
  <c r="K87" i="5" s="1"/>
  <c r="N87" i="5" s="1"/>
  <c r="L83" i="5"/>
  <c r="M83" i="5" s="1"/>
  <c r="L90" i="5"/>
  <c r="M90" i="5" s="1"/>
  <c r="L86" i="5"/>
  <c r="M86" i="5" s="1"/>
  <c r="L89" i="5"/>
  <c r="M89" i="5" s="1"/>
  <c r="L58" i="5"/>
  <c r="M58" i="5" s="1"/>
  <c r="H80" i="5"/>
  <c r="K80" i="5" s="1"/>
  <c r="N80" i="5" s="1"/>
  <c r="H57" i="5"/>
  <c r="K57" i="5" s="1"/>
  <c r="N57" i="5" s="1"/>
  <c r="L50" i="5"/>
  <c r="M50" i="5" s="1"/>
  <c r="L74" i="5"/>
  <c r="M74" i="5" s="1"/>
  <c r="L65" i="5"/>
  <c r="M65" i="5" s="1"/>
  <c r="L79" i="5"/>
  <c r="M79" i="5" s="1"/>
  <c r="L81" i="5"/>
  <c r="M81" i="5" s="1"/>
  <c r="L56" i="5"/>
  <c r="M56" i="5" s="1"/>
  <c r="L72" i="5"/>
  <c r="M72" i="5" s="1"/>
  <c r="L82" i="5"/>
  <c r="M82" i="5" s="1"/>
  <c r="L63" i="5"/>
  <c r="M63" i="5" s="1"/>
  <c r="L61" i="5"/>
  <c r="M61" i="5" s="1"/>
  <c r="L52" i="5"/>
  <c r="M52" i="5" s="1"/>
  <c r="L67" i="5"/>
  <c r="M67" i="5" s="1"/>
  <c r="L85" i="5"/>
  <c r="M85" i="5" s="1"/>
  <c r="L60" i="5"/>
  <c r="M60" i="5" s="1"/>
  <c r="L55" i="5"/>
  <c r="M55" i="5" s="1"/>
  <c r="H48" i="5"/>
  <c r="K48" i="5" s="1"/>
  <c r="N48" i="5" s="1"/>
  <c r="L94" i="5"/>
  <c r="M94" i="5" s="1"/>
  <c r="H75" i="5"/>
  <c r="K75" i="5" s="1"/>
  <c r="N75" i="5" s="1"/>
  <c r="L54" i="5"/>
  <c r="M54" i="5" s="1"/>
  <c r="H73" i="5"/>
  <c r="K73" i="5" s="1"/>
  <c r="N73" i="5" s="1"/>
  <c r="B58" i="9" l="1"/>
  <c r="E4" i="11"/>
  <c r="D4" i="11"/>
  <c r="C36" i="10"/>
  <c r="C35" i="10"/>
  <c r="C34" i="10"/>
  <c r="C33" i="10"/>
  <c r="C32" i="10"/>
  <c r="C31" i="10"/>
  <c r="C30" i="10"/>
  <c r="C26" i="10"/>
  <c r="C25" i="10"/>
  <c r="C24" i="10"/>
  <c r="C23" i="10"/>
  <c r="E75" i="11" l="1"/>
  <c r="G16" i="14" s="1"/>
  <c r="G99" i="14" s="1"/>
  <c r="E73" i="11"/>
  <c r="G15" i="14" s="1"/>
  <c r="G98" i="14" s="1"/>
  <c r="E71" i="11"/>
  <c r="G13" i="14" s="1"/>
  <c r="G94" i="14" s="1"/>
  <c r="E69" i="11"/>
  <c r="G12" i="14" s="1"/>
  <c r="G93" i="14" s="1"/>
  <c r="E67" i="11"/>
  <c r="G11" i="14" s="1"/>
  <c r="G92" i="14" s="1"/>
  <c r="O4" i="11"/>
  <c r="G59" i="14" s="1"/>
  <c r="N2" i="14"/>
  <c r="S6" i="11"/>
  <c r="AA6" i="11" s="1"/>
  <c r="R6" i="11"/>
  <c r="Q6" i="11"/>
  <c r="P6" i="11"/>
  <c r="G2" i="14"/>
  <c r="E63" i="11"/>
  <c r="E65" i="11"/>
  <c r="E4" i="12"/>
  <c r="R7" i="11"/>
  <c r="Q7" i="11"/>
  <c r="P7" i="11"/>
  <c r="S7" i="11"/>
  <c r="D84" i="12"/>
  <c r="D98" i="12"/>
  <c r="D112" i="12"/>
  <c r="D28" i="12"/>
  <c r="D126" i="12"/>
  <c r="D42" i="12"/>
  <c r="D140" i="12"/>
  <c r="D56" i="12"/>
  <c r="D154" i="12"/>
  <c r="D70" i="12"/>
  <c r="E53" i="11"/>
  <c r="E61" i="11"/>
  <c r="E57" i="11"/>
  <c r="E51" i="11"/>
  <c r="E59" i="11"/>
  <c r="E55" i="11"/>
  <c r="E49" i="11"/>
  <c r="H25" i="11" a="1"/>
  <c r="H25" i="11" s="1"/>
  <c r="J4" i="11"/>
  <c r="E45" i="11"/>
  <c r="E47" i="11"/>
  <c r="E43" i="11"/>
  <c r="W20" i="9"/>
  <c r="W31" i="9"/>
  <c r="N32" i="9"/>
  <c r="E122" i="10"/>
  <c r="E153" i="10"/>
  <c r="E137" i="10"/>
  <c r="E168" i="10"/>
  <c r="H33" i="11" a="1"/>
  <c r="H33" i="11" s="1"/>
  <c r="H29" i="11" a="1"/>
  <c r="H29" i="11" s="1"/>
  <c r="G33" i="11" a="1"/>
  <c r="G33" i="11" s="1"/>
  <c r="G29" i="11" a="1"/>
  <c r="G29" i="11" s="1"/>
  <c r="G23" i="11" a="1"/>
  <c r="G23" i="11" s="1"/>
  <c r="H31" i="11" a="1"/>
  <c r="H31" i="11" s="1"/>
  <c r="G27" i="11" a="1"/>
  <c r="G27" i="11" s="1"/>
  <c r="G25" i="11" a="1"/>
  <c r="G25" i="11" s="1"/>
  <c r="G31" i="11" a="1"/>
  <c r="G31" i="11" s="1"/>
  <c r="H27" i="11" a="1"/>
  <c r="H27" i="11" s="1"/>
  <c r="H23" i="11" a="1"/>
  <c r="H23" i="11" s="1"/>
  <c r="H4" i="11"/>
  <c r="E27" i="11"/>
  <c r="E21" i="11"/>
  <c r="F104" i="10"/>
  <c r="E25" i="11"/>
  <c r="E31" i="11"/>
  <c r="E29" i="11"/>
  <c r="E33" i="11"/>
  <c r="E23" i="11"/>
  <c r="E58" i="10"/>
  <c r="E88" i="10"/>
  <c r="I9" i="9"/>
  <c r="N15" i="9"/>
  <c r="G15" i="9"/>
  <c r="G23" i="9"/>
  <c r="G32" i="9"/>
  <c r="E73" i="10"/>
  <c r="W10" i="9"/>
  <c r="Q9" i="9"/>
  <c r="D4" i="10"/>
  <c r="E42" i="10"/>
  <c r="G19" i="14" l="1"/>
  <c r="G104" i="14" s="1"/>
  <c r="G121" i="14" s="1"/>
  <c r="G29" i="14"/>
  <c r="G133" i="14" s="1"/>
  <c r="G18" i="14"/>
  <c r="G103" i="14" s="1"/>
  <c r="G25" i="14"/>
  <c r="G129" i="14" s="1"/>
  <c r="G148" i="14" s="1"/>
  <c r="G26" i="14"/>
  <c r="G130" i="14" s="1"/>
  <c r="G151" i="14" s="1"/>
  <c r="G27" i="14"/>
  <c r="G28" i="14"/>
  <c r="G37" i="14"/>
  <c r="G161" i="14" s="1"/>
  <c r="G33" i="14"/>
  <c r="G149" i="14" s="1"/>
  <c r="E105" i="10"/>
  <c r="G35" i="14"/>
  <c r="G155" i="14" s="1"/>
  <c r="G34" i="14"/>
  <c r="G152" i="14" s="1"/>
  <c r="G22" i="14"/>
  <c r="G125" i="14" s="1"/>
  <c r="G36" i="14"/>
  <c r="G158" i="14" s="1"/>
  <c r="G132" i="14"/>
  <c r="G157" i="14"/>
  <c r="G131" i="14"/>
  <c r="G154" i="14"/>
  <c r="G120" i="14"/>
  <c r="G109" i="14"/>
  <c r="G110" i="14"/>
  <c r="U6" i="11"/>
  <c r="U33" i="11" s="1" a="1"/>
  <c r="U33" i="11" s="1"/>
  <c r="AI11" i="11"/>
  <c r="F35" i="12" s="1"/>
  <c r="AI10" i="11"/>
  <c r="F34" i="12" s="1"/>
  <c r="AI9" i="11"/>
  <c r="F33" i="12" s="1"/>
  <c r="AI7" i="11"/>
  <c r="F31" i="12" s="1"/>
  <c r="AI5" i="11"/>
  <c r="F29" i="12" s="1"/>
  <c r="AI14" i="11"/>
  <c r="F38" i="12" s="1"/>
  <c r="AI8" i="11"/>
  <c r="F32" i="12" s="1"/>
  <c r="F28" i="12"/>
  <c r="AI16" i="11"/>
  <c r="F40" i="12" s="1"/>
  <c r="AI6" i="11"/>
  <c r="F30" i="12" s="1"/>
  <c r="AI15" i="11"/>
  <c r="F39" i="12" s="1"/>
  <c r="AI13" i="11"/>
  <c r="F37" i="12" s="1"/>
  <c r="AI12" i="11"/>
  <c r="F36" i="12" s="1"/>
  <c r="W6" i="11"/>
  <c r="X33" i="11" s="1" a="1"/>
  <c r="X33" i="11" s="1"/>
  <c r="AJ8" i="11"/>
  <c r="G32" i="12" s="1"/>
  <c r="AJ14" i="11"/>
  <c r="G38" i="12" s="1"/>
  <c r="AJ7" i="11"/>
  <c r="G31" i="12" s="1"/>
  <c r="AJ9" i="11"/>
  <c r="G33" i="12" s="1"/>
  <c r="AJ15" i="11"/>
  <c r="G39" i="12" s="1"/>
  <c r="AJ5" i="11"/>
  <c r="G29" i="12" s="1"/>
  <c r="G28" i="12"/>
  <c r="AJ6" i="11"/>
  <c r="G30" i="12" s="1"/>
  <c r="AJ13" i="11"/>
  <c r="G37" i="12" s="1"/>
  <c r="AJ10" i="11"/>
  <c r="G34" i="12" s="1"/>
  <c r="AJ16" i="11"/>
  <c r="G40" i="12" s="1"/>
  <c r="AJ11" i="11"/>
  <c r="G35" i="12" s="1"/>
  <c r="AJ12" i="11"/>
  <c r="G36" i="12" s="1"/>
  <c r="Y6" i="11"/>
  <c r="Z25" i="11" s="1" a="1"/>
  <c r="Z25" i="11" s="1"/>
  <c r="AK7" i="11"/>
  <c r="H31" i="12" s="1"/>
  <c r="AK13" i="11"/>
  <c r="H37" i="12" s="1"/>
  <c r="AK8" i="11"/>
  <c r="H32" i="12" s="1"/>
  <c r="AK14" i="11"/>
  <c r="H38" i="12" s="1"/>
  <c r="AK16" i="11"/>
  <c r="H40" i="12" s="1"/>
  <c r="AK12" i="11"/>
  <c r="H36" i="12" s="1"/>
  <c r="AK9" i="11"/>
  <c r="H33" i="12" s="1"/>
  <c r="AK15" i="11"/>
  <c r="H39" i="12" s="1"/>
  <c r="AK5" i="11"/>
  <c r="H29" i="12" s="1"/>
  <c r="AK10" i="11"/>
  <c r="H34" i="12" s="1"/>
  <c r="H28" i="12"/>
  <c r="AK6" i="11"/>
  <c r="H30" i="12" s="1"/>
  <c r="AK11" i="11"/>
  <c r="H35" i="12" s="1"/>
  <c r="AA33" i="11" a="1"/>
  <c r="AA33" i="11" s="1"/>
  <c r="AB29" i="11" a="1"/>
  <c r="AB29" i="11" s="1"/>
  <c r="AB33" i="11" a="1"/>
  <c r="AB33" i="11" s="1"/>
  <c r="AB27" i="11" a="1"/>
  <c r="AB27" i="11" s="1"/>
  <c r="AB21" i="11" a="1"/>
  <c r="AB21" i="11" s="1"/>
  <c r="AA27" i="11" a="1"/>
  <c r="AA27" i="11" s="1"/>
  <c r="AA21" i="11" a="1"/>
  <c r="AA21" i="11" s="1"/>
  <c r="AB25" i="11" a="1"/>
  <c r="AB25" i="11" s="1"/>
  <c r="AA29" i="11" a="1"/>
  <c r="AA29" i="11" s="1"/>
  <c r="AB23" i="11" a="1"/>
  <c r="AB23" i="11" s="1"/>
  <c r="AB31" i="11" a="1"/>
  <c r="AB31" i="11" s="1"/>
  <c r="AA23" i="11" a="1"/>
  <c r="AA23" i="11" s="1"/>
  <c r="AA31" i="11" a="1"/>
  <c r="AA31" i="11" s="1"/>
  <c r="AA25" i="11" a="1"/>
  <c r="AA25" i="11" s="1"/>
  <c r="G95" i="14"/>
  <c r="G100" i="14"/>
  <c r="S75" i="11"/>
  <c r="B16" i="14" s="1"/>
  <c r="B99" i="14" s="1"/>
  <c r="S73" i="11"/>
  <c r="B15" i="14" s="1"/>
  <c r="B98" i="14" s="1"/>
  <c r="S69" i="11"/>
  <c r="B12" i="14" s="1"/>
  <c r="B93" i="14" s="1"/>
  <c r="S67" i="11"/>
  <c r="B11" i="14" s="1"/>
  <c r="B92" i="14" s="1"/>
  <c r="S71" i="11"/>
  <c r="B13" i="14" s="1"/>
  <c r="B94" i="14" s="1"/>
  <c r="P75" i="11"/>
  <c r="E16" i="14" s="1"/>
  <c r="E99" i="14" s="1"/>
  <c r="P73" i="11"/>
  <c r="E15" i="14" s="1"/>
  <c r="E98" i="14" s="1"/>
  <c r="P69" i="11"/>
  <c r="E12" i="14" s="1"/>
  <c r="E93" i="14" s="1"/>
  <c r="P71" i="11"/>
  <c r="E13" i="14" s="1"/>
  <c r="E94" i="14" s="1"/>
  <c r="P67" i="11"/>
  <c r="E11" i="14" s="1"/>
  <c r="E92" i="14" s="1"/>
  <c r="Q75" i="11"/>
  <c r="D16" i="14" s="1"/>
  <c r="D99" i="14" s="1"/>
  <c r="Q73" i="11"/>
  <c r="D15" i="14" s="1"/>
  <c r="D98" i="14" s="1"/>
  <c r="Q69" i="11"/>
  <c r="D12" i="14" s="1"/>
  <c r="D93" i="14" s="1"/>
  <c r="Q71" i="11"/>
  <c r="D13" i="14" s="1"/>
  <c r="D94" i="14" s="1"/>
  <c r="Q67" i="11"/>
  <c r="D11" i="14" s="1"/>
  <c r="D92" i="14" s="1"/>
  <c r="R75" i="11"/>
  <c r="C16" i="14" s="1"/>
  <c r="C99" i="14" s="1"/>
  <c r="R73" i="11"/>
  <c r="C15" i="14" s="1"/>
  <c r="C98" i="14" s="1"/>
  <c r="R69" i="11"/>
  <c r="C12" i="14" s="1"/>
  <c r="C93" i="14" s="1"/>
  <c r="R71" i="11"/>
  <c r="C13" i="14" s="1"/>
  <c r="C94" i="14" s="1"/>
  <c r="R67" i="11"/>
  <c r="C11" i="14" s="1"/>
  <c r="C92" i="14" s="1"/>
  <c r="O31" i="11"/>
  <c r="O29" i="11"/>
  <c r="O25" i="11"/>
  <c r="O33" i="11"/>
  <c r="O21" i="11"/>
  <c r="O27" i="11"/>
  <c r="G8" i="14"/>
  <c r="G87" i="14" s="1"/>
  <c r="G75" i="14"/>
  <c r="G86" i="14" s="1"/>
  <c r="G91" i="14" s="1"/>
  <c r="G97" i="14" s="1"/>
  <c r="G102" i="14" s="1"/>
  <c r="G108" i="14" s="1"/>
  <c r="G1" i="14"/>
  <c r="L2" i="14"/>
  <c r="P4" i="11"/>
  <c r="E59" i="14" s="1"/>
  <c r="K2" i="14"/>
  <c r="Q4" i="11"/>
  <c r="D59" i="14" s="1"/>
  <c r="J2" i="14"/>
  <c r="R4" i="11"/>
  <c r="C59" i="14" s="1"/>
  <c r="I2" i="14"/>
  <c r="S4" i="11"/>
  <c r="B59" i="14" s="1"/>
  <c r="P63" i="11"/>
  <c r="P33" i="11"/>
  <c r="E29" i="14" s="1"/>
  <c r="P61" i="11"/>
  <c r="P55" i="11"/>
  <c r="P49" i="11"/>
  <c r="P43" i="11"/>
  <c r="P31" i="11"/>
  <c r="E28" i="14" s="1"/>
  <c r="E2" i="14"/>
  <c r="P57" i="11"/>
  <c r="P65" i="11"/>
  <c r="P45" i="11"/>
  <c r="P59" i="11"/>
  <c r="P53" i="11"/>
  <c r="P47" i="11"/>
  <c r="P51" i="11"/>
  <c r="S55" i="11"/>
  <c r="S61" i="11"/>
  <c r="S43" i="11"/>
  <c r="S65" i="11"/>
  <c r="S59" i="11"/>
  <c r="S53" i="11"/>
  <c r="S47" i="11"/>
  <c r="S33" i="11"/>
  <c r="B29" i="14" s="1"/>
  <c r="S49" i="11"/>
  <c r="S31" i="11"/>
  <c r="B28" i="14" s="1"/>
  <c r="B2" i="14"/>
  <c r="A2" i="14" s="1"/>
  <c r="A144" i="14" s="1"/>
  <c r="S57" i="11"/>
  <c r="S51" i="11"/>
  <c r="S45" i="11"/>
  <c r="S63" i="11"/>
  <c r="Q63" i="11"/>
  <c r="Q61" i="11"/>
  <c r="Q55" i="11"/>
  <c r="Q49" i="11"/>
  <c r="Q43" i="11"/>
  <c r="Q31" i="11"/>
  <c r="D28" i="14" s="1"/>
  <c r="Q65" i="11"/>
  <c r="D2" i="14"/>
  <c r="Q59" i="11"/>
  <c r="Q53" i="11"/>
  <c r="Q47" i="11"/>
  <c r="Q51" i="11"/>
  <c r="Q57" i="11"/>
  <c r="Q33" i="11"/>
  <c r="D29" i="14" s="1"/>
  <c r="Q45" i="11"/>
  <c r="R61" i="11"/>
  <c r="R55" i="11"/>
  <c r="R49" i="11"/>
  <c r="R43" i="11"/>
  <c r="R31" i="11"/>
  <c r="C28" i="14" s="1"/>
  <c r="R65" i="11"/>
  <c r="R59" i="11"/>
  <c r="R53" i="11"/>
  <c r="R47" i="11"/>
  <c r="C2" i="14"/>
  <c r="R45" i="11"/>
  <c r="R57" i="11"/>
  <c r="R51" i="11"/>
  <c r="R33" i="11"/>
  <c r="C29" i="14" s="1"/>
  <c r="R63" i="11"/>
  <c r="R23" i="11"/>
  <c r="C19" i="14" s="1"/>
  <c r="C104" i="14" s="1"/>
  <c r="R21" i="11"/>
  <c r="C18" i="14" s="1"/>
  <c r="C103" i="14" s="1"/>
  <c r="R29" i="11"/>
  <c r="C27" i="14" s="1"/>
  <c r="R27" i="11"/>
  <c r="C26" i="14" s="1"/>
  <c r="C130" i="14" s="1"/>
  <c r="C151" i="14" s="1"/>
  <c r="R25" i="11"/>
  <c r="C25" i="14" s="1"/>
  <c r="C129" i="14" s="1"/>
  <c r="C148" i="14" s="1"/>
  <c r="S23" i="11"/>
  <c r="B19" i="14" s="1"/>
  <c r="B104" i="14" s="1"/>
  <c r="S29" i="11"/>
  <c r="B27" i="14" s="1"/>
  <c r="S25" i="11"/>
  <c r="B25" i="14" s="1"/>
  <c r="B129" i="14" s="1"/>
  <c r="B148" i="14" s="1"/>
  <c r="S27" i="11"/>
  <c r="B26" i="14" s="1"/>
  <c r="B130" i="14" s="1"/>
  <c r="B151" i="14" s="1"/>
  <c r="S21" i="11"/>
  <c r="B18" i="14" s="1"/>
  <c r="B103" i="14" s="1"/>
  <c r="P25" i="11"/>
  <c r="E25" i="14" s="1"/>
  <c r="E129" i="14" s="1"/>
  <c r="E148" i="14" s="1"/>
  <c r="P23" i="11"/>
  <c r="E19" i="14" s="1"/>
  <c r="E104" i="14" s="1"/>
  <c r="P21" i="11"/>
  <c r="E18" i="14" s="1"/>
  <c r="E103" i="14" s="1"/>
  <c r="P27" i="11"/>
  <c r="E26" i="14" s="1"/>
  <c r="E130" i="14" s="1"/>
  <c r="E151" i="14" s="1"/>
  <c r="P29" i="11"/>
  <c r="E27" i="14" s="1"/>
  <c r="Q29" i="11"/>
  <c r="D27" i="14" s="1"/>
  <c r="Q23" i="11"/>
  <c r="D19" i="14" s="1"/>
  <c r="D104" i="14" s="1"/>
  <c r="Q25" i="11"/>
  <c r="D25" i="14" s="1"/>
  <c r="D129" i="14" s="1"/>
  <c r="D148" i="14" s="1"/>
  <c r="Q27" i="11"/>
  <c r="D26" i="14" s="1"/>
  <c r="D130" i="14" s="1"/>
  <c r="D151" i="14" s="1"/>
  <c r="Q21" i="11"/>
  <c r="D18" i="14" s="1"/>
  <c r="D103" i="14" s="1"/>
  <c r="E5" i="12"/>
  <c r="O43" i="11"/>
  <c r="E10" i="12"/>
  <c r="O53" i="11"/>
  <c r="E7" i="12"/>
  <c r="O47" i="11"/>
  <c r="E6" i="12"/>
  <c r="O45" i="11"/>
  <c r="E14" i="12"/>
  <c r="O61" i="11"/>
  <c r="M31" i="9"/>
  <c r="O23" i="11"/>
  <c r="E8" i="12"/>
  <c r="O49" i="11"/>
  <c r="E11" i="12"/>
  <c r="O55" i="11"/>
  <c r="E13" i="12"/>
  <c r="O59" i="11"/>
  <c r="E9" i="12"/>
  <c r="O51" i="11"/>
  <c r="E12" i="12"/>
  <c r="O57" i="11"/>
  <c r="E108" i="10"/>
  <c r="E107" i="10"/>
  <c r="E109" i="10"/>
  <c r="E106" i="10"/>
  <c r="C5" i="10"/>
  <c r="G160" i="14" l="1"/>
  <c r="G105" i="14"/>
  <c r="A166" i="14"/>
  <c r="A169" i="14"/>
  <c r="A163" i="14"/>
  <c r="A160" i="14"/>
  <c r="A157" i="14"/>
  <c r="A154" i="14"/>
  <c r="A151" i="14"/>
  <c r="A148" i="14"/>
  <c r="B34" i="14"/>
  <c r="B152" i="14" s="1"/>
  <c r="Z21" i="11" a="1"/>
  <c r="Z21" i="11" s="1"/>
  <c r="Y33" i="11" a="1"/>
  <c r="Y33" i="11" s="1"/>
  <c r="Z31" i="11" a="1"/>
  <c r="Z31" i="11" s="1"/>
  <c r="B37" i="14"/>
  <c r="B161" i="14" s="1"/>
  <c r="W31" i="11" a="1"/>
  <c r="W31" i="11" s="1"/>
  <c r="B33" i="14"/>
  <c r="B149" i="14" s="1"/>
  <c r="X29" i="11" a="1"/>
  <c r="X29" i="11" s="1"/>
  <c r="X21" i="11" a="1"/>
  <c r="X21" i="11" s="1"/>
  <c r="B21" i="14"/>
  <c r="B124" i="14" s="1"/>
  <c r="W33" i="11" a="1"/>
  <c r="W33" i="11" s="1"/>
  <c r="D37" i="14" s="1"/>
  <c r="D161" i="14" s="1"/>
  <c r="X23" i="11" a="1"/>
  <c r="X23" i="11" s="1"/>
  <c r="X31" i="11" a="1"/>
  <c r="X31" i="11" s="1"/>
  <c r="D36" i="14" s="1"/>
  <c r="D158" i="14" s="1"/>
  <c r="W29" i="11" a="1"/>
  <c r="W29" i="11" s="1"/>
  <c r="V27" i="11" a="1"/>
  <c r="V27" i="11" s="1"/>
  <c r="U25" i="11" a="1"/>
  <c r="U25" i="11" s="1"/>
  <c r="B22" i="14"/>
  <c r="B125" i="14" s="1"/>
  <c r="B36" i="14"/>
  <c r="B158" i="14" s="1"/>
  <c r="B35" i="14"/>
  <c r="B155" i="14" s="1"/>
  <c r="Z33" i="11" a="1"/>
  <c r="Z33" i="11" s="1"/>
  <c r="X25" i="11" a="1"/>
  <c r="X25" i="11" s="1"/>
  <c r="Z23" i="11" a="1"/>
  <c r="Z23" i="11" s="1"/>
  <c r="W23" i="11" a="1"/>
  <c r="W23" i="11" s="1"/>
  <c r="X27" i="11" a="1"/>
  <c r="X27" i="11" s="1"/>
  <c r="Y29" i="11" a="1"/>
  <c r="Y29" i="11" s="1"/>
  <c r="W21" i="11" a="1"/>
  <c r="W21" i="11" s="1"/>
  <c r="W25" i="11" a="1"/>
  <c r="W25" i="11" s="1"/>
  <c r="Z29" i="11" a="1"/>
  <c r="Z29" i="11" s="1"/>
  <c r="W27" i="11" a="1"/>
  <c r="W27" i="11" s="1"/>
  <c r="B110" i="14"/>
  <c r="C132" i="14"/>
  <c r="C157" i="14"/>
  <c r="E133" i="14"/>
  <c r="E160" i="14"/>
  <c r="D132" i="14"/>
  <c r="D157" i="14"/>
  <c r="C133" i="14"/>
  <c r="C160" i="14"/>
  <c r="B133" i="14"/>
  <c r="B160" i="14"/>
  <c r="B132" i="14"/>
  <c r="B157" i="14"/>
  <c r="D133" i="14"/>
  <c r="D160" i="14"/>
  <c r="E132" i="14"/>
  <c r="E157" i="14"/>
  <c r="D131" i="14"/>
  <c r="D154" i="14"/>
  <c r="E131" i="14"/>
  <c r="E154" i="14"/>
  <c r="C131" i="14"/>
  <c r="C154" i="14"/>
  <c r="B131" i="14"/>
  <c r="B154" i="14"/>
  <c r="D120" i="14"/>
  <c r="D109" i="14"/>
  <c r="C120" i="14"/>
  <c r="C109" i="14"/>
  <c r="E120" i="14"/>
  <c r="E109" i="14"/>
  <c r="B120" i="14"/>
  <c r="B109" i="14"/>
  <c r="D121" i="14"/>
  <c r="D110" i="14"/>
  <c r="C121" i="14"/>
  <c r="C110" i="14"/>
  <c r="E121" i="14"/>
  <c r="E110" i="14"/>
  <c r="G122" i="14"/>
  <c r="G111" i="14"/>
  <c r="Y23" i="11" a="1"/>
  <c r="Y23" i="11" s="1"/>
  <c r="V29" i="11" a="1"/>
  <c r="V29" i="11" s="1"/>
  <c r="V23" i="11" a="1"/>
  <c r="V23" i="11" s="1"/>
  <c r="Y31" i="11" a="1"/>
  <c r="Y31" i="11" s="1"/>
  <c r="V33" i="11" a="1"/>
  <c r="V33" i="11" s="1"/>
  <c r="E37" i="14" s="1"/>
  <c r="E161" i="14" s="1"/>
  <c r="U29" i="11" a="1"/>
  <c r="U29" i="11" s="1"/>
  <c r="U27" i="11" a="1"/>
  <c r="U27" i="11" s="1"/>
  <c r="V25" i="11" a="1"/>
  <c r="V25" i="11" s="1"/>
  <c r="Y25" i="11" a="1"/>
  <c r="Y25" i="11" s="1"/>
  <c r="C33" i="14" s="1"/>
  <c r="C149" i="14" s="1"/>
  <c r="V21" i="11" a="1"/>
  <c r="V21" i="11" s="1"/>
  <c r="U31" i="11" a="1"/>
  <c r="U31" i="11" s="1"/>
  <c r="Y21" i="11" a="1"/>
  <c r="Y21" i="11" s="1"/>
  <c r="Z27" i="11" a="1"/>
  <c r="Z27" i="11" s="1"/>
  <c r="U23" i="11" a="1"/>
  <c r="U23" i="11" s="1"/>
  <c r="G113" i="14"/>
  <c r="G119" i="14"/>
  <c r="G128" i="14" s="1"/>
  <c r="G147" i="14" s="1"/>
  <c r="G172" i="14" s="1"/>
  <c r="Y27" i="11" a="1"/>
  <c r="Y27" i="11" s="1"/>
  <c r="V31" i="11" a="1"/>
  <c r="V31" i="11" s="1"/>
  <c r="U21" i="11" a="1"/>
  <c r="U21" i="11" s="1"/>
  <c r="B121" i="14"/>
  <c r="E115" i="14"/>
  <c r="D115" i="14"/>
  <c r="C115" i="14"/>
  <c r="C114" i="14"/>
  <c r="E114" i="14"/>
  <c r="D114" i="14"/>
  <c r="E95" i="14"/>
  <c r="C105" i="14"/>
  <c r="D105" i="14"/>
  <c r="B100" i="14"/>
  <c r="E105" i="14"/>
  <c r="B105" i="14"/>
  <c r="B111" i="14" s="1"/>
  <c r="C95" i="14"/>
  <c r="E100" i="14"/>
  <c r="D100" i="14"/>
  <c r="C100" i="14"/>
  <c r="B95" i="14"/>
  <c r="D95" i="14"/>
  <c r="B8" i="14"/>
  <c r="B87" i="14" s="1"/>
  <c r="E8" i="14"/>
  <c r="E87" i="14" s="1"/>
  <c r="C8" i="14"/>
  <c r="C87" i="14" s="1"/>
  <c r="D8" i="14"/>
  <c r="D87" i="14" s="1"/>
  <c r="C75" i="14"/>
  <c r="C86" i="14" s="1"/>
  <c r="C91" i="14" s="1"/>
  <c r="C97" i="14" s="1"/>
  <c r="C102" i="14" s="1"/>
  <c r="C108" i="14" s="1"/>
  <c r="C1" i="14"/>
  <c r="B75" i="14"/>
  <c r="B86" i="14" s="1"/>
  <c r="B91" i="14" s="1"/>
  <c r="B97" i="14" s="1"/>
  <c r="B102" i="14" s="1"/>
  <c r="B1" i="14"/>
  <c r="D75" i="14"/>
  <c r="D86" i="14" s="1"/>
  <c r="D91" i="14" s="1"/>
  <c r="D97" i="14" s="1"/>
  <c r="D102" i="14" s="1"/>
  <c r="D108" i="14" s="1"/>
  <c r="D1" i="14"/>
  <c r="E75" i="14"/>
  <c r="E86" i="14" s="1"/>
  <c r="E91" i="14" s="1"/>
  <c r="E97" i="14" s="1"/>
  <c r="E102" i="14" s="1"/>
  <c r="E108" i="14" s="1"/>
  <c r="E1" i="14"/>
  <c r="AH22" i="11"/>
  <c r="D6" i="11"/>
  <c r="E6" i="11"/>
  <c r="AG16" i="11"/>
  <c r="D40" i="12" s="1"/>
  <c r="AG15" i="11"/>
  <c r="D39" i="12" s="1"/>
  <c r="AG14" i="11"/>
  <c r="D38" i="12" s="1"/>
  <c r="AG13" i="11"/>
  <c r="D37" i="12" s="1"/>
  <c r="AG12" i="11"/>
  <c r="D36" i="12" s="1"/>
  <c r="AG11" i="11"/>
  <c r="D35" i="12" s="1"/>
  <c r="AG10" i="11"/>
  <c r="D34" i="12" s="1"/>
  <c r="AG9" i="11"/>
  <c r="D33" i="12" s="1"/>
  <c r="AG8" i="11"/>
  <c r="D32" i="12" s="1"/>
  <c r="AG7" i="11"/>
  <c r="D31" i="12" s="1"/>
  <c r="AG6" i="11"/>
  <c r="D30" i="12" s="1"/>
  <c r="AG5" i="11"/>
  <c r="D35" i="14" l="1"/>
  <c r="D155" i="14" s="1"/>
  <c r="C22" i="14"/>
  <c r="C37" i="14"/>
  <c r="C161" i="14" s="1"/>
  <c r="E33" i="14"/>
  <c r="E149" i="14" s="1"/>
  <c r="C36" i="14"/>
  <c r="C158" i="14" s="1"/>
  <c r="D21" i="14"/>
  <c r="D124" i="14" s="1"/>
  <c r="E22" i="14"/>
  <c r="E125" i="14" s="1"/>
  <c r="C21" i="14"/>
  <c r="C124" i="14" s="1"/>
  <c r="D22" i="14"/>
  <c r="D125" i="14" s="1"/>
  <c r="E21" i="14"/>
  <c r="E124" i="14" s="1"/>
  <c r="C35" i="14"/>
  <c r="C155" i="14" s="1"/>
  <c r="E34" i="14"/>
  <c r="E152" i="14" s="1"/>
  <c r="B20" i="14"/>
  <c r="B123" i="14"/>
  <c r="E35" i="14"/>
  <c r="E155" i="14" s="1"/>
  <c r="C34" i="14"/>
  <c r="C152" i="14" s="1"/>
  <c r="D33" i="14"/>
  <c r="D149" i="14" s="1"/>
  <c r="E36" i="14"/>
  <c r="E158" i="14" s="1"/>
  <c r="D34" i="14"/>
  <c r="D152" i="14" s="1"/>
  <c r="B119" i="14"/>
  <c r="B128" i="14" s="1"/>
  <c r="B147" i="14" s="1"/>
  <c r="B172" i="14" s="1"/>
  <c r="B108" i="14"/>
  <c r="E122" i="14"/>
  <c r="E111" i="14"/>
  <c r="D122" i="14"/>
  <c r="D111" i="14"/>
  <c r="C122" i="14"/>
  <c r="C111" i="14"/>
  <c r="E113" i="14"/>
  <c r="E119" i="14"/>
  <c r="E128" i="14" s="1"/>
  <c r="E147" i="14" s="1"/>
  <c r="E172" i="14" s="1"/>
  <c r="D113" i="14"/>
  <c r="D119" i="14"/>
  <c r="D128" i="14" s="1"/>
  <c r="D147" i="14" s="1"/>
  <c r="D172" i="14" s="1"/>
  <c r="C113" i="14"/>
  <c r="C119" i="14"/>
  <c r="C128" i="14" s="1"/>
  <c r="C147" i="14" s="1"/>
  <c r="C172" i="14" s="1"/>
  <c r="D141" i="12"/>
  <c r="D29" i="12"/>
  <c r="C125" i="14"/>
  <c r="B122" i="14"/>
  <c r="D116" i="14"/>
  <c r="C116" i="14"/>
  <c r="E116" i="14"/>
  <c r="F73" i="11"/>
  <c r="F15" i="14" s="1"/>
  <c r="F98" i="14" s="1"/>
  <c r="F75" i="11"/>
  <c r="F16" i="14" s="1"/>
  <c r="F99" i="14" s="1"/>
  <c r="F71" i="11"/>
  <c r="F13" i="14" s="1"/>
  <c r="F94" i="14" s="1"/>
  <c r="F69" i="11"/>
  <c r="F12" i="14" s="1"/>
  <c r="F93" i="14" s="1"/>
  <c r="F67" i="11"/>
  <c r="F11" i="14" s="1"/>
  <c r="F92" i="14" s="1"/>
  <c r="M2" i="14"/>
  <c r="O6" i="11"/>
  <c r="F59" i="14" s="1"/>
  <c r="G4" i="12"/>
  <c r="F63" i="11"/>
  <c r="F2" i="14"/>
  <c r="F65" i="11"/>
  <c r="D142" i="12"/>
  <c r="D58" i="12"/>
  <c r="D156" i="12"/>
  <c r="D72" i="12"/>
  <c r="D86" i="12"/>
  <c r="D100" i="12"/>
  <c r="D114" i="12"/>
  <c r="D128" i="12"/>
  <c r="D44" i="12"/>
  <c r="D148" i="12"/>
  <c r="D64" i="12"/>
  <c r="D162" i="12"/>
  <c r="D78" i="12"/>
  <c r="D92" i="12"/>
  <c r="D106" i="12"/>
  <c r="D120" i="12"/>
  <c r="D134" i="12"/>
  <c r="D50" i="12"/>
  <c r="D161" i="12"/>
  <c r="D77" i="12"/>
  <c r="D91" i="12"/>
  <c r="D105" i="12"/>
  <c r="D119" i="12"/>
  <c r="D133" i="12"/>
  <c r="D49" i="12"/>
  <c r="D147" i="12"/>
  <c r="D63" i="12"/>
  <c r="D90" i="12"/>
  <c r="D104" i="12"/>
  <c r="D118" i="12"/>
  <c r="D132" i="12"/>
  <c r="D48" i="12"/>
  <c r="D146" i="12"/>
  <c r="D62" i="12"/>
  <c r="D160" i="12"/>
  <c r="D76" i="12"/>
  <c r="D103" i="12"/>
  <c r="D117" i="12"/>
  <c r="D131" i="12"/>
  <c r="D47" i="12"/>
  <c r="D145" i="12"/>
  <c r="D61" i="12"/>
  <c r="D159" i="12"/>
  <c r="D75" i="12"/>
  <c r="D89" i="12"/>
  <c r="D116" i="12"/>
  <c r="D130" i="12"/>
  <c r="D46" i="12"/>
  <c r="D144" i="12"/>
  <c r="D60" i="12"/>
  <c r="D158" i="12"/>
  <c r="D74" i="12"/>
  <c r="D88" i="12"/>
  <c r="D102" i="12"/>
  <c r="D129" i="12"/>
  <c r="D45" i="12"/>
  <c r="D143" i="12"/>
  <c r="D59" i="12"/>
  <c r="D157" i="12"/>
  <c r="D73" i="12"/>
  <c r="D87" i="12"/>
  <c r="D101" i="12"/>
  <c r="D115" i="12"/>
  <c r="E84" i="12"/>
  <c r="E98" i="12"/>
  <c r="E112" i="12"/>
  <c r="E28" i="12"/>
  <c r="E126" i="12"/>
  <c r="E42" i="12"/>
  <c r="E140" i="12"/>
  <c r="E56" i="12"/>
  <c r="E154" i="12"/>
  <c r="E70" i="12"/>
  <c r="D155" i="12"/>
  <c r="D71" i="12"/>
  <c r="D85" i="12"/>
  <c r="D99" i="12"/>
  <c r="D113" i="12"/>
  <c r="D127" i="12"/>
  <c r="D43" i="12"/>
  <c r="D57" i="12"/>
  <c r="D96" i="12"/>
  <c r="D110" i="12"/>
  <c r="D124" i="12"/>
  <c r="D138" i="12"/>
  <c r="D54" i="12"/>
  <c r="D152" i="12"/>
  <c r="D68" i="12"/>
  <c r="D166" i="12"/>
  <c r="D82" i="12"/>
  <c r="D109" i="12"/>
  <c r="D123" i="12"/>
  <c r="D137" i="12"/>
  <c r="D53" i="12"/>
  <c r="D151" i="12"/>
  <c r="D67" i="12"/>
  <c r="D165" i="12"/>
  <c r="D81" i="12"/>
  <c r="D95" i="12"/>
  <c r="D122" i="12"/>
  <c r="D136" i="12"/>
  <c r="D52" i="12"/>
  <c r="D150" i="12"/>
  <c r="D66" i="12"/>
  <c r="D164" i="12"/>
  <c r="D80" i="12"/>
  <c r="D94" i="12"/>
  <c r="D108" i="12"/>
  <c r="D135" i="12"/>
  <c r="D51" i="12"/>
  <c r="D149" i="12"/>
  <c r="D65" i="12"/>
  <c r="D163" i="12"/>
  <c r="D79" i="12"/>
  <c r="D93" i="12"/>
  <c r="D107" i="12"/>
  <c r="D121" i="12"/>
  <c r="F59" i="11"/>
  <c r="F55" i="11"/>
  <c r="F53" i="11"/>
  <c r="F61" i="11"/>
  <c r="F57" i="11"/>
  <c r="F51" i="11"/>
  <c r="I51" i="11" a="1"/>
  <c r="I51" i="11" s="1"/>
  <c r="J51" i="11" a="1"/>
  <c r="J51" i="11" s="1"/>
  <c r="I59" i="11" a="1"/>
  <c r="I59" i="11" s="1"/>
  <c r="I55" i="11" a="1"/>
  <c r="I55" i="11" s="1"/>
  <c r="J59" i="11" a="1"/>
  <c r="J59" i="11" s="1"/>
  <c r="J55" i="11" a="1"/>
  <c r="J55" i="11" s="1"/>
  <c r="I53" i="11" a="1"/>
  <c r="I53" i="11" s="1"/>
  <c r="I61" i="11" a="1"/>
  <c r="I61" i="11" s="1"/>
  <c r="I57" i="11" a="1"/>
  <c r="I57" i="11" s="1"/>
  <c r="J53" i="11" a="1"/>
  <c r="J53" i="11" s="1"/>
  <c r="J61" i="11" a="1"/>
  <c r="J61" i="11" s="1"/>
  <c r="J57" i="11" a="1"/>
  <c r="J57" i="11" s="1"/>
  <c r="F49" i="11"/>
  <c r="I49" i="11" a="1"/>
  <c r="I49" i="11" s="1"/>
  <c r="J49" i="11" a="1"/>
  <c r="J49" i="11" s="1"/>
  <c r="I45" i="11" a="1"/>
  <c r="I45" i="11" s="1"/>
  <c r="I47" i="11" a="1"/>
  <c r="I47" i="11" s="1"/>
  <c r="I43" i="11" a="1"/>
  <c r="I43" i="11" s="1"/>
  <c r="J45" i="11" a="1"/>
  <c r="J45" i="11" s="1"/>
  <c r="J47" i="11" a="1"/>
  <c r="J47" i="11" s="1"/>
  <c r="J43" i="11" a="1"/>
  <c r="J43" i="11" s="1"/>
  <c r="F47" i="11"/>
  <c r="F43" i="11"/>
  <c r="F45" i="11"/>
  <c r="F122" i="10"/>
  <c r="F153" i="10"/>
  <c r="F137" i="10"/>
  <c r="F168" i="10"/>
  <c r="E132" i="10"/>
  <c r="E134" i="10"/>
  <c r="E130" i="10"/>
  <c r="E133" i="10"/>
  <c r="E131" i="10"/>
  <c r="E129" i="10"/>
  <c r="E89" i="10"/>
  <c r="E123" i="10"/>
  <c r="E94" i="10"/>
  <c r="E128" i="10"/>
  <c r="E93" i="10"/>
  <c r="E127" i="10"/>
  <c r="E92" i="10"/>
  <c r="E126" i="10"/>
  <c r="E91" i="10"/>
  <c r="E125" i="10"/>
  <c r="E90" i="10"/>
  <c r="E124" i="10"/>
  <c r="E97" i="10"/>
  <c r="E98" i="10"/>
  <c r="E99" i="10"/>
  <c r="E100" i="10"/>
  <c r="F88" i="10"/>
  <c r="J23" i="11" a="1"/>
  <c r="J23" i="11" s="1"/>
  <c r="J29" i="11" a="1"/>
  <c r="J29" i="11" s="1"/>
  <c r="I33" i="11" a="1"/>
  <c r="I33" i="11" s="1"/>
  <c r="I23" i="11" a="1"/>
  <c r="I23" i="11" s="1"/>
  <c r="I25" i="11" a="1"/>
  <c r="I25" i="11" s="1"/>
  <c r="J31" i="11" a="1"/>
  <c r="J31" i="11" s="1"/>
  <c r="J27" i="11" a="1"/>
  <c r="J27" i="11" s="1"/>
  <c r="J33" i="11" a="1"/>
  <c r="J33" i="11" s="1"/>
  <c r="I31" i="11" a="1"/>
  <c r="I31" i="11" s="1"/>
  <c r="I27" i="11" a="1"/>
  <c r="I27" i="11" s="1"/>
  <c r="J21" i="11" a="1"/>
  <c r="J21" i="11" s="1"/>
  <c r="I29" i="11" a="1"/>
  <c r="I29" i="11" s="1"/>
  <c r="I21" i="11" a="1"/>
  <c r="I21" i="11" s="1"/>
  <c r="J25" i="11" a="1"/>
  <c r="J25" i="11" s="1"/>
  <c r="E95" i="10"/>
  <c r="E96" i="10"/>
  <c r="H104" i="10"/>
  <c r="F27" i="11"/>
  <c r="F21" i="11"/>
  <c r="F29" i="11"/>
  <c r="F25" i="11"/>
  <c r="F31" i="11"/>
  <c r="F33" i="11"/>
  <c r="F23" i="11"/>
  <c r="F58" i="10"/>
  <c r="F73" i="10"/>
  <c r="F42" i="10"/>
  <c r="AH9" i="11"/>
  <c r="E33" i="12" s="1"/>
  <c r="AH14" i="11"/>
  <c r="E38" i="12" s="1"/>
  <c r="AI22" i="11"/>
  <c r="AH6" i="11"/>
  <c r="E30" i="12" s="1"/>
  <c r="AH10" i="11"/>
  <c r="E34" i="12" s="1"/>
  <c r="AH11" i="11"/>
  <c r="E35" i="12" s="1"/>
  <c r="AH12" i="11"/>
  <c r="E36" i="12" s="1"/>
  <c r="AH5" i="11"/>
  <c r="E29" i="12" s="1"/>
  <c r="AH13" i="11"/>
  <c r="E37" i="12" s="1"/>
  <c r="AH7" i="11"/>
  <c r="E31" i="12" s="1"/>
  <c r="AH15" i="11"/>
  <c r="E39" i="12" s="1"/>
  <c r="AH8" i="11"/>
  <c r="E32" i="12" s="1"/>
  <c r="AH16" i="11"/>
  <c r="E40" i="12" s="1"/>
  <c r="J15" i="8"/>
  <c r="I15" i="8"/>
  <c r="G15" i="8"/>
  <c r="E15" i="8"/>
  <c r="C15" i="8"/>
  <c r="D15" i="8" s="1"/>
  <c r="B15" i="8"/>
  <c r="A15" i="8"/>
  <c r="J14" i="8"/>
  <c r="I14" i="8"/>
  <c r="G14" i="8"/>
  <c r="E14" i="8"/>
  <c r="C14" i="8"/>
  <c r="D14" i="8" s="1"/>
  <c r="B14" i="8"/>
  <c r="A14" i="8"/>
  <c r="J13" i="8"/>
  <c r="I13" i="8"/>
  <c r="G13" i="8"/>
  <c r="E13" i="8"/>
  <c r="C13" i="8"/>
  <c r="D13" i="8" s="1"/>
  <c r="B13" i="8"/>
  <c r="A13" i="8"/>
  <c r="J12" i="8"/>
  <c r="I12" i="8"/>
  <c r="G12" i="8"/>
  <c r="E12" i="8"/>
  <c r="C12" i="8"/>
  <c r="D12" i="8" s="1"/>
  <c r="B12" i="8"/>
  <c r="A12" i="8"/>
  <c r="J11" i="8"/>
  <c r="I11" i="8"/>
  <c r="G11" i="8"/>
  <c r="E11" i="8"/>
  <c r="C11" i="8"/>
  <c r="D11" i="8" s="1"/>
  <c r="B11" i="8"/>
  <c r="A11" i="8"/>
  <c r="J10" i="8"/>
  <c r="I10" i="8"/>
  <c r="G10" i="8"/>
  <c r="E10" i="8"/>
  <c r="C10" i="8"/>
  <c r="D10" i="8" s="1"/>
  <c r="B10" i="8"/>
  <c r="A10" i="8"/>
  <c r="J9" i="8"/>
  <c r="I9" i="8"/>
  <c r="G9" i="8"/>
  <c r="E9" i="8"/>
  <c r="C9" i="8"/>
  <c r="D9" i="8" s="1"/>
  <c r="B9" i="8"/>
  <c r="A9" i="8"/>
  <c r="J8" i="8"/>
  <c r="I8" i="8"/>
  <c r="G8" i="8"/>
  <c r="E8" i="8"/>
  <c r="C8" i="8"/>
  <c r="D8" i="8" s="1"/>
  <c r="B8" i="8"/>
  <c r="A8" i="8"/>
  <c r="J7" i="8"/>
  <c r="I7" i="8"/>
  <c r="G7" i="8"/>
  <c r="E7" i="8"/>
  <c r="C7" i="8"/>
  <c r="D7" i="8" s="1"/>
  <c r="B7" i="8"/>
  <c r="A7" i="8"/>
  <c r="J6" i="8"/>
  <c r="I6" i="8"/>
  <c r="G6" i="8"/>
  <c r="E6" i="8"/>
  <c r="C6" i="8"/>
  <c r="D6" i="8" s="1"/>
  <c r="B6" i="8"/>
  <c r="A6" i="8"/>
  <c r="J5" i="8"/>
  <c r="I5" i="8"/>
  <c r="G5" i="8"/>
  <c r="E5" i="8"/>
  <c r="C5" i="8"/>
  <c r="D5" i="8" s="1"/>
  <c r="B5" i="8"/>
  <c r="A5" i="8"/>
  <c r="J4" i="8"/>
  <c r="I4" i="8"/>
  <c r="G4" i="8"/>
  <c r="E4" i="8"/>
  <c r="C4" i="8"/>
  <c r="D4" i="8" s="1"/>
  <c r="B4" i="8"/>
  <c r="A4" i="8"/>
  <c r="J3" i="8"/>
  <c r="I3" i="8"/>
  <c r="G3" i="8"/>
  <c r="E3" i="8"/>
  <c r="C3" i="8"/>
  <c r="D3" i="8" s="1"/>
  <c r="B3" i="8"/>
  <c r="A3" i="8"/>
  <c r="J2" i="8"/>
  <c r="I2" i="8"/>
  <c r="G2" i="8"/>
  <c r="E2" i="8"/>
  <c r="C2" i="8"/>
  <c r="D2" i="8" s="1"/>
  <c r="B2" i="8"/>
  <c r="A2" i="8"/>
  <c r="A35" i="5"/>
  <c r="B35" i="5"/>
  <c r="C35" i="5"/>
  <c r="D35" i="5" s="1"/>
  <c r="E35" i="5"/>
  <c r="G35" i="5"/>
  <c r="I35" i="5"/>
  <c r="J35" i="5"/>
  <c r="A36" i="5"/>
  <c r="B36" i="5"/>
  <c r="C36" i="5"/>
  <c r="D36" i="5" s="1"/>
  <c r="E36" i="5"/>
  <c r="G36" i="5"/>
  <c r="I36" i="5"/>
  <c r="J36" i="5"/>
  <c r="A37" i="5"/>
  <c r="B37" i="5"/>
  <c r="C37" i="5"/>
  <c r="D37" i="5" s="1"/>
  <c r="E37" i="5"/>
  <c r="G37" i="5"/>
  <c r="I37" i="5"/>
  <c r="J37" i="5"/>
  <c r="A38" i="5"/>
  <c r="B38" i="5"/>
  <c r="C38" i="5"/>
  <c r="D38" i="5" s="1"/>
  <c r="E38" i="5"/>
  <c r="G38" i="5"/>
  <c r="I38" i="5"/>
  <c r="J38" i="5"/>
  <c r="A39" i="5"/>
  <c r="B39" i="5"/>
  <c r="C39" i="5"/>
  <c r="D39" i="5" s="1"/>
  <c r="E39" i="5"/>
  <c r="G39" i="5"/>
  <c r="I39" i="5"/>
  <c r="J39" i="5"/>
  <c r="A40" i="5"/>
  <c r="B40" i="5"/>
  <c r="C40" i="5"/>
  <c r="D40" i="5" s="1"/>
  <c r="E40" i="5"/>
  <c r="G40" i="5"/>
  <c r="I40" i="5"/>
  <c r="J40" i="5"/>
  <c r="A41" i="5"/>
  <c r="B41" i="5"/>
  <c r="C41" i="5"/>
  <c r="D41" i="5" s="1"/>
  <c r="E41" i="5"/>
  <c r="G41" i="5"/>
  <c r="I41" i="5"/>
  <c r="J41" i="5"/>
  <c r="A42" i="5"/>
  <c r="B42" i="5"/>
  <c r="C42" i="5"/>
  <c r="D42" i="5" s="1"/>
  <c r="E42" i="5"/>
  <c r="G42" i="5"/>
  <c r="I42" i="5"/>
  <c r="J42" i="5"/>
  <c r="A43" i="5"/>
  <c r="B43" i="5"/>
  <c r="C43" i="5"/>
  <c r="D43" i="5" s="1"/>
  <c r="E43" i="5"/>
  <c r="G43" i="5"/>
  <c r="I43" i="5"/>
  <c r="J43" i="5"/>
  <c r="A44" i="5"/>
  <c r="B44" i="5"/>
  <c r="C44" i="5"/>
  <c r="D44" i="5" s="1"/>
  <c r="E44" i="5"/>
  <c r="G44" i="5"/>
  <c r="I44" i="5"/>
  <c r="J44" i="5"/>
  <c r="A3" i="5"/>
  <c r="B3" i="5"/>
  <c r="C3" i="5"/>
  <c r="D3" i="5" s="1"/>
  <c r="E3" i="5"/>
  <c r="G3" i="5"/>
  <c r="I3" i="5"/>
  <c r="J3" i="5"/>
  <c r="A4" i="5"/>
  <c r="B4" i="5"/>
  <c r="C4" i="5"/>
  <c r="D4" i="5" s="1"/>
  <c r="E4" i="5"/>
  <c r="G4" i="5"/>
  <c r="I4" i="5"/>
  <c r="J4" i="5"/>
  <c r="A5" i="5"/>
  <c r="B5" i="5"/>
  <c r="C5" i="5"/>
  <c r="D5" i="5" s="1"/>
  <c r="E5" i="5"/>
  <c r="G5" i="5"/>
  <c r="I5" i="5"/>
  <c r="J5" i="5"/>
  <c r="A6" i="5"/>
  <c r="B6" i="5"/>
  <c r="C6" i="5"/>
  <c r="D6" i="5" s="1"/>
  <c r="E6" i="5"/>
  <c r="G6" i="5"/>
  <c r="I6" i="5"/>
  <c r="J6" i="5"/>
  <c r="A7" i="5"/>
  <c r="B7" i="5"/>
  <c r="C7" i="5"/>
  <c r="D7" i="5" s="1"/>
  <c r="E7" i="5"/>
  <c r="G7" i="5"/>
  <c r="I7" i="5"/>
  <c r="J7" i="5"/>
  <c r="A8" i="5"/>
  <c r="B8" i="5"/>
  <c r="C8" i="5"/>
  <c r="D8" i="5" s="1"/>
  <c r="E8" i="5"/>
  <c r="G8" i="5"/>
  <c r="I8" i="5"/>
  <c r="J8" i="5"/>
  <c r="A9" i="5"/>
  <c r="B9" i="5"/>
  <c r="C9" i="5"/>
  <c r="D9" i="5" s="1"/>
  <c r="E9" i="5"/>
  <c r="G9" i="5"/>
  <c r="I9" i="5"/>
  <c r="J9" i="5"/>
  <c r="A10" i="5"/>
  <c r="B10" i="5"/>
  <c r="C10" i="5"/>
  <c r="D10" i="5" s="1"/>
  <c r="E10" i="5"/>
  <c r="G10" i="5"/>
  <c r="I10" i="5"/>
  <c r="J10" i="5"/>
  <c r="A11" i="5"/>
  <c r="B11" i="5"/>
  <c r="C11" i="5"/>
  <c r="D11" i="5" s="1"/>
  <c r="E11" i="5"/>
  <c r="G11" i="5"/>
  <c r="I11" i="5"/>
  <c r="J11" i="5"/>
  <c r="A12" i="5"/>
  <c r="B12" i="5"/>
  <c r="C12" i="5"/>
  <c r="D12" i="5" s="1"/>
  <c r="E12" i="5"/>
  <c r="G12" i="5"/>
  <c r="I12" i="5"/>
  <c r="J12" i="5"/>
  <c r="A13" i="5"/>
  <c r="B13" i="5"/>
  <c r="C13" i="5"/>
  <c r="D13" i="5" s="1"/>
  <c r="E13" i="5"/>
  <c r="G13" i="5"/>
  <c r="I13" i="5"/>
  <c r="J13" i="5"/>
  <c r="A14" i="5"/>
  <c r="B14" i="5"/>
  <c r="C14" i="5"/>
  <c r="D14" i="5" s="1"/>
  <c r="E14" i="5"/>
  <c r="G14" i="5"/>
  <c r="I14" i="5"/>
  <c r="J14" i="5"/>
  <c r="A15" i="5"/>
  <c r="B15" i="5"/>
  <c r="C15" i="5"/>
  <c r="D15" i="5" s="1"/>
  <c r="E15" i="5"/>
  <c r="G15" i="5"/>
  <c r="I15" i="5"/>
  <c r="J15" i="5"/>
  <c r="A16" i="5"/>
  <c r="B16" i="5"/>
  <c r="C16" i="5"/>
  <c r="D16" i="5" s="1"/>
  <c r="E16" i="5"/>
  <c r="G16" i="5"/>
  <c r="I16" i="5"/>
  <c r="J16" i="5"/>
  <c r="A17" i="5"/>
  <c r="B17" i="5"/>
  <c r="C17" i="5"/>
  <c r="D17" i="5" s="1"/>
  <c r="E17" i="5"/>
  <c r="G17" i="5"/>
  <c r="I17" i="5"/>
  <c r="J17" i="5"/>
  <c r="A18" i="5"/>
  <c r="B18" i="5"/>
  <c r="C18" i="5"/>
  <c r="D18" i="5" s="1"/>
  <c r="E18" i="5"/>
  <c r="G18" i="5"/>
  <c r="I18" i="5"/>
  <c r="J18" i="5"/>
  <c r="A19" i="5"/>
  <c r="B19" i="5"/>
  <c r="C19" i="5"/>
  <c r="D19" i="5" s="1"/>
  <c r="E19" i="5"/>
  <c r="G19" i="5"/>
  <c r="I19" i="5"/>
  <c r="J19" i="5"/>
  <c r="A20" i="5"/>
  <c r="B20" i="5"/>
  <c r="C20" i="5"/>
  <c r="D20" i="5" s="1"/>
  <c r="E20" i="5"/>
  <c r="G20" i="5"/>
  <c r="I20" i="5"/>
  <c r="J20" i="5"/>
  <c r="A21" i="5"/>
  <c r="B21" i="5"/>
  <c r="C21" i="5"/>
  <c r="D21" i="5" s="1"/>
  <c r="E21" i="5"/>
  <c r="G21" i="5"/>
  <c r="I21" i="5"/>
  <c r="J21" i="5"/>
  <c r="A22" i="5"/>
  <c r="B22" i="5"/>
  <c r="C22" i="5"/>
  <c r="D22" i="5" s="1"/>
  <c r="E22" i="5"/>
  <c r="G22" i="5"/>
  <c r="I22" i="5"/>
  <c r="J22" i="5"/>
  <c r="A23" i="5"/>
  <c r="B23" i="5"/>
  <c r="C23" i="5"/>
  <c r="D23" i="5" s="1"/>
  <c r="E23" i="5"/>
  <c r="G23" i="5"/>
  <c r="I23" i="5"/>
  <c r="J23" i="5"/>
  <c r="A24" i="5"/>
  <c r="B24" i="5"/>
  <c r="C24" i="5"/>
  <c r="D24" i="5" s="1"/>
  <c r="E24" i="5"/>
  <c r="G24" i="5"/>
  <c r="I24" i="5"/>
  <c r="J24" i="5"/>
  <c r="A25" i="5"/>
  <c r="B25" i="5"/>
  <c r="C25" i="5"/>
  <c r="D25" i="5" s="1"/>
  <c r="E25" i="5"/>
  <c r="G25" i="5"/>
  <c r="I25" i="5"/>
  <c r="J25" i="5"/>
  <c r="A26" i="5"/>
  <c r="B26" i="5"/>
  <c r="C26" i="5"/>
  <c r="D26" i="5" s="1"/>
  <c r="E26" i="5"/>
  <c r="G26" i="5"/>
  <c r="I26" i="5"/>
  <c r="J26" i="5"/>
  <c r="A27" i="5"/>
  <c r="B27" i="5"/>
  <c r="C27" i="5"/>
  <c r="D27" i="5" s="1"/>
  <c r="E27" i="5"/>
  <c r="G27" i="5"/>
  <c r="I27" i="5"/>
  <c r="J27" i="5"/>
  <c r="A28" i="5"/>
  <c r="B28" i="5"/>
  <c r="C28" i="5"/>
  <c r="D28" i="5" s="1"/>
  <c r="E28" i="5"/>
  <c r="G28" i="5"/>
  <c r="I28" i="5"/>
  <c r="J28" i="5"/>
  <c r="A29" i="5"/>
  <c r="B29" i="5"/>
  <c r="C29" i="5"/>
  <c r="D29" i="5" s="1"/>
  <c r="E29" i="5"/>
  <c r="G29" i="5"/>
  <c r="I29" i="5"/>
  <c r="J29" i="5"/>
  <c r="A30" i="5"/>
  <c r="B30" i="5"/>
  <c r="C30" i="5"/>
  <c r="D30" i="5" s="1"/>
  <c r="E30" i="5"/>
  <c r="G30" i="5"/>
  <c r="I30" i="5"/>
  <c r="J30" i="5"/>
  <c r="A31" i="5"/>
  <c r="B31" i="5"/>
  <c r="C31" i="5"/>
  <c r="D31" i="5" s="1"/>
  <c r="E31" i="5"/>
  <c r="G31" i="5"/>
  <c r="I31" i="5"/>
  <c r="J31" i="5"/>
  <c r="A32" i="5"/>
  <c r="B32" i="5"/>
  <c r="C32" i="5"/>
  <c r="D32" i="5" s="1"/>
  <c r="E32" i="5"/>
  <c r="G32" i="5"/>
  <c r="I32" i="5"/>
  <c r="J32" i="5"/>
  <c r="A33" i="5"/>
  <c r="B33" i="5"/>
  <c r="C33" i="5"/>
  <c r="D33" i="5" s="1"/>
  <c r="E33" i="5"/>
  <c r="G33" i="5"/>
  <c r="I33" i="5"/>
  <c r="J33" i="5"/>
  <c r="A34" i="5"/>
  <c r="B34" i="5"/>
  <c r="C34" i="5"/>
  <c r="D34" i="5" s="1"/>
  <c r="E34" i="5"/>
  <c r="G34" i="5"/>
  <c r="I34" i="5"/>
  <c r="J34" i="5"/>
  <c r="J2" i="5"/>
  <c r="I2" i="5"/>
  <c r="G2" i="5"/>
  <c r="E2" i="5"/>
  <c r="C2" i="5"/>
  <c r="D2" i="5" s="1"/>
  <c r="B2" i="5"/>
  <c r="A2" i="5"/>
  <c r="F19" i="14" l="1"/>
  <c r="F104" i="14" s="1"/>
  <c r="G115" i="14" s="1"/>
  <c r="K23" i="11"/>
  <c r="L23" i="11"/>
  <c r="F29" i="14"/>
  <c r="K33" i="11"/>
  <c r="L33" i="11"/>
  <c r="G8" i="12"/>
  <c r="K49" i="11"/>
  <c r="L49" i="11"/>
  <c r="F28" i="14"/>
  <c r="F132" i="14" s="1"/>
  <c r="K31" i="11"/>
  <c r="L31" i="11"/>
  <c r="G9" i="12"/>
  <c r="K51" i="11"/>
  <c r="L51" i="11"/>
  <c r="F26" i="14"/>
  <c r="F130" i="14" s="1"/>
  <c r="F151" i="14" s="1"/>
  <c r="K27" i="11"/>
  <c r="L27" i="11"/>
  <c r="G12" i="12"/>
  <c r="L57" i="11"/>
  <c r="K57" i="11"/>
  <c r="G14" i="12"/>
  <c r="K61" i="11"/>
  <c r="L61" i="11"/>
  <c r="G7" i="12"/>
  <c r="L47" i="11"/>
  <c r="K47" i="11"/>
  <c r="F25" i="14"/>
  <c r="F129" i="14" s="1"/>
  <c r="F148" i="14" s="1"/>
  <c r="K25" i="11"/>
  <c r="L25" i="11"/>
  <c r="F18" i="14"/>
  <c r="F103" i="14" s="1"/>
  <c r="G114" i="14" s="1"/>
  <c r="K21" i="11"/>
  <c r="L21" i="11"/>
  <c r="G10" i="12"/>
  <c r="K53" i="11"/>
  <c r="L53" i="11"/>
  <c r="G6" i="12"/>
  <c r="L45" i="11"/>
  <c r="K45" i="11"/>
  <c r="G11" i="12"/>
  <c r="K55" i="11"/>
  <c r="L55" i="11"/>
  <c r="F27" i="14"/>
  <c r="F131" i="14" s="1"/>
  <c r="K29" i="11"/>
  <c r="L29" i="11"/>
  <c r="G5" i="12"/>
  <c r="K43" i="11"/>
  <c r="L43" i="11"/>
  <c r="G13" i="12"/>
  <c r="K59" i="11"/>
  <c r="L59" i="11"/>
  <c r="F33" i="14"/>
  <c r="F149" i="14" s="1"/>
  <c r="C20" i="14"/>
  <c r="C123" i="14"/>
  <c r="E123" i="14"/>
  <c r="D20" i="14"/>
  <c r="D123" i="14"/>
  <c r="E20" i="14"/>
  <c r="F37" i="14"/>
  <c r="F161" i="14" s="1"/>
  <c r="F34" i="14"/>
  <c r="F152" i="14" s="1"/>
  <c r="F22" i="14"/>
  <c r="F125" i="14" s="1"/>
  <c r="F36" i="14"/>
  <c r="F158" i="14" s="1"/>
  <c r="F35" i="14"/>
  <c r="F155" i="14" s="1"/>
  <c r="F133" i="14"/>
  <c r="F160" i="14"/>
  <c r="Y11" i="11" a="1"/>
  <c r="Y11" i="11" s="1"/>
  <c r="AB35" i="11" a="1"/>
  <c r="AB35" i="11" s="1"/>
  <c r="AA35" i="11" a="1"/>
  <c r="AA35" i="11" s="1"/>
  <c r="AB11" i="11" a="1"/>
  <c r="AB11" i="11" s="1"/>
  <c r="Z35" i="11" a="1"/>
  <c r="Z35" i="11" s="1"/>
  <c r="AA11" i="11" a="1"/>
  <c r="AA11" i="11" s="1"/>
  <c r="X11" i="11" a="1"/>
  <c r="X11" i="11" s="1"/>
  <c r="W11" i="11" a="1"/>
  <c r="W11" i="11" s="1"/>
  <c r="W35" i="11" a="1"/>
  <c r="W35" i="11" s="1"/>
  <c r="U35" i="11" a="1"/>
  <c r="U35" i="11" s="1"/>
  <c r="X35" i="11" a="1"/>
  <c r="X35" i="11" s="1"/>
  <c r="Y35" i="11" a="1"/>
  <c r="Y35" i="11" s="1"/>
  <c r="U11" i="11" a="1"/>
  <c r="U11" i="11" s="1"/>
  <c r="V35" i="11" a="1"/>
  <c r="V35" i="11" s="1"/>
  <c r="V11" i="11" a="1"/>
  <c r="V11" i="11" s="1"/>
  <c r="Z11" i="11" a="1"/>
  <c r="Z11" i="11" s="1"/>
  <c r="F21" i="14"/>
  <c r="F124" i="14" s="1"/>
  <c r="F115" i="14"/>
  <c r="F100" i="14"/>
  <c r="F95" i="14"/>
  <c r="G63" i="11" a="1"/>
  <c r="G63" i="11" s="1"/>
  <c r="H63" i="11" a="1"/>
  <c r="H63" i="11" s="1"/>
  <c r="I63" i="11" a="1"/>
  <c r="I63" i="11" s="1"/>
  <c r="J63" i="11" a="1"/>
  <c r="J63" i="11" s="1"/>
  <c r="F8" i="14"/>
  <c r="F87" i="14" s="1"/>
  <c r="F75" i="14"/>
  <c r="F86" i="14" s="1"/>
  <c r="F91" i="14" s="1"/>
  <c r="F97" i="14" s="1"/>
  <c r="F102" i="14" s="1"/>
  <c r="F108" i="14" s="1"/>
  <c r="F1" i="14"/>
  <c r="P41" i="11"/>
  <c r="E42" i="14" s="1"/>
  <c r="E169" i="14" s="1"/>
  <c r="E175" i="14" s="1"/>
  <c r="S35" i="11"/>
  <c r="B30" i="14" s="1"/>
  <c r="B134" i="14" s="1"/>
  <c r="Q35" i="11"/>
  <c r="D30" i="14" s="1"/>
  <c r="D134" i="14" s="1"/>
  <c r="Q17" i="11"/>
  <c r="D4" i="14" s="1"/>
  <c r="P35" i="11"/>
  <c r="E30" i="14" s="1"/>
  <c r="E134" i="14" s="1"/>
  <c r="R17" i="11"/>
  <c r="C4" i="14" s="1"/>
  <c r="S11" i="11"/>
  <c r="P11" i="11"/>
  <c r="Q11" i="11"/>
  <c r="P37" i="11"/>
  <c r="E41" i="14" s="1"/>
  <c r="E166" i="14" s="1"/>
  <c r="E174" i="14" s="1"/>
  <c r="P39" i="11"/>
  <c r="R11" i="11"/>
  <c r="Q15" i="11"/>
  <c r="D3" i="14" s="1"/>
  <c r="P19" i="11"/>
  <c r="E5" i="14" s="1"/>
  <c r="Q19" i="11"/>
  <c r="D5" i="14" s="1"/>
  <c r="R35" i="11"/>
  <c r="C30" i="14" s="1"/>
  <c r="C134" i="14" s="1"/>
  <c r="R15" i="11"/>
  <c r="C3" i="14" s="1"/>
  <c r="P15" i="11"/>
  <c r="E3" i="14" s="1"/>
  <c r="P17" i="11"/>
  <c r="E4" i="14" s="1"/>
  <c r="R19" i="11"/>
  <c r="C5" i="14" s="1"/>
  <c r="S15" i="11"/>
  <c r="B3" i="14" s="1"/>
  <c r="P13" i="11"/>
  <c r="E40" i="14" s="1"/>
  <c r="E163" i="14" s="1"/>
  <c r="E173" i="14" s="1"/>
  <c r="S19" i="11"/>
  <c r="B5" i="14" s="1"/>
  <c r="P9" i="11"/>
  <c r="E6" i="14" s="1"/>
  <c r="E63" i="14" s="1"/>
  <c r="S17" i="11"/>
  <c r="B4" i="14" s="1"/>
  <c r="F10" i="12"/>
  <c r="F5" i="12"/>
  <c r="F7" i="12"/>
  <c r="F9" i="12"/>
  <c r="F14" i="12"/>
  <c r="F6" i="12"/>
  <c r="F11" i="12"/>
  <c r="F13" i="12"/>
  <c r="F8" i="12"/>
  <c r="F12" i="12"/>
  <c r="G51" i="11" a="1"/>
  <c r="G51" i="11" s="1"/>
  <c r="G59" i="11" a="1"/>
  <c r="G59" i="11" s="1"/>
  <c r="G55" i="11" a="1"/>
  <c r="G55" i="11" s="1"/>
  <c r="G49" i="11" a="1"/>
  <c r="G49" i="11" s="1"/>
  <c r="G53" i="11" a="1"/>
  <c r="G53" i="11" s="1"/>
  <c r="G45" i="11" a="1"/>
  <c r="G45" i="11" s="1"/>
  <c r="G61" i="11" a="1"/>
  <c r="G61" i="11" s="1"/>
  <c r="G57" i="11" a="1"/>
  <c r="G57" i="11" s="1"/>
  <c r="G47" i="11" a="1"/>
  <c r="G47" i="11" s="1"/>
  <c r="G43" i="11" a="1"/>
  <c r="G43" i="11" s="1"/>
  <c r="E50" i="10"/>
  <c r="M50" i="10" s="1"/>
  <c r="H61" i="11" a="1"/>
  <c r="H61" i="11" s="1"/>
  <c r="N61" i="11" s="1"/>
  <c r="H47" i="11" a="1"/>
  <c r="H47" i="11" s="1"/>
  <c r="N47" i="11" s="1"/>
  <c r="H57" i="11" a="1"/>
  <c r="H57" i="11" s="1"/>
  <c r="N57" i="11" s="1"/>
  <c r="H43" i="11" a="1"/>
  <c r="H43" i="11" s="1"/>
  <c r="N43" i="11" s="1"/>
  <c r="H51" i="11" a="1"/>
  <c r="H51" i="11" s="1"/>
  <c r="N51" i="11" s="1"/>
  <c r="H59" i="11" a="1"/>
  <c r="H59" i="11" s="1"/>
  <c r="N59" i="11" s="1"/>
  <c r="H49" i="11" a="1"/>
  <c r="H49" i="11" s="1"/>
  <c r="N49" i="11" s="1"/>
  <c r="H55" i="11" a="1"/>
  <c r="H55" i="11" s="1"/>
  <c r="N55" i="11" s="1"/>
  <c r="H45" i="11" a="1"/>
  <c r="H45" i="11" s="1"/>
  <c r="N45" i="11" s="1"/>
  <c r="H53" i="11" a="1"/>
  <c r="H53" i="11" s="1"/>
  <c r="N53" i="11" s="1"/>
  <c r="E142" i="12"/>
  <c r="E58" i="12"/>
  <c r="E156" i="12"/>
  <c r="E72" i="12"/>
  <c r="E86" i="12"/>
  <c r="E100" i="12"/>
  <c r="E114" i="12"/>
  <c r="E128" i="12"/>
  <c r="E44" i="12"/>
  <c r="E90" i="12"/>
  <c r="E104" i="12"/>
  <c r="E118" i="12"/>
  <c r="E132" i="12"/>
  <c r="E48" i="12"/>
  <c r="E146" i="12"/>
  <c r="E62" i="12"/>
  <c r="E160" i="12"/>
  <c r="E76" i="12"/>
  <c r="E161" i="12"/>
  <c r="E77" i="12"/>
  <c r="E91" i="12"/>
  <c r="E105" i="12"/>
  <c r="E119" i="12"/>
  <c r="E133" i="12"/>
  <c r="E49" i="12"/>
  <c r="E147" i="12"/>
  <c r="E63" i="12"/>
  <c r="E148" i="12"/>
  <c r="E64" i="12"/>
  <c r="E162" i="12"/>
  <c r="E78" i="12"/>
  <c r="E92" i="12"/>
  <c r="E106" i="12"/>
  <c r="E120" i="12"/>
  <c r="E134" i="12"/>
  <c r="E50" i="12"/>
  <c r="E155" i="12"/>
  <c r="E71" i="12"/>
  <c r="E85" i="12"/>
  <c r="E99" i="12"/>
  <c r="E113" i="12"/>
  <c r="E127" i="12"/>
  <c r="E43" i="12"/>
  <c r="E141" i="12"/>
  <c r="E57" i="12"/>
  <c r="E135" i="12"/>
  <c r="E51" i="12"/>
  <c r="E149" i="12"/>
  <c r="E65" i="12"/>
  <c r="E163" i="12"/>
  <c r="E79" i="12"/>
  <c r="E93" i="12"/>
  <c r="E107" i="12"/>
  <c r="E121" i="12"/>
  <c r="E129" i="12"/>
  <c r="E45" i="12"/>
  <c r="E143" i="12"/>
  <c r="E59" i="12"/>
  <c r="E157" i="12"/>
  <c r="E73" i="12"/>
  <c r="E87" i="12"/>
  <c r="E101" i="12"/>
  <c r="E115" i="12"/>
  <c r="E109" i="12"/>
  <c r="E123" i="12"/>
  <c r="E137" i="12"/>
  <c r="E53" i="12"/>
  <c r="E151" i="12"/>
  <c r="E67" i="12"/>
  <c r="E165" i="12"/>
  <c r="E81" i="12"/>
  <c r="E95" i="12"/>
  <c r="E116" i="12"/>
  <c r="E130" i="12"/>
  <c r="E46" i="12"/>
  <c r="E144" i="12"/>
  <c r="E60" i="12"/>
  <c r="E158" i="12"/>
  <c r="E74" i="12"/>
  <c r="E88" i="12"/>
  <c r="E102" i="12"/>
  <c r="E96" i="12"/>
  <c r="E110" i="12"/>
  <c r="E124" i="12"/>
  <c r="E138" i="12"/>
  <c r="E54" i="12"/>
  <c r="E152" i="12"/>
  <c r="E68" i="12"/>
  <c r="E166" i="12"/>
  <c r="E82" i="12"/>
  <c r="E103" i="12"/>
  <c r="E117" i="12"/>
  <c r="E131" i="12"/>
  <c r="E47" i="12"/>
  <c r="E145" i="12"/>
  <c r="E61" i="12"/>
  <c r="E159" i="12"/>
  <c r="E75" i="12"/>
  <c r="E89" i="12"/>
  <c r="E122" i="12"/>
  <c r="E136" i="12"/>
  <c r="E52" i="12"/>
  <c r="E150" i="12"/>
  <c r="E66" i="12"/>
  <c r="E164" i="12"/>
  <c r="E80" i="12"/>
  <c r="E94" i="12"/>
  <c r="E108" i="12"/>
  <c r="G109" i="10"/>
  <c r="E49" i="10"/>
  <c r="M49" i="10" s="1"/>
  <c r="E51" i="10"/>
  <c r="M51" i="10" s="1"/>
  <c r="E54" i="10"/>
  <c r="M54" i="10" s="1"/>
  <c r="E147" i="10"/>
  <c r="E53" i="10"/>
  <c r="M53" i="10" s="1"/>
  <c r="E52" i="10"/>
  <c r="M52" i="10" s="1"/>
  <c r="E169" i="10"/>
  <c r="G106" i="10"/>
  <c r="G107" i="10"/>
  <c r="G105" i="10"/>
  <c r="G108" i="10"/>
  <c r="E142" i="10"/>
  <c r="E165" i="10"/>
  <c r="E163" i="10"/>
  <c r="E177" i="10"/>
  <c r="E141" i="10"/>
  <c r="E146" i="10"/>
  <c r="E138" i="10"/>
  <c r="E176" i="10"/>
  <c r="E174" i="10"/>
  <c r="E178" i="10"/>
  <c r="E158" i="10"/>
  <c r="E172" i="10"/>
  <c r="E162" i="10"/>
  <c r="E154" i="10"/>
  <c r="E145" i="10"/>
  <c r="E143" i="10"/>
  <c r="E157" i="10"/>
  <c r="E171" i="10"/>
  <c r="E161" i="10"/>
  <c r="E159" i="10"/>
  <c r="E144" i="10"/>
  <c r="E179" i="10"/>
  <c r="E156" i="10"/>
  <c r="E170" i="10"/>
  <c r="E160" i="10"/>
  <c r="E148" i="10"/>
  <c r="E140" i="10"/>
  <c r="E180" i="10"/>
  <c r="E139" i="10"/>
  <c r="E175" i="10"/>
  <c r="E164" i="10"/>
  <c r="E173" i="10"/>
  <c r="E149" i="10"/>
  <c r="E155" i="10"/>
  <c r="F144" i="10"/>
  <c r="F175" i="10"/>
  <c r="F160" i="10"/>
  <c r="F161" i="10"/>
  <c r="F176" i="10"/>
  <c r="F145" i="10"/>
  <c r="F177" i="10"/>
  <c r="F162" i="10"/>
  <c r="F146" i="10"/>
  <c r="F164" i="10"/>
  <c r="F148" i="10"/>
  <c r="F179" i="10"/>
  <c r="F165" i="10"/>
  <c r="F149" i="10"/>
  <c r="F180" i="10"/>
  <c r="F163" i="10"/>
  <c r="F147" i="10"/>
  <c r="F178" i="10"/>
  <c r="F98" i="10"/>
  <c r="F132" i="10"/>
  <c r="F90" i="10"/>
  <c r="F124" i="10"/>
  <c r="F94" i="10"/>
  <c r="F128" i="10"/>
  <c r="F95" i="10"/>
  <c r="F129" i="10"/>
  <c r="F89" i="10"/>
  <c r="F123" i="10"/>
  <c r="F97" i="10"/>
  <c r="F131" i="10"/>
  <c r="F96" i="10"/>
  <c r="F130" i="10"/>
  <c r="F99" i="10"/>
  <c r="F133" i="10"/>
  <c r="F91" i="10"/>
  <c r="F125" i="10"/>
  <c r="F92" i="10"/>
  <c r="F126" i="10"/>
  <c r="F100" i="10"/>
  <c r="F134" i="10"/>
  <c r="F93" i="10"/>
  <c r="F127" i="10"/>
  <c r="E74" i="10"/>
  <c r="E75" i="10"/>
  <c r="E83" i="10"/>
  <c r="E77" i="10"/>
  <c r="E85" i="10"/>
  <c r="E78" i="10"/>
  <c r="E79" i="10"/>
  <c r="E80" i="10"/>
  <c r="E82" i="10"/>
  <c r="E76" i="10"/>
  <c r="E84" i="10"/>
  <c r="E81" i="10"/>
  <c r="F84" i="10"/>
  <c r="F82" i="10"/>
  <c r="F78" i="10"/>
  <c r="F75" i="10"/>
  <c r="F83" i="10"/>
  <c r="F81" i="10"/>
  <c r="F85" i="10"/>
  <c r="F76" i="10"/>
  <c r="F74" i="10"/>
  <c r="F80" i="10"/>
  <c r="F79" i="10"/>
  <c r="F77" i="10"/>
  <c r="I17" i="11" a="1"/>
  <c r="I17" i="11" s="1"/>
  <c r="E44" i="10"/>
  <c r="M44" i="10" s="1"/>
  <c r="E63" i="10"/>
  <c r="E62" i="10"/>
  <c r="E68" i="10"/>
  <c r="E48" i="10"/>
  <c r="M48" i="10" s="1"/>
  <c r="E59" i="10"/>
  <c r="E69" i="10"/>
  <c r="E67" i="10"/>
  <c r="E65" i="10"/>
  <c r="E61" i="10"/>
  <c r="E66" i="10"/>
  <c r="E64" i="10"/>
  <c r="E70" i="10"/>
  <c r="E60" i="10"/>
  <c r="F69" i="10"/>
  <c r="F61" i="10"/>
  <c r="F68" i="10"/>
  <c r="F67" i="10"/>
  <c r="F63" i="10"/>
  <c r="F65" i="10"/>
  <c r="F59" i="10"/>
  <c r="F66" i="10"/>
  <c r="F70" i="10"/>
  <c r="F64" i="10"/>
  <c r="F62" i="10"/>
  <c r="F60" i="10"/>
  <c r="F53" i="10"/>
  <c r="N53" i="10" s="1"/>
  <c r="F45" i="10"/>
  <c r="N45" i="10" s="1"/>
  <c r="F52" i="10"/>
  <c r="N52" i="10" s="1"/>
  <c r="F46" i="10"/>
  <c r="N46" i="10" s="1"/>
  <c r="F44" i="10"/>
  <c r="N44" i="10" s="1"/>
  <c r="J19" i="11" a="1"/>
  <c r="J19" i="11" s="1"/>
  <c r="F35" i="11"/>
  <c r="F30" i="14" s="1"/>
  <c r="F134" i="14" s="1"/>
  <c r="I35" i="11" a="1"/>
  <c r="I35" i="11" s="1"/>
  <c r="E45" i="10"/>
  <c r="M45" i="10" s="1"/>
  <c r="H35" i="11" a="1"/>
  <c r="H35" i="11" s="1"/>
  <c r="H11" i="11" a="1"/>
  <c r="H11" i="11" s="1"/>
  <c r="G21" i="11" a="1"/>
  <c r="G21" i="11" s="1"/>
  <c r="G35" i="11" a="1"/>
  <c r="G35" i="11" s="1"/>
  <c r="H19" i="11" a="1"/>
  <c r="H19" i="11" s="1"/>
  <c r="G17" i="11" a="1"/>
  <c r="G17" i="11" s="1"/>
  <c r="G19" i="11" a="1"/>
  <c r="G19" i="11" s="1"/>
  <c r="H17" i="11" a="1"/>
  <c r="H17" i="11" s="1"/>
  <c r="H15" i="11" a="1"/>
  <c r="H15" i="11" s="1"/>
  <c r="G15" i="11" a="1"/>
  <c r="G15" i="11" s="1"/>
  <c r="H21" i="11" a="1"/>
  <c r="H21" i="11" s="1"/>
  <c r="F3" i="8"/>
  <c r="L3" i="8" s="1"/>
  <c r="M3" i="8" s="1"/>
  <c r="F51" i="10"/>
  <c r="N51" i="10" s="1"/>
  <c r="F47" i="10"/>
  <c r="N47" i="10" s="1"/>
  <c r="I15" i="11" a="1"/>
  <c r="I15" i="11" s="1"/>
  <c r="J35" i="11" a="1"/>
  <c r="J35" i="11" s="1"/>
  <c r="J11" i="11" a="1"/>
  <c r="J11" i="11" s="1"/>
  <c r="E43" i="10"/>
  <c r="M43" i="10" s="1"/>
  <c r="F43" i="10"/>
  <c r="N43" i="10" s="1"/>
  <c r="F15" i="11"/>
  <c r="E36" i="10"/>
  <c r="E47" i="10"/>
  <c r="M47" i="10" s="1"/>
  <c r="J17" i="11" a="1"/>
  <c r="J17" i="11" s="1"/>
  <c r="F50" i="10"/>
  <c r="N50" i="10" s="1"/>
  <c r="F19" i="11"/>
  <c r="M14" i="9"/>
  <c r="F106" i="10"/>
  <c r="F109" i="10"/>
  <c r="E15" i="11"/>
  <c r="F108" i="10"/>
  <c r="F107" i="10"/>
  <c r="F105" i="10"/>
  <c r="E19" i="11"/>
  <c r="E17" i="11"/>
  <c r="E35" i="11"/>
  <c r="F49" i="10"/>
  <c r="N49" i="10" s="1"/>
  <c r="J15" i="11" a="1"/>
  <c r="J15" i="11" s="1"/>
  <c r="F17" i="11"/>
  <c r="E46" i="10"/>
  <c r="M46" i="10" s="1"/>
  <c r="I11" i="11" a="1"/>
  <c r="I11" i="11" s="1"/>
  <c r="F54" i="10"/>
  <c r="N54" i="10" s="1"/>
  <c r="F48" i="10"/>
  <c r="N48" i="10" s="1"/>
  <c r="I19" i="11" a="1"/>
  <c r="I19" i="11" s="1"/>
  <c r="H108" i="10"/>
  <c r="F5" i="5"/>
  <c r="H5" i="5" s="1"/>
  <c r="K5" i="5" s="1"/>
  <c r="N5" i="5" s="1"/>
  <c r="F15" i="5"/>
  <c r="H15" i="5" s="1"/>
  <c r="K15" i="5" s="1"/>
  <c r="N15" i="5" s="1"/>
  <c r="F38" i="5"/>
  <c r="L38" i="5" s="1"/>
  <c r="M38" i="5" s="1"/>
  <c r="F36" i="5"/>
  <c r="H36" i="5" s="1"/>
  <c r="K36" i="5" s="1"/>
  <c r="N36" i="5" s="1"/>
  <c r="F2" i="5"/>
  <c r="H2" i="5" s="1"/>
  <c r="K2" i="5" s="1"/>
  <c r="N2" i="5" s="1"/>
  <c r="F35" i="5"/>
  <c r="H35" i="5" s="1"/>
  <c r="K35" i="5" s="1"/>
  <c r="N35" i="5" s="1"/>
  <c r="F11" i="11"/>
  <c r="F7" i="8"/>
  <c r="H7" i="8" s="1"/>
  <c r="K7" i="8" s="1"/>
  <c r="N7" i="8" s="1"/>
  <c r="X41" i="11" s="1" a="1"/>
  <c r="X41" i="11" s="1"/>
  <c r="F15" i="8"/>
  <c r="H15" i="8" s="1"/>
  <c r="K15" i="8" s="1"/>
  <c r="N15" i="8" s="1"/>
  <c r="F6" i="8"/>
  <c r="H6" i="8" s="1"/>
  <c r="K6" i="8" s="1"/>
  <c r="N6" i="8" s="1"/>
  <c r="F39" i="5"/>
  <c r="L39" i="5" s="1"/>
  <c r="M39" i="5" s="1"/>
  <c r="G11" i="11" a="1"/>
  <c r="G11" i="11" s="1"/>
  <c r="F26" i="5"/>
  <c r="L26" i="5" s="1"/>
  <c r="M26" i="5" s="1"/>
  <c r="F2" i="8"/>
  <c r="L2" i="8" s="1"/>
  <c r="M2" i="8" s="1"/>
  <c r="F10" i="8"/>
  <c r="H10" i="8" s="1"/>
  <c r="K10" i="8" s="1"/>
  <c r="N10" i="8" s="1"/>
  <c r="E11" i="11"/>
  <c r="F9" i="8"/>
  <c r="H9" i="8" s="1"/>
  <c r="K9" i="8" s="1"/>
  <c r="N9" i="8" s="1"/>
  <c r="V41" i="11" s="1" a="1"/>
  <c r="V41" i="11" s="1"/>
  <c r="F30" i="5"/>
  <c r="H30" i="5" s="1"/>
  <c r="K30" i="5" s="1"/>
  <c r="N30" i="5" s="1"/>
  <c r="F18" i="5"/>
  <c r="H18" i="5" s="1"/>
  <c r="K18" i="5" s="1"/>
  <c r="F25" i="5"/>
  <c r="L25" i="5" s="1"/>
  <c r="M25" i="5" s="1"/>
  <c r="F37" i="5"/>
  <c r="L37" i="5" s="1"/>
  <c r="M37" i="5" s="1"/>
  <c r="F5" i="8"/>
  <c r="H5" i="8" s="1"/>
  <c r="K5" i="8" s="1"/>
  <c r="F13" i="8"/>
  <c r="L13" i="8" s="1"/>
  <c r="M13" i="8" s="1"/>
  <c r="F17" i="5"/>
  <c r="H17" i="5" s="1"/>
  <c r="F7" i="5"/>
  <c r="H7" i="5" s="1"/>
  <c r="K7" i="5" s="1"/>
  <c r="N7" i="5" s="1"/>
  <c r="F33" i="5"/>
  <c r="H33" i="5" s="1"/>
  <c r="K33" i="5" s="1"/>
  <c r="N33" i="5" s="1"/>
  <c r="F14" i="8"/>
  <c r="L14" i="8" s="1"/>
  <c r="M14" i="8" s="1"/>
  <c r="F22" i="5"/>
  <c r="L22" i="5" s="1"/>
  <c r="M22" i="5" s="1"/>
  <c r="F4" i="5"/>
  <c r="L4" i="5" s="1"/>
  <c r="M4" i="5" s="1"/>
  <c r="F32" i="5"/>
  <c r="H32" i="5" s="1"/>
  <c r="K32" i="5" s="1"/>
  <c r="N32" i="5" s="1"/>
  <c r="F12" i="8"/>
  <c r="H12" i="8" s="1"/>
  <c r="K12" i="8" s="1"/>
  <c r="N12" i="8" s="1"/>
  <c r="F4" i="8"/>
  <c r="L4" i="8" s="1"/>
  <c r="M4" i="8" s="1"/>
  <c r="F8" i="8"/>
  <c r="L8" i="8" s="1"/>
  <c r="M8" i="8" s="1"/>
  <c r="U39" i="11" s="1" a="1"/>
  <c r="U39" i="11" s="1"/>
  <c r="F11" i="8"/>
  <c r="H11" i="8" s="1"/>
  <c r="K11" i="8" s="1"/>
  <c r="N11" i="8" s="1"/>
  <c r="F19" i="5"/>
  <c r="L19" i="5" s="1"/>
  <c r="M19" i="5" s="1"/>
  <c r="F41" i="5"/>
  <c r="L41" i="5" s="1"/>
  <c r="M41" i="5" s="1"/>
  <c r="F40" i="5"/>
  <c r="L40" i="5" s="1"/>
  <c r="M40" i="5" s="1"/>
  <c r="F28" i="5"/>
  <c r="L28" i="5" s="1"/>
  <c r="M28" i="5" s="1"/>
  <c r="F11" i="5"/>
  <c r="L11" i="5" s="1"/>
  <c r="M11" i="5" s="1"/>
  <c r="F43" i="5"/>
  <c r="L43" i="5" s="1"/>
  <c r="M43" i="5" s="1"/>
  <c r="F42" i="5"/>
  <c r="L42" i="5" s="1"/>
  <c r="M42" i="5" s="1"/>
  <c r="F29" i="5"/>
  <c r="H29" i="5" s="1"/>
  <c r="K29" i="5" s="1"/>
  <c r="N29" i="5" s="1"/>
  <c r="F21" i="5"/>
  <c r="H21" i="5" s="1"/>
  <c r="K21" i="5" s="1"/>
  <c r="N21" i="5" s="1"/>
  <c r="F12" i="5"/>
  <c r="H12" i="5" s="1"/>
  <c r="K12" i="5" s="1"/>
  <c r="N12" i="5" s="1"/>
  <c r="F44" i="5"/>
  <c r="L44" i="5" s="1"/>
  <c r="M44" i="5" s="1"/>
  <c r="F24" i="5"/>
  <c r="H24" i="5" s="1"/>
  <c r="F14" i="5"/>
  <c r="H14" i="5" s="1"/>
  <c r="K14" i="5" s="1"/>
  <c r="N14" i="5" s="1"/>
  <c r="F3" i="5"/>
  <c r="L3" i="5" s="1"/>
  <c r="M3" i="5" s="1"/>
  <c r="F34" i="5"/>
  <c r="H34" i="5" s="1"/>
  <c r="K34" i="5" s="1"/>
  <c r="N34" i="5" s="1"/>
  <c r="F27" i="5"/>
  <c r="H27" i="5" s="1"/>
  <c r="K27" i="5" s="1"/>
  <c r="N27" i="5" s="1"/>
  <c r="F16" i="5"/>
  <c r="L16" i="5" s="1"/>
  <c r="M16" i="5" s="1"/>
  <c r="F6" i="5"/>
  <c r="L6" i="5" s="1"/>
  <c r="M6" i="5" s="1"/>
  <c r="F23" i="5"/>
  <c r="L23" i="5" s="1"/>
  <c r="M23" i="5" s="1"/>
  <c r="F9" i="5"/>
  <c r="L9" i="5" s="1"/>
  <c r="M9" i="5" s="1"/>
  <c r="F8" i="5"/>
  <c r="L8" i="5" s="1"/>
  <c r="M8" i="5" s="1"/>
  <c r="F13" i="5"/>
  <c r="L13" i="5" s="1"/>
  <c r="M13" i="5" s="1"/>
  <c r="S39" i="11" s="1"/>
  <c r="F31" i="5"/>
  <c r="L31" i="5" s="1"/>
  <c r="M31" i="5" s="1"/>
  <c r="F20" i="5"/>
  <c r="L20" i="5" s="1"/>
  <c r="M20" i="5" s="1"/>
  <c r="F10" i="5"/>
  <c r="H10" i="5" s="1"/>
  <c r="K10" i="5" s="1"/>
  <c r="N10" i="5" s="1"/>
  <c r="F121" i="14" l="1"/>
  <c r="F110" i="14"/>
  <c r="F120" i="14"/>
  <c r="F109" i="14"/>
  <c r="F114" i="14"/>
  <c r="F105" i="14"/>
  <c r="F122" i="14" s="1"/>
  <c r="F157" i="14"/>
  <c r="F154" i="14"/>
  <c r="K15" i="11"/>
  <c r="L15" i="11"/>
  <c r="K11" i="11"/>
  <c r="L11" i="11"/>
  <c r="G30" i="14"/>
  <c r="G134" i="14" s="1"/>
  <c r="K35" i="11"/>
  <c r="L35" i="11"/>
  <c r="K17" i="11"/>
  <c r="L17" i="11"/>
  <c r="H24" i="9" s="1"/>
  <c r="K19" i="11"/>
  <c r="F33" i="9" s="1"/>
  <c r="L19" i="11"/>
  <c r="H33" i="9" s="1"/>
  <c r="G38" i="14"/>
  <c r="F123" i="14"/>
  <c r="F38" i="14"/>
  <c r="W41" i="11" a="1"/>
  <c r="W41" i="11" s="1"/>
  <c r="D47" i="14" s="1"/>
  <c r="D170" i="14" s="1"/>
  <c r="B38" i="14"/>
  <c r="E38" i="14"/>
  <c r="D38" i="14"/>
  <c r="C38" i="14"/>
  <c r="G135" i="14"/>
  <c r="E135" i="14"/>
  <c r="C135" i="14"/>
  <c r="D135" i="14"/>
  <c r="B135" i="14"/>
  <c r="F135" i="14"/>
  <c r="R39" i="11"/>
  <c r="F113" i="14"/>
  <c r="F119" i="14"/>
  <c r="F128" i="14" s="1"/>
  <c r="F147" i="14" s="1"/>
  <c r="F172" i="14" s="1"/>
  <c r="U37" i="11" a="1"/>
  <c r="U37" i="11" s="1"/>
  <c r="F20" i="14"/>
  <c r="X13" i="11" a="1"/>
  <c r="X13" i="11" s="1"/>
  <c r="V13" i="11" a="1"/>
  <c r="V13" i="11" s="1"/>
  <c r="W13" i="11" a="1"/>
  <c r="W13" i="11" s="1"/>
  <c r="G21" i="14"/>
  <c r="F116" i="14"/>
  <c r="G116" i="14"/>
  <c r="R37" i="11"/>
  <c r="C41" i="14" s="1"/>
  <c r="C166" i="14" s="1"/>
  <c r="C174" i="14" s="1"/>
  <c r="S37" i="11"/>
  <c r="B41" i="14" s="1"/>
  <c r="B166" i="14" s="1"/>
  <c r="B174" i="14" s="1"/>
  <c r="E9" i="14"/>
  <c r="E88" i="14" s="1"/>
  <c r="E89" i="14" s="1"/>
  <c r="E76" i="14"/>
  <c r="E81" i="14" s="1"/>
  <c r="C76" i="14"/>
  <c r="C9" i="14"/>
  <c r="C88" i="14" s="1"/>
  <c r="C89" i="14" s="1"/>
  <c r="B76" i="14"/>
  <c r="B9" i="14"/>
  <c r="B88" i="14" s="1"/>
  <c r="B89" i="14" s="1"/>
  <c r="D9" i="14"/>
  <c r="D88" i="14" s="1"/>
  <c r="D89" i="14" s="1"/>
  <c r="D76" i="14"/>
  <c r="C60" i="14"/>
  <c r="B78" i="14"/>
  <c r="B62" i="14"/>
  <c r="D78" i="14"/>
  <c r="D62" i="14"/>
  <c r="B60" i="14"/>
  <c r="C77" i="14"/>
  <c r="C61" i="14"/>
  <c r="C78" i="14"/>
  <c r="C62" i="14"/>
  <c r="E78" i="14"/>
  <c r="E83" i="14" s="1"/>
  <c r="L5" i="14"/>
  <c r="E62" i="14"/>
  <c r="D60" i="14"/>
  <c r="D77" i="14"/>
  <c r="D61" i="14"/>
  <c r="B77" i="14"/>
  <c r="B61" i="14"/>
  <c r="E77" i="14"/>
  <c r="E61" i="14"/>
  <c r="L4" i="14"/>
  <c r="E60" i="14"/>
  <c r="L3" i="14"/>
  <c r="E23" i="10"/>
  <c r="F3" i="14"/>
  <c r="O15" i="11"/>
  <c r="G3" i="14"/>
  <c r="E24" i="10"/>
  <c r="F4" i="14"/>
  <c r="F77" i="14" s="1"/>
  <c r="E25" i="10"/>
  <c r="F5" i="14"/>
  <c r="F78" i="14" s="1"/>
  <c r="O17" i="11"/>
  <c r="G4" i="14"/>
  <c r="G77" i="14" s="1"/>
  <c r="O19" i="11"/>
  <c r="G5" i="14"/>
  <c r="G78" i="14" s="1"/>
  <c r="M8" i="9"/>
  <c r="O11" i="11"/>
  <c r="F110" i="10"/>
  <c r="O35" i="11"/>
  <c r="H3" i="8"/>
  <c r="K3" i="8" s="1"/>
  <c r="H2" i="8"/>
  <c r="K2" i="8" s="1"/>
  <c r="H38" i="5"/>
  <c r="K38" i="5" s="1"/>
  <c r="N38" i="5" s="1"/>
  <c r="F169" i="10" s="1"/>
  <c r="F154" i="10"/>
  <c r="F158" i="10"/>
  <c r="D5" i="12"/>
  <c r="M43" i="11"/>
  <c r="D7" i="12"/>
  <c r="M47" i="11"/>
  <c r="M57" i="11"/>
  <c r="D12" i="12"/>
  <c r="F156" i="10"/>
  <c r="F159" i="10"/>
  <c r="D14" i="12"/>
  <c r="M61" i="11"/>
  <c r="D6" i="12"/>
  <c r="M45" i="11"/>
  <c r="F155" i="10"/>
  <c r="D10" i="12"/>
  <c r="M53" i="11"/>
  <c r="F157" i="10"/>
  <c r="D8" i="12"/>
  <c r="M49" i="11"/>
  <c r="D11" i="12"/>
  <c r="M55" i="11"/>
  <c r="D13" i="12"/>
  <c r="M59" i="11"/>
  <c r="D9" i="12"/>
  <c r="M51" i="11"/>
  <c r="E110" i="10"/>
  <c r="G110" i="10"/>
  <c r="E31" i="10"/>
  <c r="H106" i="10"/>
  <c r="E30" i="10"/>
  <c r="H105" i="10"/>
  <c r="E32" i="10"/>
  <c r="H107" i="10"/>
  <c r="E34" i="10"/>
  <c r="H109" i="10"/>
  <c r="E35" i="10"/>
  <c r="H110" i="10"/>
  <c r="L15" i="5"/>
  <c r="M15" i="5" s="1"/>
  <c r="L35" i="5"/>
  <c r="M35" i="5" s="1"/>
  <c r="L5" i="5"/>
  <c r="M5" i="5" s="1"/>
  <c r="L9" i="8"/>
  <c r="L12" i="8"/>
  <c r="M12" i="8" s="1"/>
  <c r="Y39" i="11" s="1" a="1"/>
  <c r="Y39" i="11" s="1"/>
  <c r="H4" i="8"/>
  <c r="K4" i="8" s="1"/>
  <c r="F39" i="11"/>
  <c r="L10" i="8"/>
  <c r="M10" i="8" s="1"/>
  <c r="I39" i="11" s="1" a="1"/>
  <c r="I39" i="11" s="1"/>
  <c r="M33" i="9"/>
  <c r="O16" i="9"/>
  <c r="N5" i="8"/>
  <c r="Z41" i="11" s="1" a="1"/>
  <c r="Z41" i="11" s="1"/>
  <c r="D32" i="10"/>
  <c r="N29" i="11"/>
  <c r="M29" i="11"/>
  <c r="H13" i="8"/>
  <c r="K13" i="8" s="1"/>
  <c r="N13" i="8" s="1"/>
  <c r="L7" i="8"/>
  <c r="L5" i="8"/>
  <c r="Z37" i="11" s="1" a="1"/>
  <c r="Z37" i="11" s="1"/>
  <c r="M35" i="11"/>
  <c r="D35" i="10"/>
  <c r="N35" i="11"/>
  <c r="N31" i="11"/>
  <c r="M31" i="11"/>
  <c r="D33" i="10"/>
  <c r="L36" i="5"/>
  <c r="M36" i="5" s="1"/>
  <c r="E33" i="10"/>
  <c r="D24" i="10"/>
  <c r="N17" i="11"/>
  <c r="F22" i="9"/>
  <c r="M17" i="11"/>
  <c r="N15" i="11"/>
  <c r="D23" i="10"/>
  <c r="F14" i="9"/>
  <c r="M15" i="11"/>
  <c r="G9" i="11" a="1"/>
  <c r="G9" i="11" s="1"/>
  <c r="L6" i="8"/>
  <c r="D34" i="10"/>
  <c r="N33" i="11"/>
  <c r="M33" i="11"/>
  <c r="M16" i="9"/>
  <c r="F37" i="11"/>
  <c r="F41" i="14" s="1"/>
  <c r="F166" i="14" s="1"/>
  <c r="F174" i="14" s="1"/>
  <c r="D25" i="10"/>
  <c r="F31" i="9"/>
  <c r="N19" i="11"/>
  <c r="M19" i="11"/>
  <c r="D31" i="10"/>
  <c r="N27" i="11"/>
  <c r="M27" i="11"/>
  <c r="M23" i="11"/>
  <c r="N23" i="11"/>
  <c r="D36" i="10"/>
  <c r="F31" i="10" s="1"/>
  <c r="O33" i="9"/>
  <c r="D30" i="10"/>
  <c r="N25" i="11"/>
  <c r="M25" i="11"/>
  <c r="N21" i="11"/>
  <c r="M21" i="11"/>
  <c r="J37" i="11" a="1"/>
  <c r="J37" i="11" s="1"/>
  <c r="N11" i="11"/>
  <c r="M11" i="11"/>
  <c r="L24" i="5"/>
  <c r="M24" i="5" s="1"/>
  <c r="H39" i="5"/>
  <c r="K39" i="5" s="1"/>
  <c r="H26" i="5"/>
  <c r="K26" i="5" s="1"/>
  <c r="N26" i="5" s="1"/>
  <c r="L18" i="5"/>
  <c r="M18" i="5" s="1"/>
  <c r="E39" i="11" s="1"/>
  <c r="L30" i="5"/>
  <c r="M30" i="5" s="1"/>
  <c r="H43" i="5"/>
  <c r="K43" i="5" s="1"/>
  <c r="N43" i="5" s="1"/>
  <c r="H6" i="5"/>
  <c r="K6" i="5" s="1"/>
  <c r="N6" i="5" s="1"/>
  <c r="H16" i="5"/>
  <c r="K16" i="5" s="1"/>
  <c r="N16" i="5" s="1"/>
  <c r="H22" i="5"/>
  <c r="K22" i="5" s="1"/>
  <c r="N22" i="5" s="1"/>
  <c r="L33" i="5"/>
  <c r="M33" i="5" s="1"/>
  <c r="H40" i="5"/>
  <c r="K40" i="5" s="1"/>
  <c r="K24" i="5"/>
  <c r="N24" i="5" s="1"/>
  <c r="AH33" i="11"/>
  <c r="L12" i="5"/>
  <c r="M12" i="5" s="1"/>
  <c r="H44" i="5"/>
  <c r="K44" i="5" s="1"/>
  <c r="L2" i="5"/>
  <c r="M2" i="5" s="1"/>
  <c r="L10" i="5"/>
  <c r="M10" i="5" s="1"/>
  <c r="L7" i="5"/>
  <c r="M7" i="5" s="1"/>
  <c r="H25" i="5"/>
  <c r="AH34" i="11" s="1"/>
  <c r="N18" i="5"/>
  <c r="L17" i="5"/>
  <c r="M17" i="5" s="1"/>
  <c r="L14" i="5"/>
  <c r="M14" i="5" s="1"/>
  <c r="H19" i="5"/>
  <c r="K19" i="5" s="1"/>
  <c r="N19" i="5" s="1"/>
  <c r="S8" i="9"/>
  <c r="R8" i="9"/>
  <c r="H28" i="5"/>
  <c r="K28" i="5" s="1"/>
  <c r="N28" i="5" s="1"/>
  <c r="H41" i="5"/>
  <c r="K41" i="5" s="1"/>
  <c r="H37" i="5"/>
  <c r="K37" i="5" s="1"/>
  <c r="H20" i="5"/>
  <c r="L32" i="5"/>
  <c r="L15" i="8"/>
  <c r="M15" i="8" s="1"/>
  <c r="H9" i="11" a="1"/>
  <c r="H9" i="11" s="1"/>
  <c r="H11" i="5"/>
  <c r="K11" i="5" s="1"/>
  <c r="N11" i="5" s="1"/>
  <c r="J9" i="11" a="1"/>
  <c r="J9" i="11" s="1"/>
  <c r="K17" i="5"/>
  <c r="N17" i="5" s="1"/>
  <c r="AH26" i="11"/>
  <c r="H9" i="5"/>
  <c r="L27" i="5"/>
  <c r="M27" i="5" s="1"/>
  <c r="H42" i="5"/>
  <c r="K42" i="5" s="1"/>
  <c r="AI33" i="11"/>
  <c r="H31" i="5"/>
  <c r="K31" i="5" s="1"/>
  <c r="N31" i="5" s="1"/>
  <c r="H8" i="8"/>
  <c r="K8" i="8" s="1"/>
  <c r="H14" i="8"/>
  <c r="K14" i="8" s="1"/>
  <c r="N14" i="8" s="1"/>
  <c r="AI31" i="11"/>
  <c r="H23" i="5"/>
  <c r="AH30" i="11"/>
  <c r="AH27" i="11"/>
  <c r="AH24" i="11"/>
  <c r="H13" i="5"/>
  <c r="H8" i="5"/>
  <c r="S9" i="11" s="1"/>
  <c r="B6" i="14" s="1"/>
  <c r="B63" i="14" s="1"/>
  <c r="L11" i="8"/>
  <c r="M11" i="8" s="1"/>
  <c r="H4" i="5"/>
  <c r="L29" i="5"/>
  <c r="M29" i="5" s="1"/>
  <c r="L21" i="5"/>
  <c r="M21" i="5" s="1"/>
  <c r="H3" i="5"/>
  <c r="L34" i="5"/>
  <c r="M34" i="5" s="1"/>
  <c r="AB39" i="11" l="1" a="1"/>
  <c r="AB39" i="11" s="1"/>
  <c r="F111" i="14"/>
  <c r="O39" i="11"/>
  <c r="K39" i="11"/>
  <c r="L39" i="11"/>
  <c r="AA37" i="11" a="1"/>
  <c r="AA37" i="11" s="1"/>
  <c r="AB37" i="11" a="1"/>
  <c r="AB37" i="11" s="1"/>
  <c r="Y37" i="11" a="1"/>
  <c r="Y37" i="11" s="1"/>
  <c r="C46" i="14" s="1"/>
  <c r="C167" i="14" s="1"/>
  <c r="AA39" i="11" a="1"/>
  <c r="AA39" i="11" s="1"/>
  <c r="Z13" i="11" a="1"/>
  <c r="Z13" i="11" s="1"/>
  <c r="D45" i="14"/>
  <c r="D164" i="14" s="1"/>
  <c r="F141" i="14"/>
  <c r="F140" i="14"/>
  <c r="F137" i="14"/>
  <c r="F139" i="14"/>
  <c r="F138" i="14"/>
  <c r="B139" i="14"/>
  <c r="B137" i="14"/>
  <c r="B141" i="14"/>
  <c r="B140" i="14"/>
  <c r="B138" i="14"/>
  <c r="B142" i="14"/>
  <c r="F142" i="14"/>
  <c r="D139" i="14"/>
  <c r="D138" i="14"/>
  <c r="D140" i="14"/>
  <c r="D137" i="14"/>
  <c r="D141" i="14"/>
  <c r="D142" i="14"/>
  <c r="C140" i="14"/>
  <c r="C138" i="14"/>
  <c r="C141" i="14"/>
  <c r="C137" i="14"/>
  <c r="C139" i="14"/>
  <c r="C142" i="14"/>
  <c r="E138" i="14"/>
  <c r="E141" i="14"/>
  <c r="E140" i="14"/>
  <c r="E137" i="14"/>
  <c r="E139" i="14"/>
  <c r="E142" i="14"/>
  <c r="G137" i="14"/>
  <c r="G138" i="14"/>
  <c r="G141" i="14"/>
  <c r="G139" i="14"/>
  <c r="G140" i="14"/>
  <c r="G142" i="14"/>
  <c r="N8" i="8"/>
  <c r="U41" i="11" s="1" a="1"/>
  <c r="U41" i="11" s="1"/>
  <c r="E47" i="14" s="1"/>
  <c r="E170" i="14" s="1"/>
  <c r="U13" i="11" a="1"/>
  <c r="U13" i="11" s="1"/>
  <c r="E45" i="14" s="1"/>
  <c r="E164" i="14" s="1"/>
  <c r="N2" i="8"/>
  <c r="AA41" i="11" s="1" a="1"/>
  <c r="AA41" i="11" s="1"/>
  <c r="AA13" i="11" a="1"/>
  <c r="AA13" i="11" s="1"/>
  <c r="N3" i="8"/>
  <c r="AB41" i="11" s="1" a="1"/>
  <c r="AB41" i="11" s="1"/>
  <c r="AB13" i="11" a="1"/>
  <c r="AB13" i="11" s="1"/>
  <c r="Q9" i="11"/>
  <c r="D6" i="14" s="1"/>
  <c r="D63" i="14" s="1"/>
  <c r="M7" i="8"/>
  <c r="X39" i="11" s="1" a="1"/>
  <c r="X39" i="11" s="1"/>
  <c r="X37" i="11" a="1"/>
  <c r="X37" i="11" s="1"/>
  <c r="N4" i="8"/>
  <c r="Y13" i="11" a="1"/>
  <c r="Y13" i="11" s="1"/>
  <c r="C45" i="14" s="1"/>
  <c r="C164" i="14" s="1"/>
  <c r="N37" i="5"/>
  <c r="Q41" i="11" s="1"/>
  <c r="D42" i="14" s="1"/>
  <c r="D169" i="14" s="1"/>
  <c r="D175" i="14" s="1"/>
  <c r="Q13" i="11"/>
  <c r="D40" i="14" s="1"/>
  <c r="D163" i="14" s="1"/>
  <c r="D173" i="14" s="1"/>
  <c r="M9" i="8"/>
  <c r="V39" i="11" s="1" a="1"/>
  <c r="V39" i="11" s="1"/>
  <c r="V37" i="11" a="1"/>
  <c r="V37" i="11" s="1"/>
  <c r="E46" i="14" s="1"/>
  <c r="E167" i="14" s="1"/>
  <c r="I37" i="11" a="1"/>
  <c r="I37" i="11" s="1"/>
  <c r="F46" i="14" s="1"/>
  <c r="F167" i="14" s="1"/>
  <c r="M6" i="8"/>
  <c r="W39" i="11" s="1" a="1"/>
  <c r="W39" i="11" s="1"/>
  <c r="W37" i="11" a="1"/>
  <c r="W37" i="11" s="1"/>
  <c r="G124" i="14"/>
  <c r="G123" i="14" s="1"/>
  <c r="G20" i="14"/>
  <c r="I4" i="14"/>
  <c r="I3" i="14"/>
  <c r="H13" i="11" a="1"/>
  <c r="H13" i="11" s="1"/>
  <c r="M32" i="5"/>
  <c r="Q39" i="11" s="1"/>
  <c r="Q37" i="11"/>
  <c r="D41" i="14" s="1"/>
  <c r="D166" i="14" s="1"/>
  <c r="D174" i="14" s="1"/>
  <c r="I5" i="14"/>
  <c r="H41" i="11" a="1"/>
  <c r="H41" i="11" s="1"/>
  <c r="AH29" i="11"/>
  <c r="R9" i="11"/>
  <c r="C6" i="14" s="1"/>
  <c r="B83" i="14"/>
  <c r="E82" i="14"/>
  <c r="E79" i="14"/>
  <c r="B82" i="14"/>
  <c r="B79" i="14"/>
  <c r="D79" i="14"/>
  <c r="C79" i="14"/>
  <c r="G9" i="14"/>
  <c r="G88" i="14" s="1"/>
  <c r="G89" i="14" s="1"/>
  <c r="G76" i="14"/>
  <c r="G79" i="14" s="1"/>
  <c r="F9" i="14"/>
  <c r="F88" i="14" s="1"/>
  <c r="F89" i="14" s="1"/>
  <c r="F76" i="14"/>
  <c r="F79" i="14" s="1"/>
  <c r="B81" i="14"/>
  <c r="G62" i="14"/>
  <c r="G61" i="14"/>
  <c r="F62" i="14"/>
  <c r="F61" i="14"/>
  <c r="G60" i="14"/>
  <c r="F60" i="14"/>
  <c r="G39" i="11" a="1"/>
  <c r="G39" i="11" s="1"/>
  <c r="M39" i="11" s="1"/>
  <c r="I9" i="11" a="1"/>
  <c r="I9" i="11" s="1"/>
  <c r="I13" i="11" a="1"/>
  <c r="I13" i="11" s="1"/>
  <c r="AI26" i="11"/>
  <c r="AI23" i="11"/>
  <c r="F138" i="10"/>
  <c r="N42" i="5"/>
  <c r="F173" i="10" s="1"/>
  <c r="F142" i="10"/>
  <c r="G37" i="11" a="1"/>
  <c r="G37" i="11" s="1"/>
  <c r="N39" i="5"/>
  <c r="F170" i="10" s="1"/>
  <c r="F139" i="10"/>
  <c r="N41" i="5"/>
  <c r="F172" i="10" s="1"/>
  <c r="F141" i="10"/>
  <c r="N40" i="5"/>
  <c r="F171" i="10" s="1"/>
  <c r="F140" i="10"/>
  <c r="N44" i="5"/>
  <c r="F174" i="10" s="1"/>
  <c r="F143" i="10"/>
  <c r="J13" i="11" a="1"/>
  <c r="J13" i="11" s="1"/>
  <c r="G13" i="11" a="1"/>
  <c r="G13" i="11" s="1"/>
  <c r="M32" i="9"/>
  <c r="F23" i="9"/>
  <c r="M15" i="9"/>
  <c r="F15" i="9"/>
  <c r="F32" i="9"/>
  <c r="I41" i="11" a="1"/>
  <c r="I41" i="11" s="1"/>
  <c r="J41" i="11" a="1"/>
  <c r="J41" i="11" s="1"/>
  <c r="D5" i="10"/>
  <c r="AH31" i="11"/>
  <c r="AI27" i="11"/>
  <c r="E37" i="11"/>
  <c r="F24" i="9"/>
  <c r="H16" i="9"/>
  <c r="F16" i="9"/>
  <c r="K25" i="5"/>
  <c r="E9" i="11"/>
  <c r="AI32" i="11"/>
  <c r="M5" i="8"/>
  <c r="Z39" i="11" s="1" a="1"/>
  <c r="Z39" i="11" s="1"/>
  <c r="H37" i="11" a="1"/>
  <c r="H37" i="11" s="1"/>
  <c r="F30" i="10"/>
  <c r="F9" i="11"/>
  <c r="F6" i="14" s="1"/>
  <c r="F63" i="14" s="1"/>
  <c r="Q8" i="9"/>
  <c r="AH23" i="11"/>
  <c r="AH28" i="11"/>
  <c r="AI28" i="11"/>
  <c r="AH25" i="11"/>
  <c r="K20" i="5"/>
  <c r="K13" i="5"/>
  <c r="AI34" i="11"/>
  <c r="K23" i="5"/>
  <c r="N23" i="5" s="1"/>
  <c r="AH32" i="11"/>
  <c r="K3" i="5"/>
  <c r="N3" i="5" s="1"/>
  <c r="AI24" i="11"/>
  <c r="K4" i="5"/>
  <c r="N4" i="5" s="1"/>
  <c r="AI25" i="11"/>
  <c r="K9" i="5"/>
  <c r="N9" i="5" s="1"/>
  <c r="AI30" i="11"/>
  <c r="K8" i="5"/>
  <c r="AI29" i="11"/>
  <c r="K9" i="11" l="1"/>
  <c r="J8" i="9" s="1"/>
  <c r="L9" i="11"/>
  <c r="K8" i="9" s="1"/>
  <c r="K37" i="11"/>
  <c r="U22" i="9" s="1"/>
  <c r="L37" i="11"/>
  <c r="W22" i="9" s="1"/>
  <c r="B45" i="14"/>
  <c r="B164" i="14" s="1"/>
  <c r="G46" i="14"/>
  <c r="G167" i="14" s="1"/>
  <c r="B47" i="14"/>
  <c r="B170" i="14" s="1"/>
  <c r="B46" i="14"/>
  <c r="B167" i="14" s="1"/>
  <c r="F47" i="14"/>
  <c r="F170" i="14" s="1"/>
  <c r="D46" i="14"/>
  <c r="D167" i="14" s="1"/>
  <c r="G45" i="14"/>
  <c r="G164" i="14" s="1"/>
  <c r="F45" i="14"/>
  <c r="F164" i="14" s="1"/>
  <c r="K3" i="14"/>
  <c r="O37" i="11"/>
  <c r="U21" i="9" s="1"/>
  <c r="G41" i="14"/>
  <c r="G166" i="14" s="1"/>
  <c r="G174" i="14" s="1"/>
  <c r="K4" i="14"/>
  <c r="D83" i="14"/>
  <c r="D81" i="14"/>
  <c r="D82" i="14"/>
  <c r="K5" i="14"/>
  <c r="G41" i="11" a="1"/>
  <c r="G41" i="11" s="1"/>
  <c r="G47" i="14" s="1"/>
  <c r="G170" i="14" s="1"/>
  <c r="Y41" i="11" a="1"/>
  <c r="Y41" i="11" s="1"/>
  <c r="C47" i="14" s="1"/>
  <c r="C170" i="14" s="1"/>
  <c r="C63" i="14"/>
  <c r="J5" i="14"/>
  <c r="J3" i="14"/>
  <c r="J4" i="14"/>
  <c r="N8" i="5"/>
  <c r="S41" i="11" s="1"/>
  <c r="B42" i="14" s="1"/>
  <c r="B169" i="14" s="1"/>
  <c r="B175" i="14" s="1"/>
  <c r="S13" i="11"/>
  <c r="B40" i="14" s="1"/>
  <c r="B163" i="14" s="1"/>
  <c r="B173" i="14" s="1"/>
  <c r="C82" i="14"/>
  <c r="N20" i="5"/>
  <c r="R41" i="11" s="1"/>
  <c r="C42" i="14" s="1"/>
  <c r="C169" i="14" s="1"/>
  <c r="C175" i="14" s="1"/>
  <c r="R13" i="11"/>
  <c r="C40" i="14" s="1"/>
  <c r="C163" i="14" s="1"/>
  <c r="C173" i="14" s="1"/>
  <c r="C81" i="14"/>
  <c r="C83" i="14"/>
  <c r="F82" i="14"/>
  <c r="F81" i="14"/>
  <c r="F83" i="14"/>
  <c r="M3" i="14"/>
  <c r="M4" i="14"/>
  <c r="M5" i="14"/>
  <c r="O9" i="11"/>
  <c r="G6" i="14"/>
  <c r="M37" i="11"/>
  <c r="U18" i="9"/>
  <c r="H39" i="11" a="1"/>
  <c r="H39" i="11" s="1"/>
  <c r="N39" i="11" s="1"/>
  <c r="J39" i="11" a="1"/>
  <c r="J39" i="11" s="1"/>
  <c r="N37" i="11"/>
  <c r="N13" i="5"/>
  <c r="F41" i="11" s="1"/>
  <c r="F42" i="14" s="1"/>
  <c r="F169" i="14" s="1"/>
  <c r="F175" i="14" s="1"/>
  <c r="F13" i="11"/>
  <c r="N25" i="5"/>
  <c r="E41" i="11" s="1"/>
  <c r="E13" i="11"/>
  <c r="M9" i="11"/>
  <c r="N9" i="11"/>
  <c r="F8" i="9"/>
  <c r="E5" i="10"/>
  <c r="F5" i="10" s="1"/>
  <c r="K13" i="11" l="1"/>
  <c r="U12" i="9" s="1"/>
  <c r="L13" i="11"/>
  <c r="W12" i="9" s="1"/>
  <c r="G42" i="14"/>
  <c r="G169" i="14" s="1"/>
  <c r="G175" i="14" s="1"/>
  <c r="K41" i="11"/>
  <c r="U33" i="9" s="1"/>
  <c r="L41" i="11"/>
  <c r="W33" i="9" s="1"/>
  <c r="O13" i="11"/>
  <c r="U11" i="9" s="1"/>
  <c r="G40" i="14"/>
  <c r="G163" i="14" s="1"/>
  <c r="G173" i="14" s="1"/>
  <c r="E26" i="10"/>
  <c r="F40" i="14"/>
  <c r="F163" i="14" s="1"/>
  <c r="F173" i="14" s="1"/>
  <c r="G83" i="14"/>
  <c r="G81" i="14"/>
  <c r="G82" i="14"/>
  <c r="G63" i="14"/>
  <c r="N5" i="14"/>
  <c r="N4" i="14"/>
  <c r="N3" i="14"/>
  <c r="U29" i="9"/>
  <c r="O41" i="11"/>
  <c r="U32" i="9" s="1"/>
  <c r="U20" i="9"/>
  <c r="I8" i="9"/>
  <c r="M13" i="11"/>
  <c r="U8" i="9"/>
  <c r="D26" i="10"/>
  <c r="N13" i="11"/>
  <c r="N41" i="11"/>
  <c r="M41" i="11"/>
  <c r="U31" i="9" l="1"/>
  <c r="U10" i="9"/>
</calcChain>
</file>

<file path=xl/sharedStrings.xml><?xml version="1.0" encoding="utf-8"?>
<sst xmlns="http://schemas.openxmlformats.org/spreadsheetml/2006/main" count="816" uniqueCount="247">
  <si>
    <t>FY</t>
  </si>
  <si>
    <t>Month</t>
  </si>
  <si>
    <t>Corporation Tax</t>
  </si>
  <si>
    <t>Income Tax</t>
  </si>
  <si>
    <t>CGST</t>
  </si>
  <si>
    <t>IGST</t>
  </si>
  <si>
    <t>UTGST</t>
  </si>
  <si>
    <t>Compensation Cess</t>
  </si>
  <si>
    <t>Customs</t>
  </si>
  <si>
    <t>Union Excise</t>
  </si>
  <si>
    <t>Service Tax</t>
  </si>
  <si>
    <t>Other Taxes</t>
  </si>
  <si>
    <t>Surcharge for financing of NCCF</t>
  </si>
  <si>
    <t>Devolution to State</t>
  </si>
  <si>
    <t>Interest receipts</t>
  </si>
  <si>
    <t>Dividends and Profits</t>
  </si>
  <si>
    <t>Other Non Tax Receipts</t>
  </si>
  <si>
    <t>Recovery of Loans &amp; Advances</t>
  </si>
  <si>
    <t>Disinvestment Receipts</t>
  </si>
  <si>
    <t>Other Non-Debt Capital Receipts</t>
  </si>
  <si>
    <t>Revenue Expenditure</t>
  </si>
  <si>
    <t>Capital Expenditure</t>
  </si>
  <si>
    <t>2019-20</t>
  </si>
  <si>
    <t>Apr-19</t>
  </si>
  <si>
    <t>Apr-20</t>
  </si>
  <si>
    <t>May-19</t>
  </si>
  <si>
    <t>Jun-19</t>
  </si>
  <si>
    <t>Jul-19</t>
  </si>
  <si>
    <t>Aug-19</t>
  </si>
  <si>
    <t>Sep-19</t>
  </si>
  <si>
    <t>Oct-19</t>
  </si>
  <si>
    <t>Nov-19</t>
  </si>
  <si>
    <t>Dec-19</t>
  </si>
  <si>
    <t>Jan-20</t>
  </si>
  <si>
    <t>Feb-20</t>
  </si>
  <si>
    <t>Mar-20</t>
  </si>
  <si>
    <t>May-20</t>
  </si>
  <si>
    <t>Jun-20</t>
  </si>
  <si>
    <t>Jul-20</t>
  </si>
  <si>
    <t>Aug-20</t>
  </si>
  <si>
    <t>Sep-20</t>
  </si>
  <si>
    <t>Oct-20</t>
  </si>
  <si>
    <t>2020-21</t>
  </si>
  <si>
    <t>Apr-18</t>
  </si>
  <si>
    <t>%</t>
  </si>
  <si>
    <t>Fiscal Deficit</t>
  </si>
  <si>
    <t>Primary Deficit</t>
  </si>
  <si>
    <t>Revenue Deficit</t>
  </si>
  <si>
    <t>Grants for Creation of Capital Assets</t>
  </si>
  <si>
    <t>Revenue Receipts</t>
  </si>
  <si>
    <t>Effective Revenue Deficit</t>
  </si>
  <si>
    <t>Major Subsidies</t>
  </si>
  <si>
    <t>BE</t>
  </si>
  <si>
    <t>May-18</t>
  </si>
  <si>
    <t>Jun-18</t>
  </si>
  <si>
    <t>Jul-18</t>
  </si>
  <si>
    <t>Aug-18</t>
  </si>
  <si>
    <t>Sep-18</t>
  </si>
  <si>
    <t>Oct-18</t>
  </si>
  <si>
    <t>Nov-18</t>
  </si>
  <si>
    <t>Dec-18</t>
  </si>
  <si>
    <t>Jan-19</t>
  </si>
  <si>
    <t>Feb-19</t>
  </si>
  <si>
    <t>Mar-19</t>
  </si>
  <si>
    <t>2018-19</t>
  </si>
  <si>
    <t>Securities Transcation Tax</t>
  </si>
  <si>
    <t>RE</t>
  </si>
  <si>
    <t>Gross Tax Revenue</t>
  </si>
  <si>
    <t>Net Tax Revenue</t>
  </si>
  <si>
    <t>Non Tax Revenue</t>
  </si>
  <si>
    <t>Non Debt Capital Receipts</t>
  </si>
  <si>
    <t>Total Receipts</t>
  </si>
  <si>
    <t>Other Revenue Expenditure</t>
  </si>
  <si>
    <t>Total Expenditure</t>
  </si>
  <si>
    <t>Row Labels</t>
  </si>
  <si>
    <t>COPPY</t>
  </si>
  <si>
    <t>Current</t>
  </si>
  <si>
    <t>Growth</t>
  </si>
  <si>
    <t>Apr</t>
  </si>
  <si>
    <t>May</t>
  </si>
  <si>
    <t>Jun</t>
  </si>
  <si>
    <t>Jul</t>
  </si>
  <si>
    <t>Aug</t>
  </si>
  <si>
    <t>Sep</t>
  </si>
  <si>
    <t>Oct</t>
  </si>
  <si>
    <t>Nov</t>
  </si>
  <si>
    <t>Dec</t>
  </si>
  <si>
    <t>Jan</t>
  </si>
  <si>
    <t>Feb</t>
  </si>
  <si>
    <t>Mar</t>
  </si>
  <si>
    <t>Nov-20</t>
  </si>
  <si>
    <t>Dec-20</t>
  </si>
  <si>
    <t>Total expenditure</t>
  </si>
  <si>
    <t>▲▼</t>
  </si>
  <si>
    <t xml:space="preserve">As at the end of </t>
  </si>
  <si>
    <t>Actual</t>
  </si>
  <si>
    <t>% to BE</t>
  </si>
  <si>
    <t>YoY Growth</t>
  </si>
  <si>
    <t>Pensions</t>
  </si>
  <si>
    <t>Interest Payments</t>
  </si>
  <si>
    <t>Defence  Services</t>
  </si>
  <si>
    <t>Grants in Aid  to States &amp; UTs</t>
  </si>
  <si>
    <t>Revenue Exp</t>
  </si>
  <si>
    <t>Capital Exp</t>
  </si>
  <si>
    <t>% to RE</t>
  </si>
  <si>
    <t>Tax Revenues</t>
  </si>
  <si>
    <t>2017-18</t>
  </si>
  <si>
    <t>Apr-16</t>
  </si>
  <si>
    <t>Apr-17</t>
  </si>
  <si>
    <t>2016-17</t>
  </si>
  <si>
    <t>2015-16</t>
  </si>
  <si>
    <t>May-17</t>
  </si>
  <si>
    <t>Jun-17</t>
  </si>
  <si>
    <t>May-16</t>
  </si>
  <si>
    <t>Jun-16</t>
  </si>
  <si>
    <t>Jul-16</t>
  </si>
  <si>
    <t>Aug-16</t>
  </si>
  <si>
    <t>Sep-16</t>
  </si>
  <si>
    <t>Oct-16</t>
  </si>
  <si>
    <t>Nov-16</t>
  </si>
  <si>
    <t>Dec-16</t>
  </si>
  <si>
    <t>Jan-17</t>
  </si>
  <si>
    <t>Feb-17</t>
  </si>
  <si>
    <t>Mar-17</t>
  </si>
  <si>
    <t>Jan-16</t>
  </si>
  <si>
    <t>Feb-16</t>
  </si>
  <si>
    <t>Apr-15</t>
  </si>
  <si>
    <t>May-15</t>
  </si>
  <si>
    <t>Jun-15</t>
  </si>
  <si>
    <t>Jul-15</t>
  </si>
  <si>
    <t>Aug-15</t>
  </si>
  <si>
    <t>Sep-15</t>
  </si>
  <si>
    <t>Oct-15</t>
  </si>
  <si>
    <t>Nov-15</t>
  </si>
  <si>
    <t>Dec-15</t>
  </si>
  <si>
    <t>Mar-16</t>
  </si>
  <si>
    <t>Jul-17</t>
  </si>
  <si>
    <t>Aug-17</t>
  </si>
  <si>
    <t>Sep-17</t>
  </si>
  <si>
    <t>Oct-17</t>
  </si>
  <si>
    <t>Nov-17</t>
  </si>
  <si>
    <t>Dec-17</t>
  </si>
  <si>
    <t>Jan-18</t>
  </si>
  <si>
    <t>Feb-18</t>
  </si>
  <si>
    <t>Mar-18</t>
  </si>
  <si>
    <t>2014-15</t>
  </si>
  <si>
    <t>Apr-14</t>
  </si>
  <si>
    <t>May-14</t>
  </si>
  <si>
    <t>Jun-14</t>
  </si>
  <si>
    <t>Jul-14</t>
  </si>
  <si>
    <t>Aug-14</t>
  </si>
  <si>
    <t>Sep-14</t>
  </si>
  <si>
    <t>Oct-14</t>
  </si>
  <si>
    <t>Nov-14</t>
  </si>
  <si>
    <t>Dec-14</t>
  </si>
  <si>
    <t>Feb-15</t>
  </si>
  <si>
    <t>Jan-15</t>
  </si>
  <si>
    <t>Mar-15</t>
  </si>
  <si>
    <t>(blank)</t>
  </si>
  <si>
    <t>Corp. Tax</t>
  </si>
  <si>
    <t>Sec. Tr. Tax</t>
  </si>
  <si>
    <t>Comp. Cess</t>
  </si>
  <si>
    <t>Jan-21</t>
  </si>
  <si>
    <t>Feb-21</t>
  </si>
  <si>
    <t>Mar-21</t>
  </si>
  <si>
    <t>2021-22</t>
  </si>
  <si>
    <t>Apr-21</t>
  </si>
  <si>
    <t>May-21</t>
  </si>
  <si>
    <t>Jul-21</t>
  </si>
  <si>
    <t>Aug-21</t>
  </si>
  <si>
    <t>Sep-21</t>
  </si>
  <si>
    <t>Oct-21</t>
  </si>
  <si>
    <t>Nov-21</t>
  </si>
  <si>
    <t>Dec-21</t>
  </si>
  <si>
    <t>Jan-22</t>
  </si>
  <si>
    <t>Feb-22</t>
  </si>
  <si>
    <t>Mar-22</t>
  </si>
  <si>
    <t>2022-23</t>
  </si>
  <si>
    <t>Apr-22</t>
  </si>
  <si>
    <t>May-22</t>
  </si>
  <si>
    <t>Jun-22</t>
  </si>
  <si>
    <t>Jul-22</t>
  </si>
  <si>
    <t>Aug-22</t>
  </si>
  <si>
    <t>Sep-22</t>
  </si>
  <si>
    <t>Oct-22</t>
  </si>
  <si>
    <t>Nov-22</t>
  </si>
  <si>
    <t>Dec-22</t>
  </si>
  <si>
    <t>Jan-23</t>
  </si>
  <si>
    <t>Feb-23</t>
  </si>
  <si>
    <t>Mar-23</t>
  </si>
  <si>
    <t>2023-24</t>
  </si>
  <si>
    <t>Apr-23</t>
  </si>
  <si>
    <t>May-23</t>
  </si>
  <si>
    <t>Jun-23</t>
  </si>
  <si>
    <t>Jul-23</t>
  </si>
  <si>
    <t>Aug-23</t>
  </si>
  <si>
    <t>Sep-23</t>
  </si>
  <si>
    <t>Oct-23</t>
  </si>
  <si>
    <t>Nov-23</t>
  </si>
  <si>
    <t>Dec-23</t>
  </si>
  <si>
    <t>Jan-24</t>
  </si>
  <si>
    <t>Feb-24</t>
  </si>
  <si>
    <t>Mar-24</t>
  </si>
  <si>
    <t>2024-25</t>
  </si>
  <si>
    <t>Apr-24</t>
  </si>
  <si>
    <t>% to GDP</t>
  </si>
  <si>
    <t>GDP</t>
  </si>
  <si>
    <t>of GDP</t>
  </si>
  <si>
    <t>% age to GDP</t>
  </si>
  <si>
    <t>Dev to States &amp; NCCD</t>
  </si>
  <si>
    <t>Total Non Tax Revenue</t>
  </si>
  <si>
    <t>Misc. Capital Receipts</t>
  </si>
  <si>
    <t>Jun-21</t>
  </si>
  <si>
    <t>Total</t>
  </si>
  <si>
    <t>Disclaimer :</t>
  </si>
  <si>
    <t xml:space="preserve">All content included in the dashboard is for informative purposes only. Information herein contains both original Budget, Expenditure, GDP data and estimates and is subject to updation, correction and revision with more information available. </t>
  </si>
  <si>
    <t>1.</t>
  </si>
  <si>
    <t>2.</t>
  </si>
  <si>
    <t>3.</t>
  </si>
  <si>
    <t>4.</t>
  </si>
  <si>
    <t>Queries and feedback may be addressed to dama-cga@nic.in or vpthomas.17@gov.in</t>
  </si>
  <si>
    <t>This disclaimer of liability applies to all claims for damages, including, but not limited to: failure of performance, error, omission, deletion, defect, computer virus or unauthorized access to or alteration of data.</t>
  </si>
  <si>
    <t>May-24</t>
  </si>
  <si>
    <t>The presentation of the graphical information herein does not imply the expression of any opinion concerning the performance, error, omission etc. of any institution or authorities.</t>
  </si>
  <si>
    <t xml:space="preserve">Financial Year </t>
  </si>
  <si>
    <t>Discrepancies between information contained in this dashboard and other documents, analysis, articles and publication may exist due to the different timing and presentation of information in accordance to various purposes.</t>
  </si>
  <si>
    <t>Effective revenue Deficit</t>
  </si>
  <si>
    <t>Jun-24</t>
  </si>
  <si>
    <t>Jul-24</t>
  </si>
  <si>
    <t>Aug-24</t>
  </si>
  <si>
    <t>Sep-24</t>
  </si>
  <si>
    <t>Oct-24</t>
  </si>
  <si>
    <t>Nov-24</t>
  </si>
  <si>
    <t>Dec-24</t>
  </si>
  <si>
    <t>Jan-25</t>
  </si>
  <si>
    <t>Feb-25</t>
  </si>
  <si>
    <t>Mar-25</t>
  </si>
  <si>
    <t>2025-26</t>
  </si>
  <si>
    <t>Apr-25</t>
  </si>
  <si>
    <t>May-25</t>
  </si>
  <si>
    <t>Jun-25</t>
  </si>
  <si>
    <t>Jul-25</t>
  </si>
  <si>
    <t>Aug-25</t>
  </si>
  <si>
    <t>Sep-25</t>
  </si>
  <si>
    <t>Oct-25</t>
  </si>
  <si>
    <t>Nov-25</t>
  </si>
  <si>
    <t>Dec-25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</si>
</sst>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quot;₹&quot;\ * #,##0.00_ ;_ &quot;₹&quot;\ * \-#,##0.00_ ;_ &quot;₹&quot;\ * &quot;-&quot;??_ ;_ @_ "/>
    <numFmt numFmtId="165" formatCode="0.0%"/>
    <numFmt numFmtId="166" formatCode="[Color50]&quot;▲&quot;;[Red]&quot;▼&quot;"/>
    <numFmt numFmtId="167" formatCode="_ &quot;₹&quot;\ * #,##0_ ;_ &quot;₹&quot;\ * \-#,##0_ ;_ &quot;₹&quot;\ * &quot;-&quot;??_ ;_ @_ "/>
    <numFmt numFmtId="168" formatCode="&quot;₹&quot;\ #,##0"/>
  </numFmts>
  <fonts count="19" x14ac:knownFonts="1">
    <font>
      <sz val="11"/>
      <color theme="1"/>
      <name val="Calibri"/>
      <family val="2"/>
      <scheme val="minor"/>
    </font>
    <font>
      <sz val="10"/>
      <color indexed="8"/>
      <name val="Arial"/>
      <family val="2"/>
    </font>
    <font>
      <sz val="11"/>
      <color indexed="8"/>
      <name val="Calibri"/>
      <family val="2"/>
    </font>
    <font>
      <sz val="11"/>
      <color theme="1"/>
      <name val="Calibri"/>
      <family val="2"/>
      <scheme val="minor"/>
    </font>
    <font>
      <sz val="8"/>
      <name val="Calibri"/>
      <family val="2"/>
      <scheme val="minor"/>
    </font>
    <font>
      <sz val="11"/>
      <color theme="1"/>
      <name val="Arial"/>
      <family val="2"/>
    </font>
    <font>
      <sz val="14"/>
      <color theme="1"/>
      <name val="Calibri"/>
      <family val="2"/>
      <scheme val="minor"/>
    </font>
    <font>
      <sz val="16"/>
      <color theme="1"/>
      <name val="Calibri"/>
      <family val="2"/>
      <scheme val="minor"/>
    </font>
    <font>
      <sz val="20"/>
      <color theme="1"/>
      <name val="Calibri"/>
      <family val="2"/>
      <scheme val="minor"/>
    </font>
    <font>
      <sz val="24"/>
      <color theme="1"/>
      <name val="Calibri"/>
      <family val="2"/>
      <scheme val="minor"/>
    </font>
    <font>
      <sz val="12"/>
      <color theme="1"/>
      <name val="Calibri"/>
      <family val="2"/>
      <scheme val="minor"/>
    </font>
    <font>
      <sz val="18"/>
      <color theme="1"/>
      <name val="Calibri"/>
      <family val="2"/>
      <scheme val="minor"/>
    </font>
    <font>
      <sz val="11"/>
      <name val="Calibri"/>
      <family val="2"/>
      <scheme val="minor"/>
    </font>
    <font>
      <sz val="8"/>
      <color rgb="FF000000"/>
      <name val="Segoe UI"/>
      <family val="2"/>
    </font>
    <font>
      <sz val="11"/>
      <color theme="6" tint="0.79998168889431442"/>
      <name val="Calibri"/>
      <family val="2"/>
      <scheme val="minor"/>
    </font>
    <font>
      <sz val="11"/>
      <color rgb="FF000000"/>
      <name val="Calibri"/>
      <family val="2"/>
    </font>
    <font>
      <b/>
      <sz val="14"/>
      <color theme="1"/>
      <name val="Calibri"/>
      <family val="2"/>
      <scheme val="minor"/>
    </font>
    <font>
      <sz val="12"/>
      <name val="Calibri"/>
      <family val="2"/>
      <scheme val="minor"/>
    </font>
    <font>
      <sz val="11"/>
      <color theme="2"/>
      <name val="Calibri"/>
      <family val="2"/>
      <scheme val="minor"/>
    </font>
  </fonts>
  <fills count="4">
    <fill>
      <patternFill patternType="none"/>
    </fill>
    <fill>
      <patternFill patternType="gray125"/>
    </fill>
    <fill>
      <patternFill patternType="solid">
        <fgColor indexed="22"/>
        <bgColor indexed="0"/>
      </patternFill>
    </fill>
    <fill>
      <patternFill patternType="solid">
        <fgColor theme="6" tint="0.79998168889431442"/>
        <bgColor indexed="64"/>
      </patternFill>
    </fill>
  </fills>
  <borders count="12">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9" fontId="3" fillId="0" borderId="0" applyFont="0" applyFill="0" applyBorder="0" applyAlignment="0" applyProtection="0"/>
    <xf numFmtId="164" fontId="3" fillId="0" borderId="0" applyFont="0" applyFill="0" applyBorder="0" applyAlignment="0" applyProtection="0"/>
  </cellStyleXfs>
  <cellXfs count="68">
    <xf numFmtId="0" fontId="0" fillId="0" borderId="0" xfId="0"/>
    <xf numFmtId="0" fontId="2" fillId="2" borderId="1" xfId="1" applyFont="1" applyFill="1" applyBorder="1" applyAlignment="1">
      <alignment horizontal="center" wrapText="1"/>
    </xf>
    <xf numFmtId="49" fontId="0" fillId="0" borderId="0" xfId="0" applyNumberFormat="1"/>
    <xf numFmtId="0" fontId="2" fillId="2" borderId="3" xfId="1" applyFont="1" applyFill="1" applyBorder="1" applyAlignment="1">
      <alignment horizontal="center" wrapText="1"/>
    </xf>
    <xf numFmtId="0" fontId="2" fillId="2" borderId="3" xfId="2" applyFont="1" applyFill="1" applyBorder="1" applyAlignment="1">
      <alignment horizontal="center"/>
    </xf>
    <xf numFmtId="0" fontId="0" fillId="0" borderId="0" xfId="0" pivotButton="1"/>
    <xf numFmtId="0" fontId="0" fillId="0" borderId="0" xfId="0" applyAlignment="1">
      <alignment horizontal="left"/>
    </xf>
    <xf numFmtId="165" fontId="0" fillId="0" borderId="0" xfId="3" applyNumberFormat="1" applyFont="1"/>
    <xf numFmtId="165" fontId="5" fillId="0" borderId="0" xfId="3" applyNumberFormat="1" applyFont="1"/>
    <xf numFmtId="0" fontId="8" fillId="0" borderId="0" xfId="0" applyFont="1"/>
    <xf numFmtId="166" fontId="0" fillId="0" borderId="0" xfId="0" applyNumberFormat="1"/>
    <xf numFmtId="9" fontId="0" fillId="0" borderId="0" xfId="3" applyFont="1"/>
    <xf numFmtId="9" fontId="0" fillId="0" borderId="0"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 fontId="0" fillId="0" borderId="0" xfId="0" applyNumberFormat="1"/>
    <xf numFmtId="0" fontId="0" fillId="3" borderId="0" xfId="0" applyFill="1"/>
    <xf numFmtId="165" fontId="7" fillId="3" borderId="0" xfId="0" applyNumberFormat="1" applyFont="1" applyFill="1" applyAlignment="1">
      <alignment horizontal="center"/>
    </xf>
    <xf numFmtId="165" fontId="7" fillId="3" borderId="0" xfId="3" applyNumberFormat="1" applyFont="1" applyFill="1" applyAlignment="1">
      <alignment horizontal="center"/>
    </xf>
    <xf numFmtId="0" fontId="0" fillId="3" borderId="0" xfId="0" applyFill="1" applyAlignment="1">
      <alignment horizontal="center" vertical="center"/>
    </xf>
    <xf numFmtId="0" fontId="0" fillId="3" borderId="0" xfId="0" applyFill="1" applyAlignment="1">
      <alignment horizontal="center"/>
    </xf>
    <xf numFmtId="168" fontId="0" fillId="3" borderId="0" xfId="0" applyNumberFormat="1" applyFill="1"/>
    <xf numFmtId="168" fontId="6" fillId="3" borderId="0" xfId="0" applyNumberFormat="1" applyFont="1" applyFill="1" applyAlignment="1">
      <alignment horizontal="right"/>
    </xf>
    <xf numFmtId="165" fontId="10" fillId="3" borderId="0" xfId="0" applyNumberFormat="1" applyFont="1" applyFill="1" applyAlignment="1">
      <alignment horizontal="right"/>
    </xf>
    <xf numFmtId="0" fontId="10" fillId="3" borderId="0" xfId="0" applyFont="1" applyFill="1" applyAlignment="1">
      <alignment horizontal="left"/>
    </xf>
    <xf numFmtId="166" fontId="9" fillId="3" borderId="0" xfId="0" applyNumberFormat="1" applyFont="1" applyFill="1"/>
    <xf numFmtId="0" fontId="0" fillId="3" borderId="0" xfId="0" applyFill="1" applyAlignment="1">
      <alignment horizontal="left"/>
    </xf>
    <xf numFmtId="165" fontId="10" fillId="3" borderId="0" xfId="3" applyNumberFormat="1" applyFont="1" applyFill="1"/>
    <xf numFmtId="0" fontId="10" fillId="3" borderId="0" xfId="0" applyFont="1" applyFill="1"/>
    <xf numFmtId="0" fontId="10" fillId="3" borderId="0" xfId="0" applyFont="1" applyFill="1" applyAlignment="1">
      <alignment horizontal="center"/>
    </xf>
    <xf numFmtId="168" fontId="10" fillId="3" borderId="0" xfId="0" applyNumberFormat="1" applyFont="1" applyFill="1" applyAlignment="1">
      <alignment horizontal="center"/>
    </xf>
    <xf numFmtId="165" fontId="10" fillId="3" borderId="0" xfId="3" applyNumberFormat="1" applyFont="1" applyFill="1" applyAlignment="1">
      <alignment horizontal="center"/>
    </xf>
    <xf numFmtId="167" fontId="8" fillId="3" borderId="0" xfId="4" applyNumberFormat="1" applyFont="1" applyFill="1" applyAlignment="1">
      <alignment horizontal="center" vertical="center"/>
    </xf>
    <xf numFmtId="168" fontId="10" fillId="3" borderId="0" xfId="0" applyNumberFormat="1" applyFont="1" applyFill="1"/>
    <xf numFmtId="165" fontId="10" fillId="3" borderId="0" xfId="3" applyNumberFormat="1" applyFont="1" applyFill="1" applyAlignment="1"/>
    <xf numFmtId="165" fontId="10" fillId="3" borderId="0" xfId="0" applyNumberFormat="1" applyFont="1" applyFill="1"/>
    <xf numFmtId="0" fontId="12" fillId="3" borderId="0" xfId="0" applyFont="1" applyFill="1"/>
    <xf numFmtId="0" fontId="14" fillId="3" borderId="0" xfId="0" applyFont="1" applyFill="1"/>
    <xf numFmtId="0" fontId="0" fillId="0" borderId="0" xfId="0" applyProtection="1">
      <protection locked="0"/>
    </xf>
    <xf numFmtId="49" fontId="0" fillId="0" borderId="0" xfId="0" applyNumberFormat="1" applyProtection="1">
      <protection locked="0"/>
    </xf>
    <xf numFmtId="0" fontId="12" fillId="3" borderId="0" xfId="0" quotePrefix="1" applyFont="1" applyFill="1" applyAlignment="1">
      <alignment horizontal="right"/>
    </xf>
    <xf numFmtId="0" fontId="16" fillId="3" borderId="0" xfId="0" applyFont="1" applyFill="1"/>
    <xf numFmtId="0" fontId="16" fillId="3" borderId="0" xfId="0" applyFont="1" applyFill="1" applyAlignment="1">
      <alignment horizontal="right"/>
    </xf>
    <xf numFmtId="0" fontId="16" fillId="3" borderId="2" xfId="0" applyFont="1" applyFill="1" applyBorder="1" applyAlignment="1" applyProtection="1">
      <alignment horizontal="center"/>
      <protection locked="0"/>
    </xf>
    <xf numFmtId="0" fontId="17" fillId="3" borderId="0" xfId="0" applyFont="1" applyFill="1"/>
    <xf numFmtId="0" fontId="17" fillId="3" borderId="0" xfId="0" quotePrefix="1" applyFont="1" applyFill="1" applyAlignment="1">
      <alignment horizontal="right"/>
    </xf>
    <xf numFmtId="0" fontId="2" fillId="0" borderId="1" xfId="1" applyFont="1" applyBorder="1" applyAlignment="1">
      <alignment horizontal="center" wrapText="1"/>
    </xf>
    <xf numFmtId="0" fontId="0" fillId="0" borderId="0" xfId="0" applyAlignment="1">
      <alignment wrapText="1"/>
    </xf>
    <xf numFmtId="0" fontId="18" fillId="3" borderId="0" xfId="0" applyFont="1" applyFill="1"/>
    <xf numFmtId="49" fontId="18" fillId="3" borderId="0" xfId="0" applyNumberFormat="1" applyFont="1" applyFill="1"/>
    <xf numFmtId="0" fontId="18" fillId="3" borderId="0" xfId="0" applyFont="1" applyFill="1" applyAlignment="1">
      <alignment horizontal="left"/>
    </xf>
    <xf numFmtId="165" fontId="7" fillId="3" borderId="0" xfId="0" applyNumberFormat="1" applyFont="1" applyFill="1" applyAlignment="1">
      <alignment horizontal="right"/>
    </xf>
    <xf numFmtId="165" fontId="7" fillId="3" borderId="0" xfId="3" applyNumberFormat="1" applyFont="1" applyFill="1" applyAlignment="1">
      <alignment horizontal="center"/>
    </xf>
    <xf numFmtId="166" fontId="9" fillId="3" borderId="0" xfId="0" applyNumberFormat="1" applyFont="1" applyFill="1" applyAlignment="1">
      <alignment horizontal="center" vertical="center"/>
    </xf>
    <xf numFmtId="0" fontId="0" fillId="3" borderId="0" xfId="0" applyFill="1" applyAlignment="1">
      <alignment horizontal="center"/>
    </xf>
    <xf numFmtId="167" fontId="11" fillId="3" borderId="0" xfId="4" applyNumberFormat="1" applyFont="1" applyFill="1" applyAlignment="1">
      <alignment horizontal="center" vertical="center"/>
    </xf>
    <xf numFmtId="165" fontId="6" fillId="3" borderId="0" xfId="3" applyNumberFormat="1" applyFont="1" applyFill="1" applyAlignment="1">
      <alignment horizontal="right"/>
    </xf>
    <xf numFmtId="168" fontId="10" fillId="3" borderId="0" xfId="0" applyNumberFormat="1" applyFont="1" applyFill="1" applyAlignment="1">
      <alignment horizontal="center"/>
    </xf>
    <xf numFmtId="165" fontId="10" fillId="3" borderId="0" xfId="3" applyNumberFormat="1" applyFont="1" applyFill="1" applyAlignment="1">
      <alignment horizontal="center"/>
    </xf>
    <xf numFmtId="0" fontId="10" fillId="3" borderId="0" xfId="0" applyFont="1" applyFill="1" applyAlignment="1">
      <alignment horizontal="center"/>
    </xf>
    <xf numFmtId="166" fontId="9" fillId="3" borderId="0" xfId="0" applyNumberFormat="1" applyFont="1" applyFill="1" applyAlignment="1">
      <alignment horizontal="center"/>
    </xf>
    <xf numFmtId="166" fontId="9" fillId="3" borderId="0" xfId="0" applyNumberFormat="1" applyFont="1" applyFill="1" applyAlignment="1">
      <alignment horizontal="left" vertical="center"/>
    </xf>
  </cellXfs>
  <cellStyles count="5">
    <cellStyle name="Currency" xfId="4" builtinId="4"/>
    <cellStyle name="Normal" xfId="0" builtinId="0"/>
    <cellStyle name="Normal_Actual (2)" xfId="2" xr:uid="{00000000-0005-0000-0000-000002000000}"/>
    <cellStyle name="Normal_Sheet1" xfId="1" xr:uid="{00000000-0005-0000-0000-000003000000}"/>
    <cellStyle name="Percent" xfId="3" builtinId="5"/>
  </cellStyles>
  <dxfs count="18">
    <dxf>
      <border outline="0">
        <top style="thin">
          <color rgb="FF000000"/>
        </top>
      </border>
    </dxf>
    <dxf>
      <border outline="0">
        <bottom style="thin">
          <color rgb="FF000000"/>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1" indent="0" justifyLastLine="0" shrinkToFit="0" readingOrder="0"/>
      <border diagonalUp="0" diagonalDown="0" outline="0">
        <left style="thin">
          <color indexed="8"/>
        </left>
        <right style="thin">
          <color indexed="8"/>
        </right>
        <top/>
        <bottom/>
      </border>
    </dxf>
    <dxf>
      <border outline="0">
        <top style="thin">
          <color indexed="8"/>
        </top>
      </border>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1" indent="0" justifyLastLine="0" shrinkToFit="0" readingOrder="0"/>
      <border diagonalUp="0" diagonalDown="0" outline="0">
        <left style="thin">
          <color indexed="8"/>
        </left>
        <right style="thin">
          <color indexed="8"/>
        </right>
        <top/>
        <bottom/>
      </border>
    </dxf>
    <dxf>
      <numFmt numFmtId="30" formatCode="@"/>
    </dxf>
    <dxf>
      <border outline="0">
        <top style="thin">
          <color indexed="8"/>
        </top>
      </border>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1" indent="0" justifyLastLine="0" shrinkToFit="0" readingOrder="0"/>
      <border diagonalUp="0" diagonalDown="0" outline="0">
        <left style="thin">
          <color indexed="8"/>
        </left>
        <right style="thin">
          <color indexed="8"/>
        </right>
        <top/>
        <bottom/>
      </border>
    </dxf>
    <dxf>
      <numFmt numFmtId="30" formatCode="@"/>
    </dxf>
    <dxf>
      <border outline="0">
        <top style="thin">
          <color indexed="8"/>
        </top>
      </border>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1" indent="0" justifyLastLine="0" shrinkToFit="0" readingOrder="0"/>
      <border diagonalUp="0" diagonalDown="0" outline="0">
        <left style="thin">
          <color indexed="8"/>
        </left>
        <right style="thin">
          <color indexed="8"/>
        </right>
        <top/>
        <bottom/>
      </border>
    </dxf>
    <dxf>
      <font>
        <color theme="2"/>
      </font>
    </dxf>
    <dxf>
      <font>
        <color theme="2"/>
      </font>
    </dxf>
    <dxf>
      <font>
        <color theme="2"/>
      </font>
    </dxf>
    <dxf>
      <fill>
        <patternFill patternType="solid">
          <bgColor theme="6"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1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1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_rels/chart2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3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4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Sheet2!$E$42</c:f>
              <c:strCache>
                <c:ptCount val="1"/>
                <c:pt idx="0">
                  <c:v>2025-26</c:v>
                </c:pt>
              </c:strCache>
            </c:strRef>
          </c:tx>
          <c:marker>
            <c:symbol val="none"/>
          </c:marker>
          <c:cat>
            <c:strRef>
              <c:f>Sheet2!$D$74:$D$85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Sheet2!$E$74:$E$85</c:f>
              <c:numCache>
                <c:formatCode>General</c:formatCode>
                <c:ptCount val="12"/>
                <c:pt idx="0">
                  <c:v>22459</c:v>
                </c:pt>
                <c:pt idx="1">
                  <c:v>25224</c:v>
                </c:pt>
                <c:pt idx="2">
                  <c:v>28018</c:v>
                </c:pt>
                <c:pt idx="3">
                  <c:v>29789</c:v>
                </c:pt>
                <c:pt idx="4">
                  <c:v>31970</c:v>
                </c:pt>
                <c:pt idx="5">
                  <c:v>34770</c:v>
                </c:pt>
                <c:pt idx="6">
                  <c:v>37095</c:v>
                </c:pt>
                <c:pt idx="7">
                  <c:v>38927</c:v>
                </c:pt>
                <c:pt idx="8">
                  <c:v>46047</c:v>
                </c:pt>
                <c:pt idx="9">
                  <c:v>#N/A</c:v>
                </c:pt>
                <c:pt idx="10">
                  <c:v>#N/A</c:v>
                </c:pt>
                <c:pt idx="11">
                  <c:v>#N/A</c:v>
                </c:pt>
              </c:numCache>
            </c:numRef>
          </c:val>
          <c:smooth val="0"/>
          <c:extLst>
            <c:ext xmlns:c16="http://schemas.microsoft.com/office/drawing/2014/chart" uri="{C3380CC4-5D6E-409C-BE32-E72D297353CC}">
              <c16:uniqueId val="{00000000-0D78-424D-9AAD-5E1C384B2977}"/>
            </c:ext>
          </c:extLst>
        </c:ser>
        <c:ser>
          <c:idx val="1"/>
          <c:order val="1"/>
          <c:tx>
            <c:strRef>
              <c:f>Sheet2!$F$42</c:f>
              <c:strCache>
                <c:ptCount val="1"/>
                <c:pt idx="0">
                  <c:v>2024-25</c:v>
                </c:pt>
              </c:strCache>
            </c:strRef>
          </c:tx>
          <c:spPr>
            <a:ln>
              <a:solidFill>
                <a:schemeClr val="accent6">
                  <a:lumMod val="75000"/>
                </a:schemeClr>
              </a:solidFill>
            </a:ln>
          </c:spPr>
          <c:marker>
            <c:symbol val="none"/>
          </c:marker>
          <c:cat>
            <c:strRef>
              <c:f>Sheet2!$D$74:$D$85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Sheet2!$F$74:$F$85</c:f>
              <c:numCache>
                <c:formatCode>General</c:formatCode>
                <c:ptCount val="12"/>
                <c:pt idx="0">
                  <c:v>1041</c:v>
                </c:pt>
                <c:pt idx="1">
                  <c:v>2087</c:v>
                </c:pt>
                <c:pt idx="2">
                  <c:v>4520</c:v>
                </c:pt>
                <c:pt idx="3">
                  <c:v>6386</c:v>
                </c:pt>
                <c:pt idx="4">
                  <c:v>8866</c:v>
                </c:pt>
                <c:pt idx="5">
                  <c:v>14601</c:v>
                </c:pt>
                <c:pt idx="6">
                  <c:v>18807</c:v>
                </c:pt>
                <c:pt idx="7">
                  <c:v>23953</c:v>
                </c:pt>
                <c:pt idx="8">
                  <c:v>27295</c:v>
                </c:pt>
                <c:pt idx="9">
                  <c:v>29224</c:v>
                </c:pt>
                <c:pt idx="10">
                  <c:v>37364</c:v>
                </c:pt>
                <c:pt idx="11">
                  <c:v>41818</c:v>
                </c:pt>
              </c:numCache>
            </c:numRef>
          </c:val>
          <c:smooth val="0"/>
          <c:extLst>
            <c:ext xmlns:c16="http://schemas.microsoft.com/office/drawing/2014/chart" uri="{C3380CC4-5D6E-409C-BE32-E72D297353CC}">
              <c16:uniqueId val="{00000001-0D78-424D-9AAD-5E1C384B2977}"/>
            </c:ext>
          </c:extLst>
        </c:ser>
        <c:dLbls>
          <c:showLegendKey val="0"/>
          <c:showVal val="0"/>
          <c:showCatName val="0"/>
          <c:showSerName val="0"/>
          <c:showPercent val="0"/>
          <c:showBubbleSize val="0"/>
        </c:dLbls>
        <c:smooth val="0"/>
        <c:axId val="165504128"/>
        <c:axId val="165505664"/>
      </c:lineChart>
      <c:catAx>
        <c:axId val="165504128"/>
        <c:scaling>
          <c:orientation val="minMax"/>
        </c:scaling>
        <c:delete val="0"/>
        <c:axPos val="b"/>
        <c:numFmt formatCode="General" sourceLinked="0"/>
        <c:majorTickMark val="out"/>
        <c:minorTickMark val="none"/>
        <c:tickLblPos val="nextTo"/>
        <c:txPr>
          <a:bodyPr rot="-5400000" vert="horz" anchor="t" anchorCtr="1"/>
          <a:lstStyle/>
          <a:p>
            <a:pPr>
              <a:defRPr sz="700"/>
            </a:pPr>
            <a:endParaRPr lang="en-US"/>
          </a:p>
        </c:txPr>
        <c:crossAx val="165505664"/>
        <c:crosses val="autoZero"/>
        <c:auto val="1"/>
        <c:lblAlgn val="ctr"/>
        <c:lblOffset val="100"/>
        <c:noMultiLvlLbl val="0"/>
      </c:catAx>
      <c:valAx>
        <c:axId val="165505664"/>
        <c:scaling>
          <c:orientation val="minMax"/>
        </c:scaling>
        <c:delete val="0"/>
        <c:axPos val="l"/>
        <c:majorGridlines/>
        <c:numFmt formatCode="0.0" sourceLinked="0"/>
        <c:majorTickMark val="out"/>
        <c:minorTickMark val="none"/>
        <c:tickLblPos val="nextTo"/>
        <c:crossAx val="165504128"/>
        <c:crosses val="autoZero"/>
        <c:crossBetween val="between"/>
        <c:dispUnits>
          <c:builtInUnit val="hundredThousands"/>
        </c:dispUnits>
      </c:valAx>
      <c:spPr>
        <a:noFill/>
      </c:spPr>
    </c:plotArea>
    <c:legend>
      <c:legendPos val="b"/>
      <c:layout>
        <c:manualLayout>
          <c:xMode val="edge"/>
          <c:yMode val="edge"/>
          <c:x val="0.17908686192986939"/>
          <c:y val="0.10310655612492883"/>
          <c:w val="0.31063541836031561"/>
          <c:h val="0.2547491958764857"/>
        </c:manualLayout>
      </c:layout>
      <c:overlay val="1"/>
      <c:txPr>
        <a:bodyPr/>
        <a:lstStyle/>
        <a:p>
          <a:pPr>
            <a:defRPr sz="800"/>
          </a:pPr>
          <a:endParaRPr lang="en-US"/>
        </a:p>
      </c:txPr>
    </c:legend>
    <c:plotVisOnly val="1"/>
    <c:dispBlanksAs val="gap"/>
    <c:showDLblsOverMax val="0"/>
  </c:chart>
  <c:spPr>
    <a:noFill/>
    <a:ln>
      <a:noFill/>
    </a:ln>
  </c:spPr>
  <c:printSettings>
    <c:headerFooter/>
    <c:pageMargins b="0.75000000000000244" l="0.70000000000000062" r="0.70000000000000062" t="0.750000000000002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920657291379438E-2"/>
          <c:y val="1.4183797207727803E-2"/>
          <c:w val="0.84593052821522297"/>
          <c:h val="0.77066980506440763"/>
        </c:manualLayout>
      </c:layout>
      <c:doughnutChart>
        <c:varyColors val="1"/>
        <c:ser>
          <c:idx val="0"/>
          <c:order val="0"/>
          <c:dPt>
            <c:idx val="0"/>
            <c:bubble3D val="0"/>
            <c:spPr>
              <a:solidFill>
                <a:schemeClr val="accent3">
                  <a:lumMod val="75000"/>
                </a:schemeClr>
              </a:solidFill>
            </c:spPr>
            <c:extLst>
              <c:ext xmlns:c16="http://schemas.microsoft.com/office/drawing/2014/chart" uri="{C3380CC4-5D6E-409C-BE32-E72D297353CC}">
                <c16:uniqueId val="{00000000-3AAF-42BC-ABC9-3F54388D1C7C}"/>
              </c:ext>
            </c:extLst>
          </c:dPt>
          <c:dPt>
            <c:idx val="1"/>
            <c:bubble3D val="0"/>
            <c:spPr>
              <a:solidFill>
                <a:schemeClr val="tx2">
                  <a:lumMod val="60000"/>
                  <a:lumOff val="40000"/>
                </a:schemeClr>
              </a:solidFill>
            </c:spPr>
            <c:extLst>
              <c:ext xmlns:c16="http://schemas.microsoft.com/office/drawing/2014/chart" uri="{C3380CC4-5D6E-409C-BE32-E72D297353CC}">
                <c16:uniqueId val="{00000001-3AAF-42BC-ABC9-3F54388D1C7C}"/>
              </c:ext>
            </c:extLst>
          </c:dPt>
          <c:dPt>
            <c:idx val="2"/>
            <c:bubble3D val="0"/>
            <c:spPr>
              <a:solidFill>
                <a:srgbClr val="FFFF00"/>
              </a:solidFill>
            </c:spPr>
            <c:extLst>
              <c:ext xmlns:c16="http://schemas.microsoft.com/office/drawing/2014/chart" uri="{C3380CC4-5D6E-409C-BE32-E72D297353CC}">
                <c16:uniqueId val="{00000002-3AAF-42BC-ABC9-3F54388D1C7C}"/>
              </c:ext>
            </c:extLst>
          </c:dPt>
          <c:dPt>
            <c:idx val="3"/>
            <c:bubble3D val="0"/>
            <c:spPr>
              <a:solidFill>
                <a:schemeClr val="accent6">
                  <a:lumMod val="75000"/>
                </a:schemeClr>
              </a:solidFill>
            </c:spPr>
            <c:extLst>
              <c:ext xmlns:c16="http://schemas.microsoft.com/office/drawing/2014/chart" uri="{C3380CC4-5D6E-409C-BE32-E72D297353CC}">
                <c16:uniqueId val="{00000003-3AAF-42BC-ABC9-3F54388D1C7C}"/>
              </c:ext>
            </c:extLst>
          </c:dPt>
          <c:dLbls>
            <c:spPr>
              <a:noFill/>
              <a:ln>
                <a:noFill/>
              </a:ln>
              <a:effectLst/>
            </c:spPr>
            <c:txPr>
              <a:bodyPr/>
              <a:lstStyle/>
              <a:p>
                <a:pPr>
                  <a:defRPr sz="900"/>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Sheet2!$C$23:$C$26</c:f>
              <c:strCache>
                <c:ptCount val="4"/>
                <c:pt idx="0">
                  <c:v>Net Tax Revenue</c:v>
                </c:pt>
                <c:pt idx="1">
                  <c:v>Non Tax Revenue</c:v>
                </c:pt>
                <c:pt idx="2">
                  <c:v>Non Debt Capital Receipts</c:v>
                </c:pt>
                <c:pt idx="3">
                  <c:v>Fiscal Deficit</c:v>
                </c:pt>
              </c:strCache>
            </c:strRef>
          </c:cat>
          <c:val>
            <c:numRef>
              <c:f>Sheet2!$D$23:$D$26</c:f>
              <c:numCache>
                <c:formatCode>General</c:formatCode>
                <c:ptCount val="4"/>
                <c:pt idx="0">
                  <c:v>1939254</c:v>
                </c:pt>
                <c:pt idx="1">
                  <c:v>539855</c:v>
                </c:pt>
                <c:pt idx="2">
                  <c:v>46047</c:v>
                </c:pt>
                <c:pt idx="3">
                  <c:v>855842</c:v>
                </c:pt>
              </c:numCache>
            </c:numRef>
          </c:val>
          <c:extLst>
            <c:ext xmlns:c16="http://schemas.microsoft.com/office/drawing/2014/chart" uri="{C3380CC4-5D6E-409C-BE32-E72D297353CC}">
              <c16:uniqueId val="{00000004-3AAF-42BC-ABC9-3F54388D1C7C}"/>
            </c:ext>
          </c:extLst>
        </c:ser>
        <c:dLbls>
          <c:showLegendKey val="0"/>
          <c:showVal val="0"/>
          <c:showCatName val="0"/>
          <c:showSerName val="0"/>
          <c:showPercent val="0"/>
          <c:showBubbleSize val="0"/>
          <c:showLeaderLines val="1"/>
        </c:dLbls>
        <c:firstSliceAng val="0"/>
        <c:holeSize val="49"/>
      </c:doughnutChart>
    </c:plotArea>
    <c:legend>
      <c:legendPos val="b"/>
      <c:layout>
        <c:manualLayout>
          <c:xMode val="edge"/>
          <c:yMode val="edge"/>
          <c:x val="1.5604644750145533E-2"/>
          <c:y val="0.81084657533315385"/>
          <c:w val="0.96881072745284269"/>
          <c:h val="9.1596483469671724E-2"/>
        </c:manualLayout>
      </c:layout>
      <c:overlay val="1"/>
      <c:spPr>
        <a:noFill/>
      </c:spPr>
      <c:txPr>
        <a:bodyPr/>
        <a:lstStyle/>
        <a:p>
          <a:pPr>
            <a:defRPr sz="700">
              <a:latin typeface="Arial" pitchFamily="34" charset="0"/>
              <a:cs typeface="Arial" pitchFamily="34" charset="0"/>
            </a:defRPr>
          </a:pPr>
          <a:endParaRPr lang="en-US"/>
        </a:p>
      </c:txPr>
    </c:legend>
    <c:plotVisOnly val="1"/>
    <c:dispBlanksAs val="zero"/>
    <c:showDLblsOverMax val="0"/>
  </c:chart>
  <c:spPr>
    <a:noFill/>
    <a:ln>
      <a:noFill/>
    </a:ln>
  </c:spPr>
  <c:printSettings>
    <c:headerFooter/>
    <c:pageMargins b="0.75000000000000333" l="0.70000000000000062" r="0.70000000000000062" t="0.75000000000000333"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Sheet2!$E$42</c:f>
              <c:strCache>
                <c:ptCount val="1"/>
                <c:pt idx="0">
                  <c:v>2025-26</c:v>
                </c:pt>
              </c:strCache>
            </c:strRef>
          </c:tx>
          <c:marker>
            <c:symbol val="none"/>
          </c:marker>
          <c:cat>
            <c:strRef>
              <c:f>Sheet2!$D$43:$D$54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Sheet2!$E$43:$E$54</c:f>
              <c:numCache>
                <c:formatCode>General</c:formatCode>
                <c:ptCount val="12"/>
                <c:pt idx="0">
                  <c:v>189669</c:v>
                </c:pt>
                <c:pt idx="1">
                  <c:v>350862</c:v>
                </c:pt>
                <c:pt idx="2">
                  <c:v>540316</c:v>
                </c:pt>
                <c:pt idx="3">
                  <c:v>661812</c:v>
                </c:pt>
                <c:pt idx="4">
                  <c:v>810407</c:v>
                </c:pt>
                <c:pt idx="5">
                  <c:v>1229370</c:v>
                </c:pt>
                <c:pt idx="6">
                  <c:v>1274301</c:v>
                </c:pt>
                <c:pt idx="7">
                  <c:v>1393946</c:v>
                </c:pt>
                <c:pt idx="8">
                  <c:v>1939254</c:v>
                </c:pt>
                <c:pt idx="9">
                  <c:v>#N/A</c:v>
                </c:pt>
                <c:pt idx="10">
                  <c:v>#N/A</c:v>
                </c:pt>
                <c:pt idx="11">
                  <c:v>#N/A</c:v>
                </c:pt>
              </c:numCache>
            </c:numRef>
          </c:val>
          <c:smooth val="0"/>
          <c:extLst>
            <c:ext xmlns:c16="http://schemas.microsoft.com/office/drawing/2014/chart" uri="{C3380CC4-5D6E-409C-BE32-E72D297353CC}">
              <c16:uniqueId val="{00000000-FD33-4629-85CF-F6E0897AC6AC}"/>
            </c:ext>
          </c:extLst>
        </c:ser>
        <c:ser>
          <c:idx val="1"/>
          <c:order val="1"/>
          <c:tx>
            <c:strRef>
              <c:f>Sheet2!$F$42</c:f>
              <c:strCache>
                <c:ptCount val="1"/>
                <c:pt idx="0">
                  <c:v>2024-25</c:v>
                </c:pt>
              </c:strCache>
            </c:strRef>
          </c:tx>
          <c:spPr>
            <a:ln>
              <a:solidFill>
                <a:schemeClr val="accent6">
                  <a:lumMod val="75000"/>
                </a:schemeClr>
              </a:solidFill>
            </a:ln>
          </c:spPr>
          <c:marker>
            <c:symbol val="none"/>
          </c:marker>
          <c:cat>
            <c:strRef>
              <c:f>Sheet2!$D$43:$D$54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Sheet2!$F$43:$F$54</c:f>
              <c:numCache>
                <c:formatCode>General</c:formatCode>
                <c:ptCount val="12"/>
                <c:pt idx="0">
                  <c:v>184998</c:v>
                </c:pt>
                <c:pt idx="1">
                  <c:v>319036</c:v>
                </c:pt>
                <c:pt idx="2">
                  <c:v>549633</c:v>
                </c:pt>
                <c:pt idx="3">
                  <c:v>715224</c:v>
                </c:pt>
                <c:pt idx="4">
                  <c:v>873845</c:v>
                </c:pt>
                <c:pt idx="5">
                  <c:v>1265159</c:v>
                </c:pt>
                <c:pt idx="6">
                  <c:v>1304973</c:v>
                </c:pt>
                <c:pt idx="7">
                  <c:v>1443435</c:v>
                </c:pt>
                <c:pt idx="8">
                  <c:v>1843053</c:v>
                </c:pt>
                <c:pt idx="9">
                  <c:v>1903558</c:v>
                </c:pt>
                <c:pt idx="10">
                  <c:v>2015634</c:v>
                </c:pt>
                <c:pt idx="11">
                  <c:v>2498885</c:v>
                </c:pt>
              </c:numCache>
            </c:numRef>
          </c:val>
          <c:smooth val="0"/>
          <c:extLst>
            <c:ext xmlns:c16="http://schemas.microsoft.com/office/drawing/2014/chart" uri="{C3380CC4-5D6E-409C-BE32-E72D297353CC}">
              <c16:uniqueId val="{00000001-FD33-4629-85CF-F6E0897AC6AC}"/>
            </c:ext>
          </c:extLst>
        </c:ser>
        <c:dLbls>
          <c:showLegendKey val="0"/>
          <c:showVal val="0"/>
          <c:showCatName val="0"/>
          <c:showSerName val="0"/>
          <c:showPercent val="0"/>
          <c:showBubbleSize val="0"/>
        </c:dLbls>
        <c:smooth val="0"/>
        <c:axId val="165336192"/>
        <c:axId val="165337728"/>
      </c:lineChart>
      <c:catAx>
        <c:axId val="165336192"/>
        <c:scaling>
          <c:orientation val="minMax"/>
        </c:scaling>
        <c:delete val="0"/>
        <c:axPos val="b"/>
        <c:numFmt formatCode="General" sourceLinked="0"/>
        <c:majorTickMark val="out"/>
        <c:minorTickMark val="none"/>
        <c:tickLblPos val="nextTo"/>
        <c:txPr>
          <a:bodyPr rot="-5400000" vert="horz"/>
          <a:lstStyle/>
          <a:p>
            <a:pPr>
              <a:defRPr sz="700"/>
            </a:pPr>
            <a:endParaRPr lang="en-US"/>
          </a:p>
        </c:txPr>
        <c:crossAx val="165337728"/>
        <c:crosses val="autoZero"/>
        <c:auto val="1"/>
        <c:lblAlgn val="ctr"/>
        <c:lblOffset val="100"/>
        <c:noMultiLvlLbl val="0"/>
      </c:catAx>
      <c:valAx>
        <c:axId val="165337728"/>
        <c:scaling>
          <c:orientation val="minMax"/>
        </c:scaling>
        <c:delete val="0"/>
        <c:axPos val="l"/>
        <c:majorGridlines/>
        <c:numFmt formatCode="General" sourceLinked="1"/>
        <c:majorTickMark val="out"/>
        <c:minorTickMark val="none"/>
        <c:tickLblPos val="nextTo"/>
        <c:crossAx val="165336192"/>
        <c:crosses val="autoZero"/>
        <c:crossBetween val="between"/>
        <c:dispUnits>
          <c:builtInUnit val="hundredThousands"/>
        </c:dispUnits>
      </c:valAx>
      <c:spPr>
        <a:noFill/>
      </c:spPr>
    </c:plotArea>
    <c:legend>
      <c:legendPos val="b"/>
      <c:layout>
        <c:manualLayout>
          <c:xMode val="edge"/>
          <c:yMode val="edge"/>
          <c:x val="0.17908686192986939"/>
          <c:y val="0.10310655612492883"/>
          <c:w val="0.31543492268650031"/>
          <c:h val="0.23873474186868474"/>
        </c:manualLayout>
      </c:layout>
      <c:overlay val="1"/>
      <c:txPr>
        <a:bodyPr/>
        <a:lstStyle/>
        <a:p>
          <a:pPr>
            <a:defRPr sz="800"/>
          </a:pPr>
          <a:endParaRPr lang="en-US"/>
        </a:p>
      </c:txPr>
    </c:legend>
    <c:plotVisOnly val="1"/>
    <c:dispBlanksAs val="gap"/>
    <c:showDLblsOverMax val="0"/>
  </c:chart>
  <c:spPr>
    <a:noFill/>
    <a:ln>
      <a:noFill/>
    </a:ln>
  </c:spPr>
  <c:printSettings>
    <c:headerFooter/>
    <c:pageMargins b="0.75000000000000266" l="0.70000000000000062" r="0.70000000000000062" t="0.75000000000000266"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Sheet2!$E$42</c:f>
              <c:strCache>
                <c:ptCount val="1"/>
                <c:pt idx="0">
                  <c:v>2025-26</c:v>
                </c:pt>
              </c:strCache>
            </c:strRef>
          </c:tx>
          <c:spPr>
            <a:ln>
              <a:solidFill>
                <a:schemeClr val="accent1"/>
              </a:solidFill>
            </a:ln>
          </c:spPr>
          <c:marker>
            <c:symbol val="none"/>
          </c:marker>
          <c:cat>
            <c:strRef>
              <c:f>Sheet2!$D$59:$D$70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Sheet2!$E$59:$E$70</c:f>
              <c:numCache>
                <c:formatCode>General</c:formatCode>
                <c:ptCount val="12"/>
                <c:pt idx="0">
                  <c:v>67160</c:v>
                </c:pt>
                <c:pt idx="1">
                  <c:v>356877</c:v>
                </c:pt>
                <c:pt idx="2">
                  <c:v>373061</c:v>
                </c:pt>
                <c:pt idx="3">
                  <c:v>403608</c:v>
                </c:pt>
                <c:pt idx="4">
                  <c:v>440332</c:v>
                </c:pt>
                <c:pt idx="5">
                  <c:v>466076</c:v>
                </c:pt>
                <c:pt idx="6">
                  <c:v>489079</c:v>
                </c:pt>
                <c:pt idx="7">
                  <c:v>516366</c:v>
                </c:pt>
                <c:pt idx="8">
                  <c:v>539855</c:v>
                </c:pt>
                <c:pt idx="9">
                  <c:v>#N/A</c:v>
                </c:pt>
                <c:pt idx="10">
                  <c:v>#N/A</c:v>
                </c:pt>
                <c:pt idx="11">
                  <c:v>#N/A</c:v>
                </c:pt>
              </c:numCache>
            </c:numRef>
          </c:val>
          <c:smooth val="0"/>
          <c:extLst>
            <c:ext xmlns:c16="http://schemas.microsoft.com/office/drawing/2014/chart" uri="{C3380CC4-5D6E-409C-BE32-E72D297353CC}">
              <c16:uniqueId val="{00000000-A70E-4F5E-89E1-237FB508DAFB}"/>
            </c:ext>
          </c:extLst>
        </c:ser>
        <c:ser>
          <c:idx val="1"/>
          <c:order val="1"/>
          <c:tx>
            <c:strRef>
              <c:f>Sheet2!$F$42</c:f>
              <c:strCache>
                <c:ptCount val="1"/>
                <c:pt idx="0">
                  <c:v>2024-25</c:v>
                </c:pt>
              </c:strCache>
            </c:strRef>
          </c:tx>
          <c:spPr>
            <a:ln>
              <a:solidFill>
                <a:schemeClr val="accent6">
                  <a:lumMod val="75000"/>
                </a:schemeClr>
              </a:solidFill>
            </a:ln>
          </c:spPr>
          <c:marker>
            <c:symbol val="none"/>
          </c:marker>
          <c:cat>
            <c:strRef>
              <c:f>Sheet2!$D$59:$D$70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Sheet2!$F$59:$F$70</c:f>
              <c:numCache>
                <c:formatCode>General</c:formatCode>
                <c:ptCount val="12"/>
                <c:pt idx="0">
                  <c:v>27295</c:v>
                </c:pt>
                <c:pt idx="1">
                  <c:v>251722</c:v>
                </c:pt>
                <c:pt idx="2">
                  <c:v>280044</c:v>
                </c:pt>
                <c:pt idx="3">
                  <c:v>301796</c:v>
                </c:pt>
                <c:pt idx="4">
                  <c:v>334467</c:v>
                </c:pt>
                <c:pt idx="5">
                  <c:v>357214</c:v>
                </c:pt>
                <c:pt idx="6">
                  <c:v>399294</c:v>
                </c:pt>
                <c:pt idx="7">
                  <c:v>427020</c:v>
                </c:pt>
                <c:pt idx="8">
                  <c:v>447657</c:v>
                </c:pt>
                <c:pt idx="9">
                  <c:v>467630</c:v>
                </c:pt>
                <c:pt idx="10">
                  <c:v>493319</c:v>
                </c:pt>
                <c:pt idx="11">
                  <c:v>537544</c:v>
                </c:pt>
              </c:numCache>
            </c:numRef>
          </c:val>
          <c:smooth val="0"/>
          <c:extLst>
            <c:ext xmlns:c16="http://schemas.microsoft.com/office/drawing/2014/chart" uri="{C3380CC4-5D6E-409C-BE32-E72D297353CC}">
              <c16:uniqueId val="{00000001-A70E-4F5E-89E1-237FB508DAFB}"/>
            </c:ext>
          </c:extLst>
        </c:ser>
        <c:dLbls>
          <c:showLegendKey val="0"/>
          <c:showVal val="0"/>
          <c:showCatName val="0"/>
          <c:showSerName val="0"/>
          <c:showPercent val="0"/>
          <c:showBubbleSize val="0"/>
        </c:dLbls>
        <c:smooth val="0"/>
        <c:axId val="165395456"/>
        <c:axId val="165397248"/>
      </c:lineChart>
      <c:catAx>
        <c:axId val="165395456"/>
        <c:scaling>
          <c:orientation val="minMax"/>
        </c:scaling>
        <c:delete val="0"/>
        <c:axPos val="b"/>
        <c:numFmt formatCode="General" sourceLinked="0"/>
        <c:majorTickMark val="out"/>
        <c:minorTickMark val="none"/>
        <c:tickLblPos val="nextTo"/>
        <c:txPr>
          <a:bodyPr rot="-5400000" vert="horz"/>
          <a:lstStyle/>
          <a:p>
            <a:pPr>
              <a:defRPr sz="700"/>
            </a:pPr>
            <a:endParaRPr lang="en-US"/>
          </a:p>
        </c:txPr>
        <c:crossAx val="165397248"/>
        <c:crosses val="autoZero"/>
        <c:auto val="1"/>
        <c:lblAlgn val="ctr"/>
        <c:lblOffset val="100"/>
        <c:noMultiLvlLbl val="0"/>
      </c:catAx>
      <c:valAx>
        <c:axId val="165397248"/>
        <c:scaling>
          <c:orientation val="minMax"/>
        </c:scaling>
        <c:delete val="0"/>
        <c:axPos val="l"/>
        <c:majorGridlines/>
        <c:numFmt formatCode="0" sourceLinked="0"/>
        <c:majorTickMark val="out"/>
        <c:minorTickMark val="none"/>
        <c:tickLblPos val="nextTo"/>
        <c:crossAx val="165395456"/>
        <c:crosses val="autoZero"/>
        <c:crossBetween val="between"/>
        <c:dispUnits>
          <c:builtInUnit val="hundredThousands"/>
        </c:dispUnits>
      </c:valAx>
      <c:spPr>
        <a:noFill/>
      </c:spPr>
    </c:plotArea>
    <c:legend>
      <c:legendPos val="b"/>
      <c:layout>
        <c:manualLayout>
          <c:xMode val="edge"/>
          <c:yMode val="edge"/>
          <c:x val="0.15263175436403786"/>
          <c:y val="0.10310629274788989"/>
          <c:w val="0.31592634254051588"/>
          <c:h val="0.20548789159975694"/>
        </c:manualLayout>
      </c:layout>
      <c:overlay val="1"/>
      <c:txPr>
        <a:bodyPr/>
        <a:lstStyle/>
        <a:p>
          <a:pPr>
            <a:defRPr sz="800"/>
          </a:pPr>
          <a:endParaRPr lang="en-US"/>
        </a:p>
      </c:txPr>
    </c:legend>
    <c:plotVisOnly val="1"/>
    <c:dispBlanksAs val="gap"/>
    <c:showDLblsOverMax val="0"/>
  </c:chart>
  <c:spPr>
    <a:noFill/>
    <a:ln>
      <a:noFill/>
    </a:ln>
  </c:spPr>
  <c:printSettings>
    <c:headerFooter/>
    <c:pageMargins b="0.75000000000000244" l="0.70000000000000062" r="0.70000000000000062" t="0.75000000000000244"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Sheet2!$F$104</c:f>
              <c:strCache>
                <c:ptCount val="1"/>
                <c:pt idx="0">
                  <c:v>Dec-25</c:v>
                </c:pt>
              </c:strCache>
            </c:strRef>
          </c:tx>
          <c:spPr>
            <a:solidFill>
              <a:schemeClr val="accent1"/>
            </a:solidFill>
            <a:ln>
              <a:noFill/>
            </a:ln>
            <a:effectLst/>
          </c:spPr>
          <c:invertIfNegative val="0"/>
          <c:cat>
            <c:strRef>
              <c:f>Sheet2!$D$105:$D$110</c:f>
              <c:strCache>
                <c:ptCount val="6"/>
                <c:pt idx="0">
                  <c:v>Interest Payments</c:v>
                </c:pt>
                <c:pt idx="1">
                  <c:v>Defence  Services</c:v>
                </c:pt>
                <c:pt idx="2">
                  <c:v>Grants in Aid  to States &amp; UTs</c:v>
                </c:pt>
                <c:pt idx="3">
                  <c:v>Pensions</c:v>
                </c:pt>
                <c:pt idx="4">
                  <c:v>Major Subsidies</c:v>
                </c:pt>
                <c:pt idx="5">
                  <c:v>Other Revenue Expenditure</c:v>
                </c:pt>
              </c:strCache>
            </c:strRef>
          </c:cat>
          <c:val>
            <c:numRef>
              <c:f>Sheet2!$F$105:$F$110</c:f>
              <c:numCache>
                <c:formatCode>General</c:formatCode>
                <c:ptCount val="6"/>
                <c:pt idx="0">
                  <c:v>911059</c:v>
                </c:pt>
                <c:pt idx="1">
                  <c:v>233023</c:v>
                </c:pt>
                <c:pt idx="2">
                  <c:v>247273</c:v>
                </c:pt>
                <c:pt idx="3">
                  <c:v>226030</c:v>
                </c:pt>
                <c:pt idx="4">
                  <c:v>317490</c:v>
                </c:pt>
                <c:pt idx="5">
                  <c:v>658188</c:v>
                </c:pt>
              </c:numCache>
            </c:numRef>
          </c:val>
          <c:extLst>
            <c:ext xmlns:c16="http://schemas.microsoft.com/office/drawing/2014/chart" uri="{C3380CC4-5D6E-409C-BE32-E72D297353CC}">
              <c16:uniqueId val="{00000000-0E42-4C9E-A75F-F06A9E19AB9A}"/>
            </c:ext>
          </c:extLst>
        </c:ser>
        <c:ser>
          <c:idx val="3"/>
          <c:order val="3"/>
          <c:tx>
            <c:strRef>
              <c:f>Sheet2!$H$104</c:f>
              <c:strCache>
                <c:ptCount val="1"/>
                <c:pt idx="0">
                  <c:v>Dec-24</c:v>
                </c:pt>
              </c:strCache>
            </c:strRef>
          </c:tx>
          <c:spPr>
            <a:solidFill>
              <a:schemeClr val="accent6">
                <a:lumMod val="75000"/>
              </a:schemeClr>
            </a:solidFill>
            <a:ln>
              <a:noFill/>
            </a:ln>
            <a:effectLst/>
          </c:spPr>
          <c:invertIfNegative val="0"/>
          <c:cat>
            <c:strRef>
              <c:f>Sheet2!$D$105:$D$110</c:f>
              <c:strCache>
                <c:ptCount val="6"/>
                <c:pt idx="0">
                  <c:v>Interest Payments</c:v>
                </c:pt>
                <c:pt idx="1">
                  <c:v>Defence  Services</c:v>
                </c:pt>
                <c:pt idx="2">
                  <c:v>Grants in Aid  to States &amp; UTs</c:v>
                </c:pt>
                <c:pt idx="3">
                  <c:v>Pensions</c:v>
                </c:pt>
                <c:pt idx="4">
                  <c:v>Major Subsidies</c:v>
                </c:pt>
                <c:pt idx="5">
                  <c:v>Other Revenue Expenditure</c:v>
                </c:pt>
              </c:strCache>
            </c:strRef>
          </c:cat>
          <c:val>
            <c:numRef>
              <c:f>Sheet2!$H$105:$H$110</c:f>
              <c:numCache>
                <c:formatCode>General</c:formatCode>
                <c:ptCount val="6"/>
                <c:pt idx="0">
                  <c:v>808313</c:v>
                </c:pt>
                <c:pt idx="1">
                  <c:v>215520</c:v>
                </c:pt>
                <c:pt idx="2">
                  <c:v>348245</c:v>
                </c:pt>
                <c:pt idx="3">
                  <c:v>215263</c:v>
                </c:pt>
                <c:pt idx="4">
                  <c:v>306994</c:v>
                </c:pt>
                <c:pt idx="5">
                  <c:v>652422</c:v>
                </c:pt>
              </c:numCache>
            </c:numRef>
          </c:val>
          <c:extLst>
            <c:ext xmlns:c16="http://schemas.microsoft.com/office/drawing/2014/chart" uri="{C3380CC4-5D6E-409C-BE32-E72D297353CC}">
              <c16:uniqueId val="{00000001-0E42-4C9E-A75F-F06A9E19AB9A}"/>
            </c:ext>
          </c:extLst>
        </c:ser>
        <c:dLbls>
          <c:showLegendKey val="0"/>
          <c:showVal val="0"/>
          <c:showCatName val="0"/>
          <c:showSerName val="0"/>
          <c:showPercent val="0"/>
          <c:showBubbleSize val="0"/>
        </c:dLbls>
        <c:gapWidth val="219"/>
        <c:overlap val="-27"/>
        <c:axId val="165694464"/>
        <c:axId val="165712640"/>
      </c:barChart>
      <c:barChart>
        <c:barDir val="col"/>
        <c:grouping val="clustered"/>
        <c:varyColors val="0"/>
        <c:ser>
          <c:idx val="0"/>
          <c:order val="0"/>
          <c:tx>
            <c:strRef>
              <c:f>Sheet2!$E$104</c:f>
              <c:strCache>
                <c:ptCount val="1"/>
                <c:pt idx="0">
                  <c:v>BE</c:v>
                </c:pt>
              </c:strCache>
            </c:strRef>
          </c:tx>
          <c:spPr>
            <a:noFill/>
            <a:ln w="12700">
              <a:solidFill>
                <a:schemeClr val="tx1"/>
              </a:solidFill>
              <a:prstDash val="dash"/>
            </a:ln>
            <a:effectLst/>
          </c:spPr>
          <c:invertIfNegative val="0"/>
          <c:cat>
            <c:strRef>
              <c:f>Sheet2!$D$105:$D$110</c:f>
              <c:strCache>
                <c:ptCount val="6"/>
                <c:pt idx="0">
                  <c:v>Interest Payments</c:v>
                </c:pt>
                <c:pt idx="1">
                  <c:v>Defence  Services</c:v>
                </c:pt>
                <c:pt idx="2">
                  <c:v>Grants in Aid  to States &amp; UTs</c:v>
                </c:pt>
                <c:pt idx="3">
                  <c:v>Pensions</c:v>
                </c:pt>
                <c:pt idx="4">
                  <c:v>Major Subsidies</c:v>
                </c:pt>
                <c:pt idx="5">
                  <c:v>Other Revenue Expenditure</c:v>
                </c:pt>
              </c:strCache>
            </c:strRef>
          </c:cat>
          <c:val>
            <c:numRef>
              <c:f>Sheet2!$E$105:$E$110</c:f>
              <c:numCache>
                <c:formatCode>General</c:formatCode>
                <c:ptCount val="6"/>
                <c:pt idx="0">
                  <c:v>1276338</c:v>
                </c:pt>
                <c:pt idx="1">
                  <c:v>311732</c:v>
                </c:pt>
                <c:pt idx="2">
                  <c:v>720056</c:v>
                </c:pt>
                <c:pt idx="3">
                  <c:v>276618</c:v>
                </c:pt>
                <c:pt idx="4">
                  <c:v>383407</c:v>
                </c:pt>
                <c:pt idx="5">
                  <c:v>976104</c:v>
                </c:pt>
              </c:numCache>
            </c:numRef>
          </c:val>
          <c:extLst>
            <c:ext xmlns:c16="http://schemas.microsoft.com/office/drawing/2014/chart" uri="{C3380CC4-5D6E-409C-BE32-E72D297353CC}">
              <c16:uniqueId val="{00000002-0E42-4C9E-A75F-F06A9E19AB9A}"/>
            </c:ext>
          </c:extLst>
        </c:ser>
        <c:ser>
          <c:idx val="2"/>
          <c:order val="2"/>
          <c:tx>
            <c:strRef>
              <c:f>Sheet2!$G$104</c:f>
              <c:strCache>
                <c:ptCount val="1"/>
                <c:pt idx="0">
                  <c:v>BE</c:v>
                </c:pt>
              </c:strCache>
            </c:strRef>
          </c:tx>
          <c:spPr>
            <a:noFill/>
            <a:ln w="12700">
              <a:solidFill>
                <a:schemeClr val="tx1"/>
              </a:solidFill>
              <a:prstDash val="dash"/>
            </a:ln>
            <a:effectLst/>
          </c:spPr>
          <c:invertIfNegative val="0"/>
          <c:cat>
            <c:strRef>
              <c:f>Sheet2!$D$105:$D$110</c:f>
              <c:strCache>
                <c:ptCount val="6"/>
                <c:pt idx="0">
                  <c:v>Interest Payments</c:v>
                </c:pt>
                <c:pt idx="1">
                  <c:v>Defence  Services</c:v>
                </c:pt>
                <c:pt idx="2">
                  <c:v>Grants in Aid  to States &amp; UTs</c:v>
                </c:pt>
                <c:pt idx="3">
                  <c:v>Pensions</c:v>
                </c:pt>
                <c:pt idx="4">
                  <c:v>Major Subsidies</c:v>
                </c:pt>
                <c:pt idx="5">
                  <c:v>Other Revenue Expenditure</c:v>
                </c:pt>
              </c:strCache>
            </c:strRef>
          </c:cat>
          <c:val>
            <c:numRef>
              <c:f>Sheet2!$G$105:$G$110</c:f>
              <c:numCache>
                <c:formatCode>General</c:formatCode>
                <c:ptCount val="6"/>
                <c:pt idx="0">
                  <c:v>1162940</c:v>
                </c:pt>
                <c:pt idx="1">
                  <c:v>282773</c:v>
                </c:pt>
                <c:pt idx="2">
                  <c:v>641460</c:v>
                </c:pt>
                <c:pt idx="3">
                  <c:v>243296</c:v>
                </c:pt>
                <c:pt idx="4">
                  <c:v>381175</c:v>
                </c:pt>
                <c:pt idx="5">
                  <c:v>997757</c:v>
                </c:pt>
              </c:numCache>
            </c:numRef>
          </c:val>
          <c:extLst>
            <c:ext xmlns:c16="http://schemas.microsoft.com/office/drawing/2014/chart" uri="{C3380CC4-5D6E-409C-BE32-E72D297353CC}">
              <c16:uniqueId val="{00000003-0E42-4C9E-A75F-F06A9E19AB9A}"/>
            </c:ext>
          </c:extLst>
        </c:ser>
        <c:dLbls>
          <c:showLegendKey val="0"/>
          <c:showVal val="0"/>
          <c:showCatName val="0"/>
          <c:showSerName val="0"/>
          <c:showPercent val="0"/>
          <c:showBubbleSize val="0"/>
        </c:dLbls>
        <c:gapWidth val="219"/>
        <c:overlap val="-27"/>
        <c:axId val="165724160"/>
        <c:axId val="165714176"/>
      </c:barChart>
      <c:catAx>
        <c:axId val="165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65712640"/>
        <c:crosses val="autoZero"/>
        <c:auto val="1"/>
        <c:lblAlgn val="ctr"/>
        <c:lblOffset val="100"/>
        <c:noMultiLvlLbl val="0"/>
      </c:catAx>
      <c:valAx>
        <c:axId val="165712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5694464"/>
        <c:crosses val="autoZero"/>
        <c:crossBetween val="between"/>
        <c:dispUnits>
          <c:builtInUnit val="hundredThousands"/>
        </c:dispUnits>
      </c:valAx>
      <c:valAx>
        <c:axId val="165714176"/>
        <c:scaling>
          <c:orientation val="minMax"/>
          <c:max val="800000"/>
        </c:scaling>
        <c:delete val="1"/>
        <c:axPos val="r"/>
        <c:numFmt formatCode="General" sourceLinked="1"/>
        <c:majorTickMark val="out"/>
        <c:minorTickMark val="none"/>
        <c:tickLblPos val="nextTo"/>
        <c:crossAx val="165724160"/>
        <c:crosses val="max"/>
        <c:crossBetween val="between"/>
      </c:valAx>
      <c:catAx>
        <c:axId val="165724160"/>
        <c:scaling>
          <c:orientation val="minMax"/>
        </c:scaling>
        <c:delete val="1"/>
        <c:axPos val="b"/>
        <c:numFmt formatCode="General" sourceLinked="1"/>
        <c:majorTickMark val="out"/>
        <c:minorTickMark val="none"/>
        <c:tickLblPos val="nextTo"/>
        <c:crossAx val="165714176"/>
        <c:crosses val="autoZero"/>
        <c:auto val="1"/>
        <c:lblAlgn val="ctr"/>
        <c:lblOffset val="100"/>
        <c:noMultiLvlLbl val="0"/>
      </c:catAx>
      <c:spPr>
        <a:noFill/>
        <a:ln>
          <a:noFill/>
        </a:ln>
        <a:effectLst/>
      </c:spPr>
    </c:plotArea>
    <c:legend>
      <c:legendPos val="b"/>
      <c:legendEntry>
        <c:idx val="3"/>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211" l="0.70000000000000062" r="0.70000000000000062" t="0.750000000000002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Sheet2!$E$42</c:f>
              <c:strCache>
                <c:ptCount val="1"/>
                <c:pt idx="0">
                  <c:v>2025-26</c:v>
                </c:pt>
              </c:strCache>
            </c:strRef>
          </c:tx>
          <c:marker>
            <c:symbol val="none"/>
          </c:marker>
          <c:cat>
            <c:strRef>
              <c:f>Sheet2!$D$89:$D$100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Sheet2!$E$89:$E$100</c:f>
              <c:numCache>
                <c:formatCode>General</c:formatCode>
                <c:ptCount val="12"/>
                <c:pt idx="0">
                  <c:v>305830</c:v>
                </c:pt>
                <c:pt idx="1">
                  <c:v>524772</c:v>
                </c:pt>
                <c:pt idx="2">
                  <c:v>946995</c:v>
                </c:pt>
                <c:pt idx="3">
                  <c:v>1216699</c:v>
                </c:pt>
                <c:pt idx="4">
                  <c:v>1449283</c:v>
                </c:pt>
                <c:pt idx="5">
                  <c:v>1722593</c:v>
                </c:pt>
                <c:pt idx="6">
                  <c:v>2007876</c:v>
                </c:pt>
                <c:pt idx="7">
                  <c:v>2267700</c:v>
                </c:pt>
                <c:pt idx="8">
                  <c:v>2593063</c:v>
                </c:pt>
                <c:pt idx="9">
                  <c:v>#N/A</c:v>
                </c:pt>
                <c:pt idx="10">
                  <c:v>#N/A</c:v>
                </c:pt>
                <c:pt idx="11">
                  <c:v>#N/A</c:v>
                </c:pt>
              </c:numCache>
            </c:numRef>
          </c:val>
          <c:smooth val="0"/>
          <c:extLst>
            <c:ext xmlns:c16="http://schemas.microsoft.com/office/drawing/2014/chart" uri="{C3380CC4-5D6E-409C-BE32-E72D297353CC}">
              <c16:uniqueId val="{00000000-F512-4CD8-808F-F58B7DFC34B4}"/>
            </c:ext>
          </c:extLst>
        </c:ser>
        <c:ser>
          <c:idx val="1"/>
          <c:order val="1"/>
          <c:tx>
            <c:strRef>
              <c:f>Sheet2!$F$42</c:f>
              <c:strCache>
                <c:ptCount val="1"/>
                <c:pt idx="0">
                  <c:v>2024-25</c:v>
                </c:pt>
              </c:strCache>
            </c:strRef>
          </c:tx>
          <c:spPr>
            <a:ln>
              <a:solidFill>
                <a:schemeClr val="accent6">
                  <a:lumMod val="75000"/>
                </a:schemeClr>
              </a:solidFill>
            </a:ln>
          </c:spPr>
          <c:marker>
            <c:symbol val="none"/>
          </c:marker>
          <c:cat>
            <c:strRef>
              <c:f>Sheet2!$D$89:$D$100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Sheet2!$F$89:$F$100</c:f>
              <c:numCache>
                <c:formatCode>General</c:formatCode>
                <c:ptCount val="12"/>
                <c:pt idx="0">
                  <c:v>324235</c:v>
                </c:pt>
                <c:pt idx="1">
                  <c:v>479835</c:v>
                </c:pt>
                <c:pt idx="2">
                  <c:v>788858</c:v>
                </c:pt>
                <c:pt idx="3">
                  <c:v>1039091</c:v>
                </c:pt>
                <c:pt idx="4">
                  <c:v>1351367</c:v>
                </c:pt>
                <c:pt idx="5">
                  <c:v>1696528</c:v>
                </c:pt>
                <c:pt idx="6">
                  <c:v>2007353</c:v>
                </c:pt>
                <c:pt idx="7">
                  <c:v>2227502</c:v>
                </c:pt>
                <c:pt idx="8">
                  <c:v>2546757</c:v>
                </c:pt>
                <c:pt idx="9">
                  <c:v>2812595</c:v>
                </c:pt>
                <c:pt idx="10">
                  <c:v>3081282</c:v>
                </c:pt>
                <c:pt idx="11">
                  <c:v>3603510</c:v>
                </c:pt>
              </c:numCache>
            </c:numRef>
          </c:val>
          <c:smooth val="0"/>
          <c:extLst>
            <c:ext xmlns:c16="http://schemas.microsoft.com/office/drawing/2014/chart" uri="{C3380CC4-5D6E-409C-BE32-E72D297353CC}">
              <c16:uniqueId val="{00000001-F512-4CD8-808F-F58B7DFC34B4}"/>
            </c:ext>
          </c:extLst>
        </c:ser>
        <c:dLbls>
          <c:showLegendKey val="0"/>
          <c:showVal val="0"/>
          <c:showCatName val="0"/>
          <c:showSerName val="0"/>
          <c:showPercent val="0"/>
          <c:showBubbleSize val="0"/>
        </c:dLbls>
        <c:smooth val="0"/>
        <c:axId val="165470592"/>
        <c:axId val="165472128"/>
      </c:lineChart>
      <c:catAx>
        <c:axId val="165470592"/>
        <c:scaling>
          <c:orientation val="minMax"/>
        </c:scaling>
        <c:delete val="0"/>
        <c:axPos val="b"/>
        <c:numFmt formatCode="General" sourceLinked="0"/>
        <c:majorTickMark val="out"/>
        <c:minorTickMark val="none"/>
        <c:tickLblPos val="low"/>
        <c:txPr>
          <a:bodyPr rot="-5400000" vert="horz"/>
          <a:lstStyle/>
          <a:p>
            <a:pPr>
              <a:defRPr sz="700"/>
            </a:pPr>
            <a:endParaRPr lang="en-US"/>
          </a:p>
        </c:txPr>
        <c:crossAx val="165472128"/>
        <c:crosses val="autoZero"/>
        <c:auto val="1"/>
        <c:lblAlgn val="ctr"/>
        <c:lblOffset val="100"/>
        <c:noMultiLvlLbl val="0"/>
      </c:catAx>
      <c:valAx>
        <c:axId val="165472128"/>
        <c:scaling>
          <c:orientation val="minMax"/>
        </c:scaling>
        <c:delete val="0"/>
        <c:axPos val="l"/>
        <c:majorGridlines/>
        <c:numFmt formatCode="0" sourceLinked="0"/>
        <c:majorTickMark val="out"/>
        <c:minorTickMark val="none"/>
        <c:tickLblPos val="nextTo"/>
        <c:txPr>
          <a:bodyPr/>
          <a:lstStyle/>
          <a:p>
            <a:pPr>
              <a:defRPr sz="900"/>
            </a:pPr>
            <a:endParaRPr lang="en-US"/>
          </a:p>
        </c:txPr>
        <c:crossAx val="165470592"/>
        <c:crosses val="autoZero"/>
        <c:crossBetween val="between"/>
        <c:dispUnits>
          <c:builtInUnit val="hundredThousands"/>
        </c:dispUnits>
      </c:valAx>
      <c:spPr>
        <a:noFill/>
      </c:spPr>
    </c:plotArea>
    <c:legend>
      <c:legendPos val="b"/>
      <c:layout>
        <c:manualLayout>
          <c:xMode val="edge"/>
          <c:yMode val="edge"/>
          <c:x val="0.17908686192986939"/>
          <c:y val="0.10310655612492883"/>
          <c:w val="0.39396887889014048"/>
          <c:h val="0.22907556966162285"/>
        </c:manualLayout>
      </c:layout>
      <c:overlay val="1"/>
      <c:txPr>
        <a:bodyPr/>
        <a:lstStyle/>
        <a:p>
          <a:pPr>
            <a:defRPr sz="800"/>
          </a:pPr>
          <a:endParaRPr lang="en-US"/>
        </a:p>
      </c:txPr>
    </c:legend>
    <c:plotVisOnly val="1"/>
    <c:dispBlanksAs val="gap"/>
    <c:showDLblsOverMax val="0"/>
  </c:chart>
  <c:spPr>
    <a:noFill/>
    <a:ln>
      <a:noFill/>
    </a:ln>
  </c:spPr>
  <c:printSettings>
    <c:headerFooter/>
    <c:pageMargins b="0.75000000000000244" l="0.70000000000000062" r="0.70000000000000062" t="0.7500000000000024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Sheet2!$E$42</c:f>
              <c:strCache>
                <c:ptCount val="1"/>
                <c:pt idx="0">
                  <c:v>2025-26</c:v>
                </c:pt>
              </c:strCache>
            </c:strRef>
          </c:tx>
          <c:marker>
            <c:symbol val="none"/>
          </c:marker>
          <c:cat>
            <c:strRef>
              <c:f>Sheet2!$D$123:$D$134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Sheet2!$E$123:$E$134</c:f>
              <c:numCache>
                <c:formatCode>General</c:formatCode>
                <c:ptCount val="12"/>
                <c:pt idx="0">
                  <c:v>159790</c:v>
                </c:pt>
                <c:pt idx="1">
                  <c:v>221354</c:v>
                </c:pt>
                <c:pt idx="2">
                  <c:v>275132</c:v>
                </c:pt>
                <c:pt idx="3">
                  <c:v>346926</c:v>
                </c:pt>
                <c:pt idx="4">
                  <c:v>431579</c:v>
                </c:pt>
                <c:pt idx="5">
                  <c:v>580746</c:v>
                </c:pt>
                <c:pt idx="6">
                  <c:v>617743</c:v>
                </c:pt>
                <c:pt idx="7">
                  <c:v>658210</c:v>
                </c:pt>
                <c:pt idx="8">
                  <c:v>787935</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Sheet2!$F$42</c:f>
              <c:strCache>
                <c:ptCount val="1"/>
                <c:pt idx="0">
                  <c:v>2024-25</c:v>
                </c:pt>
              </c:strCache>
            </c:strRef>
          </c:tx>
          <c:spPr>
            <a:ln>
              <a:solidFill>
                <a:schemeClr val="accent6">
                  <a:lumMod val="75000"/>
                </a:schemeClr>
              </a:solidFill>
            </a:ln>
          </c:spPr>
          <c:marker>
            <c:symbol val="none"/>
          </c:marker>
          <c:cat>
            <c:strRef>
              <c:f>Sheet2!$D$123:$D$134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Sheet2!$F$123:$F$134</c:f>
              <c:numCache>
                <c:formatCode>General</c:formatCode>
                <c:ptCount val="12"/>
                <c:pt idx="0">
                  <c:v>99235</c:v>
                </c:pt>
                <c:pt idx="1">
                  <c:v>143625</c:v>
                </c:pt>
                <c:pt idx="2">
                  <c:v>181051</c:v>
                </c:pt>
                <c:pt idx="3">
                  <c:v>261260</c:v>
                </c:pt>
                <c:pt idx="4">
                  <c:v>300987</c:v>
                </c:pt>
                <c:pt idx="5">
                  <c:v>414966</c:v>
                </c:pt>
                <c:pt idx="6">
                  <c:v>466545</c:v>
                </c:pt>
                <c:pt idx="7">
                  <c:v>513500</c:v>
                </c:pt>
                <c:pt idx="8">
                  <c:v>685337</c:v>
                </c:pt>
                <c:pt idx="9">
                  <c:v>757359</c:v>
                </c:pt>
                <c:pt idx="10">
                  <c:v>811887</c:v>
                </c:pt>
                <c:pt idx="11">
                  <c:v>1052007</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5583104"/>
        <c:axId val="165593088"/>
      </c:lineChart>
      <c:catAx>
        <c:axId val="165583104"/>
        <c:scaling>
          <c:orientation val="minMax"/>
        </c:scaling>
        <c:delete val="0"/>
        <c:axPos val="b"/>
        <c:numFmt formatCode="General" sourceLinked="0"/>
        <c:majorTickMark val="out"/>
        <c:minorTickMark val="none"/>
        <c:tickLblPos val="nextTo"/>
        <c:txPr>
          <a:bodyPr rot="-5400000" vert="horz"/>
          <a:lstStyle/>
          <a:p>
            <a:pPr>
              <a:defRPr sz="700"/>
            </a:pPr>
            <a:endParaRPr lang="en-US"/>
          </a:p>
        </c:txPr>
        <c:crossAx val="165593088"/>
        <c:crosses val="autoZero"/>
        <c:auto val="1"/>
        <c:lblAlgn val="ctr"/>
        <c:lblOffset val="100"/>
        <c:noMultiLvlLbl val="0"/>
      </c:catAx>
      <c:valAx>
        <c:axId val="165593088"/>
        <c:scaling>
          <c:orientation val="minMax"/>
        </c:scaling>
        <c:delete val="0"/>
        <c:axPos val="l"/>
        <c:majorGridlines/>
        <c:numFmt formatCode="0" sourceLinked="0"/>
        <c:majorTickMark val="out"/>
        <c:minorTickMark val="none"/>
        <c:tickLblPos val="nextTo"/>
        <c:crossAx val="165583104"/>
        <c:crosses val="autoZero"/>
        <c:crossBetween val="between"/>
        <c:dispUnits>
          <c:builtInUnit val="hundredThousands"/>
        </c:dispUnits>
      </c:valAx>
      <c:spPr>
        <a:noFill/>
      </c:spPr>
    </c:plotArea>
    <c:legend>
      <c:legendPos val="b"/>
      <c:layout>
        <c:manualLayout>
          <c:xMode val="edge"/>
          <c:yMode val="edge"/>
          <c:x val="0.17908686192986939"/>
          <c:y val="0.10310655612492883"/>
          <c:w val="0.36737320600882439"/>
          <c:h val="0.17141612980195708"/>
        </c:manualLayout>
      </c:layout>
      <c:overlay val="1"/>
      <c:txPr>
        <a:bodyPr/>
        <a:lstStyle/>
        <a:p>
          <a:pPr>
            <a:defRPr sz="800"/>
          </a:pPr>
          <a:endParaRPr lang="en-US"/>
        </a:p>
      </c:txPr>
    </c:legend>
    <c:plotVisOnly val="1"/>
    <c:dispBlanksAs val="gap"/>
    <c:showDLblsOverMax val="0"/>
  </c:chart>
  <c:spPr>
    <a:noFill/>
    <a:ln>
      <a:noFill/>
    </a:ln>
  </c:spPr>
  <c:printSettings>
    <c:headerFooter/>
    <c:pageMargins b="0.75000000000000289" l="0.70000000000000062" r="0.70000000000000062" t="0.75000000000000289"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8632619771634"/>
          <c:y val="4.4857314013352662E-2"/>
          <c:w val="0.89301367380228369"/>
          <c:h val="0.80479758297665449"/>
        </c:manualLayout>
      </c:layout>
      <c:lineChart>
        <c:grouping val="standard"/>
        <c:varyColors val="0"/>
        <c:ser>
          <c:idx val="0"/>
          <c:order val="0"/>
          <c:tx>
            <c:strRef>
              <c:f>Sheet2!$E$42</c:f>
              <c:strCache>
                <c:ptCount val="1"/>
                <c:pt idx="0">
                  <c:v>2025-26</c:v>
                </c:pt>
              </c:strCache>
            </c:strRef>
          </c:tx>
          <c:marker>
            <c:symbol val="none"/>
          </c:marker>
          <c:cat>
            <c:strRef>
              <c:f>Sheet2!$D$138:$D$149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Sheet2!$E$138:$E$149</c:f>
              <c:numCache>
                <c:formatCode>General</c:formatCode>
                <c:ptCount val="12"/>
                <c:pt idx="0">
                  <c:v>186332</c:v>
                </c:pt>
                <c:pt idx="1">
                  <c:v>13163</c:v>
                </c:pt>
                <c:pt idx="2">
                  <c:v>280732</c:v>
                </c:pt>
                <c:pt idx="3">
                  <c:v>468416</c:v>
                </c:pt>
                <c:pt idx="4">
                  <c:v>598153</c:v>
                </c:pt>
                <c:pt idx="5">
                  <c:v>573123</c:v>
                </c:pt>
                <c:pt idx="6">
                  <c:v>825144</c:v>
                </c:pt>
                <c:pt idx="7">
                  <c:v>976671</c:v>
                </c:pt>
                <c:pt idx="8">
                  <c:v>855842</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Sheet2!$F$42</c:f>
              <c:strCache>
                <c:ptCount val="1"/>
                <c:pt idx="0">
                  <c:v>2024-25</c:v>
                </c:pt>
              </c:strCache>
            </c:strRef>
          </c:tx>
          <c:spPr>
            <a:ln>
              <a:solidFill>
                <a:schemeClr val="accent6">
                  <a:lumMod val="75000"/>
                </a:schemeClr>
              </a:solidFill>
            </a:ln>
          </c:spPr>
          <c:marker>
            <c:symbol val="none"/>
          </c:marker>
          <c:cat>
            <c:strRef>
              <c:f>Sheet2!$D$138:$D$149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Sheet2!$F$138:$F$149</c:f>
              <c:numCache>
                <c:formatCode>General</c:formatCode>
                <c:ptCount val="12"/>
                <c:pt idx="0">
                  <c:v>210136</c:v>
                </c:pt>
                <c:pt idx="1">
                  <c:v>50615</c:v>
                </c:pt>
                <c:pt idx="2">
                  <c:v>135712</c:v>
                </c:pt>
                <c:pt idx="3">
                  <c:v>276945</c:v>
                </c:pt>
                <c:pt idx="4">
                  <c:v>435176</c:v>
                </c:pt>
                <c:pt idx="5">
                  <c:v>474520</c:v>
                </c:pt>
                <c:pt idx="6">
                  <c:v>750824</c:v>
                </c:pt>
                <c:pt idx="7">
                  <c:v>846594</c:v>
                </c:pt>
                <c:pt idx="8">
                  <c:v>914089</c:v>
                </c:pt>
                <c:pt idx="9">
                  <c:v>1169542</c:v>
                </c:pt>
                <c:pt idx="10">
                  <c:v>1346852</c:v>
                </c:pt>
                <c:pt idx="11">
                  <c:v>1577270</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57573504"/>
        <c:axId val="157575040"/>
      </c:lineChart>
      <c:catAx>
        <c:axId val="157573504"/>
        <c:scaling>
          <c:orientation val="minMax"/>
        </c:scaling>
        <c:delete val="0"/>
        <c:axPos val="b"/>
        <c:numFmt formatCode="General" sourceLinked="0"/>
        <c:majorTickMark val="out"/>
        <c:minorTickMark val="none"/>
        <c:tickLblPos val="nextTo"/>
        <c:txPr>
          <a:bodyPr rot="-5400000" vert="horz"/>
          <a:lstStyle/>
          <a:p>
            <a:pPr>
              <a:defRPr sz="700"/>
            </a:pPr>
            <a:endParaRPr lang="en-US"/>
          </a:p>
        </c:txPr>
        <c:crossAx val="157575040"/>
        <c:crosses val="autoZero"/>
        <c:auto val="1"/>
        <c:lblAlgn val="ctr"/>
        <c:lblOffset val="100"/>
        <c:noMultiLvlLbl val="0"/>
      </c:catAx>
      <c:valAx>
        <c:axId val="157575040"/>
        <c:scaling>
          <c:orientation val="minMax"/>
        </c:scaling>
        <c:delete val="0"/>
        <c:axPos val="l"/>
        <c:majorGridlines/>
        <c:numFmt formatCode="#,##0" sourceLinked="0"/>
        <c:majorTickMark val="out"/>
        <c:minorTickMark val="none"/>
        <c:tickLblPos val="nextTo"/>
        <c:crossAx val="157573504"/>
        <c:crosses val="autoZero"/>
        <c:crossBetween val="between"/>
        <c:dispUnits>
          <c:builtInUnit val="hundredThousands"/>
        </c:dispUnits>
      </c:valAx>
      <c:spPr>
        <a:noFill/>
      </c:spPr>
    </c:plotArea>
    <c:legend>
      <c:legendPos val="b"/>
      <c:layout>
        <c:manualLayout>
          <c:xMode val="edge"/>
          <c:yMode val="edge"/>
          <c:x val="0.17908686192986939"/>
          <c:y val="0.10310655612492883"/>
          <c:w val="0.32545037425877493"/>
          <c:h val="0.16003164524282959"/>
        </c:manualLayout>
      </c:layout>
      <c:overlay val="1"/>
      <c:txPr>
        <a:bodyPr/>
        <a:lstStyle/>
        <a:p>
          <a:pPr>
            <a:defRPr sz="800"/>
          </a:pPr>
          <a:endParaRPr lang="en-US"/>
        </a:p>
      </c:txPr>
    </c:legend>
    <c:plotVisOnly val="1"/>
    <c:dispBlanksAs val="gap"/>
    <c:showDLblsOverMax val="0"/>
  </c:chart>
  <c:spPr>
    <a:noFill/>
    <a:ln>
      <a:noFill/>
    </a:ln>
  </c:spPr>
  <c:printSettings>
    <c:headerFooter/>
    <c:pageMargins b="0.75000000000000311" l="0.70000000000000062" r="0.70000000000000062" t="0.750000000000003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17486157066848"/>
          <c:y val="4.4237942617734102E-2"/>
          <c:w val="0.87092178110380303"/>
          <c:h val="0.91152411476453177"/>
        </c:manualLayout>
      </c:layout>
      <c:lineChart>
        <c:grouping val="standard"/>
        <c:varyColors val="0"/>
        <c:ser>
          <c:idx val="0"/>
          <c:order val="0"/>
          <c:tx>
            <c:strRef>
              <c:f>Sheet2!$E$42</c:f>
              <c:strCache>
                <c:ptCount val="1"/>
                <c:pt idx="0">
                  <c:v>2025-26</c:v>
                </c:pt>
              </c:strCache>
            </c:strRef>
          </c:tx>
          <c:marker>
            <c:symbol val="none"/>
          </c:marker>
          <c:cat>
            <c:strRef>
              <c:f>Sheet2!$D$154:$D$165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Sheet2!$E$154:$E$165</c:f>
              <c:numCache>
                <c:formatCode>General</c:formatCode>
                <c:ptCount val="12"/>
                <c:pt idx="0">
                  <c:v>49001</c:v>
                </c:pt>
                <c:pt idx="1">
                  <c:v>-182967</c:v>
                </c:pt>
                <c:pt idx="2">
                  <c:v>33618</c:v>
                </c:pt>
                <c:pt idx="3">
                  <c:v>151279</c:v>
                </c:pt>
                <c:pt idx="4">
                  <c:v>198544</c:v>
                </c:pt>
                <c:pt idx="5">
                  <c:v>27147</c:v>
                </c:pt>
                <c:pt idx="6">
                  <c:v>244496</c:v>
                </c:pt>
                <c:pt idx="7">
                  <c:v>357388</c:v>
                </c:pt>
                <c:pt idx="8">
                  <c:v>113954</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Sheet2!$F$42</c:f>
              <c:strCache>
                <c:ptCount val="1"/>
                <c:pt idx="0">
                  <c:v>2024-25</c:v>
                </c:pt>
              </c:strCache>
            </c:strRef>
          </c:tx>
          <c:spPr>
            <a:ln>
              <a:solidFill>
                <a:schemeClr val="accent6">
                  <a:lumMod val="75000"/>
                </a:schemeClr>
              </a:solidFill>
            </a:ln>
          </c:spPr>
          <c:marker>
            <c:symbol val="none"/>
          </c:marker>
          <c:cat>
            <c:strRef>
              <c:f>Sheet2!$D$154:$D$165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Sheet2!$F$154:$F$165</c:f>
              <c:numCache>
                <c:formatCode>General</c:formatCode>
                <c:ptCount val="12"/>
                <c:pt idx="0">
                  <c:v>111942</c:v>
                </c:pt>
                <c:pt idx="1">
                  <c:v>-90923</c:v>
                </c:pt>
                <c:pt idx="2">
                  <c:v>-40819</c:v>
                </c:pt>
                <c:pt idx="3">
                  <c:v>22071</c:v>
                </c:pt>
                <c:pt idx="4">
                  <c:v>143055</c:v>
                </c:pt>
                <c:pt idx="5">
                  <c:v>74155</c:v>
                </c:pt>
                <c:pt idx="6">
                  <c:v>303086</c:v>
                </c:pt>
                <c:pt idx="7">
                  <c:v>357047</c:v>
                </c:pt>
                <c:pt idx="8">
                  <c:v>256047</c:v>
                </c:pt>
                <c:pt idx="9">
                  <c:v>441407</c:v>
                </c:pt>
                <c:pt idx="10">
                  <c:v>572329</c:v>
                </c:pt>
                <c:pt idx="11">
                  <c:v>567081</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5755136"/>
        <c:axId val="165761024"/>
      </c:lineChart>
      <c:catAx>
        <c:axId val="165755136"/>
        <c:scaling>
          <c:orientation val="minMax"/>
        </c:scaling>
        <c:delete val="0"/>
        <c:axPos val="b"/>
        <c:numFmt formatCode="General" sourceLinked="0"/>
        <c:majorTickMark val="out"/>
        <c:minorTickMark val="none"/>
        <c:tickLblPos val="nextTo"/>
        <c:txPr>
          <a:bodyPr rot="-5400000" vert="horz"/>
          <a:lstStyle/>
          <a:p>
            <a:pPr>
              <a:defRPr sz="700"/>
            </a:pPr>
            <a:endParaRPr lang="en-US"/>
          </a:p>
        </c:txPr>
        <c:crossAx val="165761024"/>
        <c:crosses val="autoZero"/>
        <c:auto val="1"/>
        <c:lblAlgn val="ctr"/>
        <c:lblOffset val="100"/>
        <c:noMultiLvlLbl val="0"/>
      </c:catAx>
      <c:valAx>
        <c:axId val="165761024"/>
        <c:scaling>
          <c:orientation val="minMax"/>
        </c:scaling>
        <c:delete val="0"/>
        <c:axPos val="l"/>
        <c:majorGridlines/>
        <c:numFmt formatCode="#,##0" sourceLinked="0"/>
        <c:majorTickMark val="out"/>
        <c:minorTickMark val="none"/>
        <c:tickLblPos val="nextTo"/>
        <c:crossAx val="165755136"/>
        <c:crosses val="autoZero"/>
        <c:crossBetween val="between"/>
        <c:dispUnits>
          <c:builtInUnit val="hundredThousands"/>
        </c:dispUnits>
      </c:valAx>
      <c:spPr>
        <a:noFill/>
      </c:spPr>
    </c:plotArea>
    <c:legend>
      <c:legendPos val="b"/>
      <c:layout>
        <c:manualLayout>
          <c:xMode val="edge"/>
          <c:yMode val="edge"/>
          <c:x val="0.17908686192986939"/>
          <c:y val="0.10310655612492883"/>
          <c:w val="0.32545037425877515"/>
          <c:h val="0.16003164524282959"/>
        </c:manualLayout>
      </c:layout>
      <c:overlay val="1"/>
      <c:txPr>
        <a:bodyPr/>
        <a:lstStyle/>
        <a:p>
          <a:pPr>
            <a:defRPr sz="800"/>
          </a:pPr>
          <a:endParaRPr lang="en-US"/>
        </a:p>
      </c:txPr>
    </c:legend>
    <c:plotVisOnly val="1"/>
    <c:dispBlanksAs val="gap"/>
    <c:showDLblsOverMax val="0"/>
  </c:chart>
  <c:spPr>
    <a:noFill/>
    <a:ln>
      <a:noFill/>
    </a:ln>
  </c:spPr>
  <c:printSettings>
    <c:headerFooter/>
    <c:pageMargins b="0.75000000000000333" l="0.70000000000000062" r="0.70000000000000062" t="0.75000000000000333"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75596779509393"/>
          <c:y val="4.6110350227333036E-2"/>
          <c:w val="0.81862385234709734"/>
          <c:h val="0.78423292800902433"/>
        </c:manualLayout>
      </c:layout>
      <c:lineChart>
        <c:grouping val="standard"/>
        <c:varyColors val="0"/>
        <c:ser>
          <c:idx val="0"/>
          <c:order val="0"/>
          <c:tx>
            <c:strRef>
              <c:f>Sheet2!$E$42</c:f>
              <c:strCache>
                <c:ptCount val="1"/>
                <c:pt idx="0">
                  <c:v>2025-26</c:v>
                </c:pt>
              </c:strCache>
            </c:strRef>
          </c:tx>
          <c:marker>
            <c:symbol val="none"/>
          </c:marker>
          <c:cat>
            <c:strRef>
              <c:f>Sheet2!$D$169:$D$180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Sheet2!$E$169:$E$180</c:f>
              <c:numCache>
                <c:formatCode>General</c:formatCode>
                <c:ptCount val="12"/>
                <c:pt idx="0">
                  <c:v>92872</c:v>
                </c:pt>
                <c:pt idx="1">
                  <c:v>-134625</c:v>
                </c:pt>
                <c:pt idx="2">
                  <c:v>-105305</c:v>
                </c:pt>
                <c:pt idx="3">
                  <c:v>21726</c:v>
                </c:pt>
                <c:pt idx="4">
                  <c:v>69485</c:v>
                </c:pt>
                <c:pt idx="5">
                  <c:v>-5059</c:v>
                </c:pt>
                <c:pt idx="6">
                  <c:v>151429</c:v>
                </c:pt>
                <c:pt idx="7">
                  <c:v>230906</c:v>
                </c:pt>
                <c:pt idx="8">
                  <c:v>-55217</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Sheet2!$F$42</c:f>
              <c:strCache>
                <c:ptCount val="1"/>
                <c:pt idx="0">
                  <c:v>2024-25</c:v>
                </c:pt>
              </c:strCache>
            </c:strRef>
          </c:tx>
          <c:spPr>
            <a:ln>
              <a:solidFill>
                <a:schemeClr val="accent6">
                  <a:lumMod val="75000"/>
                </a:schemeClr>
              </a:solidFill>
            </a:ln>
          </c:spPr>
          <c:marker>
            <c:symbol val="none"/>
          </c:marker>
          <c:cat>
            <c:strRef>
              <c:f>Sheet2!$D$169:$D$180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Sheet2!$F$169:$F$180</c:f>
              <c:numCache>
                <c:formatCode>General</c:formatCode>
                <c:ptCount val="12"/>
                <c:pt idx="0">
                  <c:v>81873</c:v>
                </c:pt>
                <c:pt idx="1">
                  <c:v>-73195</c:v>
                </c:pt>
                <c:pt idx="2">
                  <c:v>-128340</c:v>
                </c:pt>
                <c:pt idx="3">
                  <c:v>-50942</c:v>
                </c:pt>
                <c:pt idx="4">
                  <c:v>35016</c:v>
                </c:pt>
                <c:pt idx="5">
                  <c:v>-40490</c:v>
                </c:pt>
                <c:pt idx="6">
                  <c:v>154477</c:v>
                </c:pt>
                <c:pt idx="7">
                  <c:v>188100</c:v>
                </c:pt>
                <c:pt idx="8">
                  <c:v>105776</c:v>
                </c:pt>
                <c:pt idx="9">
                  <c:v>294081</c:v>
                </c:pt>
                <c:pt idx="10">
                  <c:v>394008</c:v>
                </c:pt>
                <c:pt idx="11">
                  <c:v>460927</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5806464"/>
        <c:axId val="165808000"/>
      </c:lineChart>
      <c:catAx>
        <c:axId val="165806464"/>
        <c:scaling>
          <c:orientation val="minMax"/>
        </c:scaling>
        <c:delete val="0"/>
        <c:axPos val="b"/>
        <c:numFmt formatCode="General" sourceLinked="0"/>
        <c:majorTickMark val="out"/>
        <c:minorTickMark val="none"/>
        <c:tickLblPos val="nextTo"/>
        <c:txPr>
          <a:bodyPr rot="-5400000" vert="horz"/>
          <a:lstStyle/>
          <a:p>
            <a:pPr>
              <a:defRPr sz="700"/>
            </a:pPr>
            <a:endParaRPr lang="en-US"/>
          </a:p>
        </c:txPr>
        <c:crossAx val="165808000"/>
        <c:crosses val="autoZero"/>
        <c:auto val="1"/>
        <c:lblAlgn val="ctr"/>
        <c:lblOffset val="100"/>
        <c:noMultiLvlLbl val="0"/>
      </c:catAx>
      <c:valAx>
        <c:axId val="165808000"/>
        <c:scaling>
          <c:orientation val="minMax"/>
        </c:scaling>
        <c:delete val="0"/>
        <c:axPos val="l"/>
        <c:majorGridlines/>
        <c:numFmt formatCode="#,##0" sourceLinked="0"/>
        <c:majorTickMark val="out"/>
        <c:minorTickMark val="none"/>
        <c:tickLblPos val="nextTo"/>
        <c:crossAx val="165806464"/>
        <c:crosses val="autoZero"/>
        <c:crossBetween val="between"/>
        <c:dispUnits>
          <c:builtInUnit val="hundredThousands"/>
        </c:dispUnits>
      </c:valAx>
      <c:spPr>
        <a:noFill/>
      </c:spPr>
    </c:plotArea>
    <c:legend>
      <c:legendPos val="b"/>
      <c:layout>
        <c:manualLayout>
          <c:xMode val="edge"/>
          <c:yMode val="edge"/>
          <c:x val="0.17908686192986939"/>
          <c:y val="0.10310655612492883"/>
          <c:w val="0.32545037425877538"/>
          <c:h val="0.16003164524282959"/>
        </c:manualLayout>
      </c:layout>
      <c:overlay val="1"/>
      <c:txPr>
        <a:bodyPr/>
        <a:lstStyle/>
        <a:p>
          <a:pPr>
            <a:defRPr sz="800"/>
          </a:pPr>
          <a:endParaRPr lang="en-US"/>
        </a:p>
      </c:txPr>
    </c:legend>
    <c:plotVisOnly val="1"/>
    <c:dispBlanksAs val="gap"/>
    <c:showDLblsOverMax val="0"/>
  </c:chart>
  <c:spPr>
    <a:noFill/>
    <a:ln>
      <a:noFill/>
    </a:ln>
  </c:spPr>
  <c:printSettings>
    <c:headerFooter/>
    <c:pageMargins b="0.75000000000000355" l="0.70000000000000062" r="0.70000000000000062" t="0.75000000000000355"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1"/>
          <c:order val="1"/>
          <c:spPr>
            <a:ln>
              <a:noFill/>
            </a:ln>
          </c:spPr>
          <c:dPt>
            <c:idx val="0"/>
            <c:bubble3D val="0"/>
            <c:spPr>
              <a:solidFill>
                <a:schemeClr val="accent3">
                  <a:lumMod val="75000"/>
                </a:schemeClr>
              </a:solidFill>
              <a:ln>
                <a:noFill/>
              </a:ln>
            </c:spPr>
            <c:extLst>
              <c:ext xmlns:c16="http://schemas.microsoft.com/office/drawing/2014/chart" uri="{C3380CC4-5D6E-409C-BE32-E72D297353CC}">
                <c16:uniqueId val="{00000000-AE34-442B-86AD-A522832020ED}"/>
              </c:ext>
            </c:extLst>
          </c:dPt>
          <c:dPt>
            <c:idx val="1"/>
            <c:bubble3D val="0"/>
            <c:spPr>
              <a:solidFill>
                <a:schemeClr val="accent2">
                  <a:lumMod val="75000"/>
                </a:schemeClr>
              </a:solidFill>
              <a:ln>
                <a:noFill/>
              </a:ln>
            </c:spPr>
            <c:extLst>
              <c:ext xmlns:c16="http://schemas.microsoft.com/office/drawing/2014/chart" uri="{C3380CC4-5D6E-409C-BE32-E72D297353CC}">
                <c16:uniqueId val="{00000001-AE34-442B-86AD-A522832020ED}"/>
              </c:ext>
            </c:extLst>
          </c:dPt>
          <c:dLbls>
            <c:dLbl>
              <c:idx val="0"/>
              <c:layout>
                <c:manualLayout>
                  <c:x val="0.12611023622047243"/>
                  <c:y val="-0.2408233818722826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AE34-442B-86AD-A522832020ED}"/>
                </c:ext>
              </c:extLst>
            </c:dLbl>
            <c:dLbl>
              <c:idx val="1"/>
              <c:layout>
                <c:manualLayout>
                  <c:x val="8.1135885358614365E-3"/>
                  <c:y val="1.51943827534378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E34-442B-86AD-A522832020ED}"/>
                </c:ext>
              </c:extLst>
            </c:dLbl>
            <c:dLbl>
              <c:idx val="2"/>
              <c:delete val="1"/>
              <c:extLst>
                <c:ext xmlns:c15="http://schemas.microsoft.com/office/drawing/2012/chart" uri="{CE6537A1-D6FC-4f65-9D91-7224C49458BB}"/>
                <c:ext xmlns:c16="http://schemas.microsoft.com/office/drawing/2014/chart" uri="{C3380CC4-5D6E-409C-BE32-E72D297353CC}">
                  <c16:uniqueId val="{00000002-F173-4C82-AAAF-3169B79E0A3A}"/>
                </c:ext>
              </c:extLst>
            </c:dLbl>
            <c:dLbl>
              <c:idx val="3"/>
              <c:delete val="1"/>
              <c:extLst>
                <c:ext xmlns:c15="http://schemas.microsoft.com/office/drawing/2012/chart" uri="{CE6537A1-D6FC-4f65-9D91-7224C49458BB}"/>
                <c:ext xmlns:c16="http://schemas.microsoft.com/office/drawing/2014/chart" uri="{C3380CC4-5D6E-409C-BE32-E72D297353CC}">
                  <c16:uniqueId val="{00000003-F173-4C82-AAAF-3169B79E0A3A}"/>
                </c:ext>
              </c:extLst>
            </c:dLbl>
            <c:dLbl>
              <c:idx val="4"/>
              <c:delete val="1"/>
              <c:extLst>
                <c:ext xmlns:c15="http://schemas.microsoft.com/office/drawing/2012/chart" uri="{CE6537A1-D6FC-4f65-9D91-7224C49458BB}"/>
                <c:ext xmlns:c16="http://schemas.microsoft.com/office/drawing/2014/chart" uri="{C3380CC4-5D6E-409C-BE32-E72D297353CC}">
                  <c16:uniqueId val="{00000004-F173-4C82-AAAF-3169B79E0A3A}"/>
                </c:ext>
              </c:extLst>
            </c:dLbl>
            <c:dLbl>
              <c:idx val="5"/>
              <c:delete val="1"/>
              <c:extLst>
                <c:ext xmlns:c15="http://schemas.microsoft.com/office/drawing/2012/chart" uri="{CE6537A1-D6FC-4f65-9D91-7224C49458BB}"/>
                <c:ext xmlns:c16="http://schemas.microsoft.com/office/drawing/2014/chart" uri="{C3380CC4-5D6E-409C-BE32-E72D297353CC}">
                  <c16:uniqueId val="{00000005-F173-4C82-AAAF-3169B79E0A3A}"/>
                </c:ext>
              </c:extLst>
            </c:dLbl>
            <c:dLbl>
              <c:idx val="6"/>
              <c:layout>
                <c:manualLayout>
                  <c:x val="0.11674368572780862"/>
                  <c:y val="6.0055561783273807E-2"/>
                </c:manualLayout>
              </c:layout>
              <c:tx>
                <c:rich>
                  <a:bodyPr/>
                  <a:lstStyle/>
                  <a:p>
                    <a:r>
                      <a:rPr lang="en-US" sz="800"/>
                      <a:t>Revenue Expenditure</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6-F173-4C82-AAAF-3169B79E0A3A}"/>
                </c:ext>
              </c:extLst>
            </c:dLbl>
            <c:spPr>
              <a:noFill/>
              <a:ln>
                <a:noFill/>
              </a:ln>
              <a:effectLst/>
            </c:spPr>
            <c:txPr>
              <a:bodyPr/>
              <a:lstStyle/>
              <a:p>
                <a:pPr>
                  <a:defRPr sz="800"/>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Sheet2!$B$30:$B$36</c:f>
              <c:strCache>
                <c:ptCount val="2"/>
                <c:pt idx="0">
                  <c:v>Revenue Exp</c:v>
                </c:pt>
                <c:pt idx="1">
                  <c:v>Capital Exp</c:v>
                </c:pt>
              </c:strCache>
            </c:strRef>
          </c:cat>
          <c:val>
            <c:numRef>
              <c:f>Sheet2!$F$30:$F$36</c:f>
              <c:numCache>
                <c:formatCode>General</c:formatCode>
                <c:ptCount val="7"/>
                <c:pt idx="0">
                  <c:v>2593063</c:v>
                </c:pt>
                <c:pt idx="1">
                  <c:v>787935</c:v>
                </c:pt>
              </c:numCache>
            </c:numRef>
          </c:val>
          <c:extLst>
            <c:ext xmlns:c16="http://schemas.microsoft.com/office/drawing/2014/chart" uri="{C3380CC4-5D6E-409C-BE32-E72D297353CC}">
              <c16:uniqueId val="{00000002-AE34-442B-86AD-A522832020ED}"/>
            </c:ext>
          </c:extLst>
        </c:ser>
        <c:ser>
          <c:idx val="0"/>
          <c:order val="0"/>
          <c:spPr>
            <a:ln>
              <a:noFill/>
            </a:ln>
          </c:spPr>
          <c:dPt>
            <c:idx val="0"/>
            <c:bubble3D val="0"/>
            <c:spPr>
              <a:solidFill>
                <a:schemeClr val="tx2">
                  <a:lumMod val="60000"/>
                  <a:lumOff val="40000"/>
                </a:schemeClr>
              </a:solidFill>
              <a:ln>
                <a:noFill/>
              </a:ln>
            </c:spPr>
            <c:extLst>
              <c:ext xmlns:c16="http://schemas.microsoft.com/office/drawing/2014/chart" uri="{C3380CC4-5D6E-409C-BE32-E72D297353CC}">
                <c16:uniqueId val="{00000003-AE34-442B-86AD-A522832020ED}"/>
              </c:ext>
            </c:extLst>
          </c:dPt>
          <c:dPt>
            <c:idx val="1"/>
            <c:bubble3D val="0"/>
            <c:spPr>
              <a:solidFill>
                <a:schemeClr val="accent4">
                  <a:lumMod val="60000"/>
                  <a:lumOff val="40000"/>
                </a:schemeClr>
              </a:solidFill>
              <a:ln>
                <a:noFill/>
              </a:ln>
            </c:spPr>
            <c:extLst>
              <c:ext xmlns:c16="http://schemas.microsoft.com/office/drawing/2014/chart" uri="{C3380CC4-5D6E-409C-BE32-E72D297353CC}">
                <c16:uniqueId val="{00000004-AE34-442B-86AD-A522832020ED}"/>
              </c:ext>
            </c:extLst>
          </c:dPt>
          <c:dPt>
            <c:idx val="2"/>
            <c:bubble3D val="0"/>
            <c:spPr>
              <a:solidFill>
                <a:schemeClr val="accent5">
                  <a:lumMod val="60000"/>
                  <a:lumOff val="40000"/>
                </a:schemeClr>
              </a:solidFill>
              <a:ln>
                <a:noFill/>
              </a:ln>
            </c:spPr>
            <c:extLst>
              <c:ext xmlns:c16="http://schemas.microsoft.com/office/drawing/2014/chart" uri="{C3380CC4-5D6E-409C-BE32-E72D297353CC}">
                <c16:uniqueId val="{00000005-AE34-442B-86AD-A522832020ED}"/>
              </c:ext>
            </c:extLst>
          </c:dPt>
          <c:dPt>
            <c:idx val="3"/>
            <c:bubble3D val="0"/>
            <c:spPr>
              <a:solidFill>
                <a:schemeClr val="bg2">
                  <a:lumMod val="50000"/>
                </a:schemeClr>
              </a:solidFill>
              <a:ln>
                <a:noFill/>
              </a:ln>
            </c:spPr>
            <c:extLst>
              <c:ext xmlns:c16="http://schemas.microsoft.com/office/drawing/2014/chart" uri="{C3380CC4-5D6E-409C-BE32-E72D297353CC}">
                <c16:uniqueId val="{00000006-AE34-442B-86AD-A522832020ED}"/>
              </c:ext>
            </c:extLst>
          </c:dPt>
          <c:dPt>
            <c:idx val="4"/>
            <c:bubble3D val="0"/>
            <c:spPr>
              <a:solidFill>
                <a:srgbClr val="92D050"/>
              </a:solidFill>
              <a:ln>
                <a:noFill/>
              </a:ln>
            </c:spPr>
            <c:extLst>
              <c:ext xmlns:c16="http://schemas.microsoft.com/office/drawing/2014/chart" uri="{C3380CC4-5D6E-409C-BE32-E72D297353CC}">
                <c16:uniqueId val="{00000007-AE34-442B-86AD-A522832020ED}"/>
              </c:ext>
            </c:extLst>
          </c:dPt>
          <c:dPt>
            <c:idx val="5"/>
            <c:bubble3D val="0"/>
            <c:spPr>
              <a:solidFill>
                <a:schemeClr val="accent6">
                  <a:lumMod val="75000"/>
                </a:schemeClr>
              </a:solidFill>
              <a:ln>
                <a:noFill/>
              </a:ln>
            </c:spPr>
            <c:extLst>
              <c:ext xmlns:c16="http://schemas.microsoft.com/office/drawing/2014/chart" uri="{C3380CC4-5D6E-409C-BE32-E72D297353CC}">
                <c16:uniqueId val="{00000008-AE34-442B-86AD-A522832020ED}"/>
              </c:ext>
            </c:extLst>
          </c:dPt>
          <c:dPt>
            <c:idx val="6"/>
            <c:bubble3D val="0"/>
            <c:spPr>
              <a:solidFill>
                <a:srgbClr val="C0504D">
                  <a:lumMod val="75000"/>
                </a:srgbClr>
              </a:solidFill>
              <a:ln>
                <a:noFill/>
              </a:ln>
            </c:spPr>
            <c:extLst>
              <c:ext xmlns:c16="http://schemas.microsoft.com/office/drawing/2014/chart" uri="{C3380CC4-5D6E-409C-BE32-E72D297353CC}">
                <c16:uniqueId val="{00000009-AE34-442B-86AD-A522832020ED}"/>
              </c:ext>
            </c:extLst>
          </c:dPt>
          <c:dLbls>
            <c:dLbl>
              <c:idx val="0"/>
              <c:layout>
                <c:manualLayout>
                  <c:x val="4.8681531215168536E-2"/>
                  <c:y val="-3.418803418803420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E34-442B-86AD-A522832020ED}"/>
                </c:ext>
              </c:extLst>
            </c:dLbl>
            <c:dLbl>
              <c:idx val="1"/>
              <c:layout>
                <c:manualLayout>
                  <c:x val="3.2454354143445691E-2"/>
                  <c:y val="-3.7986704653371495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E34-442B-86AD-A522832020ED}"/>
                </c:ext>
              </c:extLst>
            </c:dLbl>
            <c:dLbl>
              <c:idx val="2"/>
              <c:layout>
                <c:manualLayout>
                  <c:x val="5.6795119751029959E-2"/>
                  <c:y val="1.13960113960114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E34-442B-86AD-A522832020ED}"/>
                </c:ext>
              </c:extLst>
            </c:dLbl>
            <c:dLbl>
              <c:idx val="6"/>
              <c:layout>
                <c:manualLayout>
                  <c:x val="1.6227177071722845E-2"/>
                  <c:y val="4.55840455840456E-2"/>
                </c:manualLayout>
              </c:layout>
              <c:tx>
                <c:rich>
                  <a:bodyPr/>
                  <a:lstStyle/>
                  <a:p>
                    <a:r>
                      <a:rPr lang="en-US" sz="800"/>
                      <a:t>Capital Expenditure</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9-AE34-442B-86AD-A522832020ED}"/>
                </c:ext>
              </c:extLst>
            </c:dLbl>
            <c:spPr>
              <a:noFill/>
              <a:ln>
                <a:noFill/>
              </a:ln>
              <a:effectLst/>
            </c:spPr>
            <c:txPr>
              <a:bodyPr/>
              <a:lstStyle/>
              <a:p>
                <a:pPr>
                  <a:defRPr sz="800"/>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Sheet2!$C$30:$C$36</c:f>
              <c:strCache>
                <c:ptCount val="7"/>
                <c:pt idx="0">
                  <c:v>Interest Payments</c:v>
                </c:pt>
                <c:pt idx="1">
                  <c:v>Defence  Services</c:v>
                </c:pt>
                <c:pt idx="2">
                  <c:v>Grants in Aid  to States &amp; UTs</c:v>
                </c:pt>
                <c:pt idx="3">
                  <c:v>Pensions</c:v>
                </c:pt>
                <c:pt idx="4">
                  <c:v>Major Subsidies</c:v>
                </c:pt>
                <c:pt idx="5">
                  <c:v>Other Revenue Expenditure</c:v>
                </c:pt>
                <c:pt idx="6">
                  <c:v>Capital Expenditure</c:v>
                </c:pt>
              </c:strCache>
            </c:strRef>
          </c:cat>
          <c:val>
            <c:numRef>
              <c:f>Sheet2!$D$30:$D$36</c:f>
              <c:numCache>
                <c:formatCode>General</c:formatCode>
                <c:ptCount val="7"/>
                <c:pt idx="0">
                  <c:v>911059</c:v>
                </c:pt>
                <c:pt idx="1">
                  <c:v>233023</c:v>
                </c:pt>
                <c:pt idx="2">
                  <c:v>247273</c:v>
                </c:pt>
                <c:pt idx="3">
                  <c:v>226030</c:v>
                </c:pt>
                <c:pt idx="4">
                  <c:v>317490</c:v>
                </c:pt>
                <c:pt idx="5">
                  <c:v>658188</c:v>
                </c:pt>
                <c:pt idx="6">
                  <c:v>787935</c:v>
                </c:pt>
              </c:numCache>
            </c:numRef>
          </c:val>
          <c:extLst>
            <c:ext xmlns:c16="http://schemas.microsoft.com/office/drawing/2014/chart" uri="{C3380CC4-5D6E-409C-BE32-E72D297353CC}">
              <c16:uniqueId val="{0000000A-AE34-442B-86AD-A522832020ED}"/>
            </c:ext>
          </c:extLst>
        </c:ser>
        <c:dLbls>
          <c:showLegendKey val="0"/>
          <c:showVal val="1"/>
          <c:showCatName val="1"/>
          <c:showSerName val="0"/>
          <c:showPercent val="0"/>
          <c:showBubbleSize val="0"/>
          <c:showLeaderLines val="1"/>
        </c:dLbls>
        <c:firstSliceAng val="0"/>
        <c:holeSize val="39"/>
      </c:doughnutChart>
    </c:plotArea>
    <c:plotVisOnly val="1"/>
    <c:dispBlanksAs val="zero"/>
    <c:showDLblsOverMax val="0"/>
  </c:chart>
  <c:spPr>
    <a:noFill/>
    <a:ln>
      <a:noFill/>
    </a:ln>
  </c:spPr>
  <c:printSettings>
    <c:headerFooter/>
    <c:pageMargins b="0.75000000000000355" l="0.70000000000000062" r="0.70000000000000062" t="0.75000000000000355"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Sheet4!$Q$6</c:f>
          <c:strCache>
            <c:ptCount val="1"/>
            <c:pt idx="0">
              <c:v>Total Receipts</c:v>
            </c:pt>
          </c:strCache>
        </c:strRef>
      </c:tx>
      <c:layout>
        <c:manualLayout>
          <c:xMode val="edge"/>
          <c:yMode val="edge"/>
          <c:x val="0.33992422500247804"/>
          <c:y val="8.3004536234174368E-3"/>
        </c:manualLayout>
      </c:layout>
      <c:overlay val="0"/>
      <c:spPr>
        <a:noFill/>
        <a:ln>
          <a:noFill/>
        </a:ln>
        <a:effectLst/>
      </c:spPr>
      <c:txPr>
        <a:bodyPr rot="0" spcFirstLastPara="1" vertOverflow="ellipsis" vert="horz" wrap="square" anchor="ctr" anchorCtr="1"/>
        <a:lstStyle/>
        <a:p>
          <a:pPr algn="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lotArea>
      <c:layout>
        <c:manualLayout>
          <c:layoutTarget val="inner"/>
          <c:xMode val="edge"/>
          <c:yMode val="edge"/>
          <c:x val="3.3967480002645122E-2"/>
          <c:y val="8.4017952757314898E-2"/>
          <c:w val="0.93380043999750151"/>
          <c:h val="0.7636586903587419"/>
        </c:manualLayout>
      </c:layout>
      <c:barChart>
        <c:barDir val="col"/>
        <c:grouping val="stacked"/>
        <c:varyColors val="0"/>
        <c:ser>
          <c:idx val="0"/>
          <c:order val="0"/>
          <c:tx>
            <c:strRef>
              <c:f>Sheet4!$A$76</c:f>
              <c:strCache>
                <c:ptCount val="1"/>
                <c:pt idx="0">
                  <c:v>Net Tax Revenue</c:v>
                </c:pt>
              </c:strCache>
            </c:strRef>
          </c:tx>
          <c:spPr>
            <a:solidFill>
              <a:schemeClr val="accent1"/>
            </a:solidFill>
            <a:ln>
              <a:noFill/>
            </a:ln>
            <a:effectLst/>
          </c:spPr>
          <c:invertIfNegative val="0"/>
          <c:dLbls>
            <c:dLbl>
              <c:idx val="0"/>
              <c:tx>
                <c:rich>
                  <a:bodyPr/>
                  <a:lstStyle/>
                  <a:p>
                    <a:fld id="{AC7CAFC6-D909-4D9C-86FE-15D473044DE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2D4-4AAA-AD98-5E1FAD2867F7}"/>
                </c:ext>
              </c:extLst>
            </c:dLbl>
            <c:dLbl>
              <c:idx val="1"/>
              <c:tx>
                <c:rich>
                  <a:bodyPr/>
                  <a:lstStyle/>
                  <a:p>
                    <a:fld id="{C60F12E1-0957-46EF-A32F-7A152ED3C28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2D4-4AAA-AD98-5E1FAD2867F7}"/>
                </c:ext>
              </c:extLst>
            </c:dLbl>
            <c:dLbl>
              <c:idx val="2"/>
              <c:tx>
                <c:rich>
                  <a:bodyPr/>
                  <a:lstStyle/>
                  <a:p>
                    <a:fld id="{2689AF2C-F201-4D0F-B14D-EB9B0B12745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2D4-4AAA-AD98-5E1FAD2867F7}"/>
                </c:ext>
              </c:extLst>
            </c:dLbl>
            <c:dLbl>
              <c:idx val="3"/>
              <c:tx>
                <c:rich>
                  <a:bodyPr/>
                  <a:lstStyle/>
                  <a:p>
                    <a:fld id="{B06305EC-6ED1-4182-A126-B026F3B1D6D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2D4-4AAA-AD98-5E1FAD2867F7}"/>
                </c:ext>
              </c:extLst>
            </c:dLbl>
            <c:dLbl>
              <c:idx val="4"/>
              <c:tx>
                <c:rich>
                  <a:bodyPr/>
                  <a:lstStyle/>
                  <a:p>
                    <a:fld id="{63A74385-B5FB-450A-BAB8-05D7ED2C3E6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2D4-4AAA-AD98-5E1FAD2867F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Sheet4!$B$75:$G$75</c15:sqref>
                  </c15:fullRef>
                </c:ext>
              </c:extLst>
              <c:f>Sheet4!$C$75:$G$75</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Sheet4!$B$76:$G$76</c15:sqref>
                  </c15:fullRef>
                </c:ext>
              </c:extLst>
              <c:f>Sheet4!$C$76:$G$76</c:f>
              <c:numCache>
                <c:formatCode>General</c:formatCode>
                <c:ptCount val="5"/>
                <c:pt idx="0">
                  <c:v>1473809</c:v>
                </c:pt>
                <c:pt idx="1">
                  <c:v>1555692</c:v>
                </c:pt>
                <c:pt idx="2">
                  <c:v>1729931</c:v>
                </c:pt>
                <c:pt idx="3">
                  <c:v>1843053</c:v>
                </c:pt>
                <c:pt idx="4">
                  <c:v>1939254</c:v>
                </c:pt>
              </c:numCache>
            </c:numRef>
          </c:val>
          <c:extLst>
            <c:ext xmlns:c15="http://schemas.microsoft.com/office/drawing/2012/chart" uri="{02D57815-91ED-43cb-92C2-25804820EDAC}">
              <c15:datalabelsRange>
                <c15:f>Sheet4!$B$81:$G$81</c15:f>
                <c15:dlblRangeCache>
                  <c:ptCount val="6"/>
                  <c:pt idx="0">
                    <c:v>86%</c:v>
                  </c:pt>
                  <c:pt idx="1">
                    <c:v>84%</c:v>
                  </c:pt>
                  <c:pt idx="2">
                    <c:v>85%</c:v>
                  </c:pt>
                  <c:pt idx="3">
                    <c:v>83%</c:v>
                  </c:pt>
                  <c:pt idx="4">
                    <c:v>80%</c:v>
                  </c:pt>
                  <c:pt idx="5">
                    <c:v>77%</c:v>
                  </c:pt>
                </c15:dlblRangeCache>
              </c15:datalabelsRange>
            </c:ext>
            <c:ext xmlns:c16="http://schemas.microsoft.com/office/drawing/2014/chart" uri="{C3380CC4-5D6E-409C-BE32-E72D297353CC}">
              <c16:uniqueId val="{00000006-C2D4-4AAA-AD98-5E1FAD2867F7}"/>
            </c:ext>
          </c:extLst>
        </c:ser>
        <c:ser>
          <c:idx val="1"/>
          <c:order val="1"/>
          <c:tx>
            <c:strRef>
              <c:f>Sheet4!$A$77</c:f>
              <c:strCache>
                <c:ptCount val="1"/>
                <c:pt idx="0">
                  <c:v>Non Tax Revenue</c:v>
                </c:pt>
              </c:strCache>
            </c:strRef>
          </c:tx>
          <c:spPr>
            <a:solidFill>
              <a:schemeClr val="accent6">
                <a:lumMod val="75000"/>
              </a:schemeClr>
            </a:solidFill>
            <a:ln>
              <a:noFill/>
            </a:ln>
            <a:effectLst/>
          </c:spPr>
          <c:invertIfNegative val="0"/>
          <c:dLbls>
            <c:dLbl>
              <c:idx val="0"/>
              <c:tx>
                <c:rich>
                  <a:bodyPr/>
                  <a:lstStyle/>
                  <a:p>
                    <a:fld id="{D4BCA4F4-85EA-48BC-8431-8EBC20EC4EC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2D4-4AAA-AD98-5E1FAD2867F7}"/>
                </c:ext>
              </c:extLst>
            </c:dLbl>
            <c:dLbl>
              <c:idx val="1"/>
              <c:tx>
                <c:rich>
                  <a:bodyPr/>
                  <a:lstStyle/>
                  <a:p>
                    <a:fld id="{90D8352B-E64C-4908-A319-F0EAC787DC7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2D4-4AAA-AD98-5E1FAD2867F7}"/>
                </c:ext>
              </c:extLst>
            </c:dLbl>
            <c:dLbl>
              <c:idx val="2"/>
              <c:tx>
                <c:rich>
                  <a:bodyPr/>
                  <a:lstStyle/>
                  <a:p>
                    <a:fld id="{4795DB97-C6DF-4E4D-BD3F-F4D8A5F259D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2D4-4AAA-AD98-5E1FAD2867F7}"/>
                </c:ext>
              </c:extLst>
            </c:dLbl>
            <c:dLbl>
              <c:idx val="3"/>
              <c:tx>
                <c:rich>
                  <a:bodyPr/>
                  <a:lstStyle/>
                  <a:p>
                    <a:fld id="{C509F2AF-AC8B-4A1F-9B68-369869AB252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2D4-4AAA-AD98-5E1FAD2867F7}"/>
                </c:ext>
              </c:extLst>
            </c:dLbl>
            <c:dLbl>
              <c:idx val="4"/>
              <c:tx>
                <c:rich>
                  <a:bodyPr/>
                  <a:lstStyle/>
                  <a:p>
                    <a:fld id="{D77ABA15-C000-4373-87B6-5EDA6CF7075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2D4-4AAA-AD98-5E1FAD2867F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Sheet4!$B$75:$G$75</c15:sqref>
                  </c15:fullRef>
                </c:ext>
              </c:extLst>
              <c:f>Sheet4!$C$75:$G$75</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Sheet4!$B$77:$G$77</c15:sqref>
                  </c15:fullRef>
                </c:ext>
              </c:extLst>
              <c:f>Sheet4!$C$77:$G$77</c:f>
              <c:numCache>
                <c:formatCode>General</c:formatCode>
                <c:ptCount val="5"/>
                <c:pt idx="0">
                  <c:v>259414</c:v>
                </c:pt>
                <c:pt idx="1">
                  <c:v>214302</c:v>
                </c:pt>
                <c:pt idx="2">
                  <c:v>312358</c:v>
                </c:pt>
                <c:pt idx="3">
                  <c:v>447657</c:v>
                </c:pt>
                <c:pt idx="4">
                  <c:v>539855</c:v>
                </c:pt>
              </c:numCache>
            </c:numRef>
          </c:val>
          <c:extLst>
            <c:ext xmlns:c15="http://schemas.microsoft.com/office/drawing/2012/chart" uri="{02D57815-91ED-43cb-92C2-25804820EDAC}">
              <c15:datalabelsRange>
                <c15:f>Sheet4!$B$82:$G$82</c15:f>
                <c15:dlblRangeCache>
                  <c:ptCount val="6"/>
                  <c:pt idx="0">
                    <c:v>11%</c:v>
                  </c:pt>
                  <c:pt idx="1">
                    <c:v>15%</c:v>
                  </c:pt>
                  <c:pt idx="2">
                    <c:v>12%</c:v>
                  </c:pt>
                  <c:pt idx="3">
                    <c:v>15%</c:v>
                  </c:pt>
                  <c:pt idx="4">
                    <c:v>19%</c:v>
                  </c:pt>
                  <c:pt idx="5">
                    <c:v>21%</c:v>
                  </c:pt>
                </c15:dlblRangeCache>
              </c15:datalabelsRange>
            </c:ext>
            <c:ext xmlns:c16="http://schemas.microsoft.com/office/drawing/2014/chart" uri="{C3380CC4-5D6E-409C-BE32-E72D297353CC}">
              <c16:uniqueId val="{0000000D-C2D4-4AAA-AD98-5E1FAD2867F7}"/>
            </c:ext>
          </c:extLst>
        </c:ser>
        <c:ser>
          <c:idx val="2"/>
          <c:order val="2"/>
          <c:tx>
            <c:strRef>
              <c:f>Sheet4!$A$78</c:f>
              <c:strCache>
                <c:ptCount val="1"/>
                <c:pt idx="0">
                  <c:v>Non Debt Capital Receipts</c:v>
                </c:pt>
              </c:strCache>
            </c:strRef>
          </c:tx>
          <c:spPr>
            <a:solidFill>
              <a:schemeClr val="accent3"/>
            </a:solidFill>
            <a:ln>
              <a:noFill/>
            </a:ln>
            <a:effectLst/>
          </c:spPr>
          <c:invertIfNegative val="0"/>
          <c:dLbls>
            <c:dLbl>
              <c:idx val="0"/>
              <c:tx>
                <c:rich>
                  <a:bodyPr/>
                  <a:lstStyle/>
                  <a:p>
                    <a:fld id="{AA015A2F-6F62-438F-A6A3-FAB6A946E01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2D4-4AAA-AD98-5E1FAD2867F7}"/>
                </c:ext>
              </c:extLst>
            </c:dLbl>
            <c:dLbl>
              <c:idx val="1"/>
              <c:tx>
                <c:rich>
                  <a:bodyPr/>
                  <a:lstStyle/>
                  <a:p>
                    <a:fld id="{993D151D-0670-45C6-BFE5-5859D607C0F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2D4-4AAA-AD98-5E1FAD2867F7}"/>
                </c:ext>
              </c:extLst>
            </c:dLbl>
            <c:dLbl>
              <c:idx val="2"/>
              <c:tx>
                <c:rich>
                  <a:bodyPr/>
                  <a:lstStyle/>
                  <a:p>
                    <a:fld id="{75B6EA5B-CD88-4250-B770-7AF6F53A1D1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2D4-4AAA-AD98-5E1FAD2867F7}"/>
                </c:ext>
              </c:extLst>
            </c:dLbl>
            <c:dLbl>
              <c:idx val="3"/>
              <c:tx>
                <c:rich>
                  <a:bodyPr/>
                  <a:lstStyle/>
                  <a:p>
                    <a:fld id="{FA31AE45-0B9B-4356-8F23-50F9685EF53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2D4-4AAA-AD98-5E1FAD2867F7}"/>
                </c:ext>
              </c:extLst>
            </c:dLbl>
            <c:dLbl>
              <c:idx val="4"/>
              <c:tx>
                <c:rich>
                  <a:bodyPr/>
                  <a:lstStyle/>
                  <a:p>
                    <a:fld id="{D4E25948-3A3E-48A0-8A0B-BD62DC02F19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2D4-4AAA-AD98-5E1FAD2867F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Sheet4!$B$75:$G$75</c15:sqref>
                  </c15:fullRef>
                </c:ext>
              </c:extLst>
              <c:f>Sheet4!$C$75:$G$75</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Sheet4!$B$78:$G$78</c15:sqref>
                  </c15:fullRef>
                </c:ext>
              </c:extLst>
              <c:f>Sheet4!$C$78:$G$78</c:f>
              <c:numCache>
                <c:formatCode>General</c:formatCode>
                <c:ptCount val="5"/>
                <c:pt idx="0">
                  <c:v>28469</c:v>
                </c:pt>
                <c:pt idx="1">
                  <c:v>55106</c:v>
                </c:pt>
                <c:pt idx="2">
                  <c:v>29650</c:v>
                </c:pt>
                <c:pt idx="3">
                  <c:v>27295</c:v>
                </c:pt>
                <c:pt idx="4">
                  <c:v>46047</c:v>
                </c:pt>
              </c:numCache>
            </c:numRef>
          </c:val>
          <c:extLst>
            <c:ext xmlns:c15="http://schemas.microsoft.com/office/drawing/2012/chart" uri="{02D57815-91ED-43cb-92C2-25804820EDAC}">
              <c15:datalabelsRange>
                <c15:f>Sheet4!$B$83:$G$83</c15:f>
                <c15:dlblRangeCache>
                  <c:ptCount val="6"/>
                  <c:pt idx="0">
                    <c:v>3%</c:v>
                  </c:pt>
                  <c:pt idx="1">
                    <c:v>2%</c:v>
                  </c:pt>
                  <c:pt idx="2">
                    <c:v>3%</c:v>
                  </c:pt>
                  <c:pt idx="3">
                    <c:v>1%</c:v>
                  </c:pt>
                  <c:pt idx="4">
                    <c:v>1%</c:v>
                  </c:pt>
                  <c:pt idx="5">
                    <c:v>2%</c:v>
                  </c:pt>
                </c15:dlblRangeCache>
              </c15:datalabelsRange>
            </c:ext>
            <c:ext xmlns:c16="http://schemas.microsoft.com/office/drawing/2014/chart" uri="{C3380CC4-5D6E-409C-BE32-E72D297353CC}">
              <c16:uniqueId val="{00000014-C2D4-4AAA-AD98-5E1FAD2867F7}"/>
            </c:ext>
          </c:extLst>
        </c:ser>
        <c:dLbls>
          <c:showLegendKey val="0"/>
          <c:showVal val="0"/>
          <c:showCatName val="0"/>
          <c:showSerName val="0"/>
          <c:showPercent val="0"/>
          <c:showBubbleSize val="0"/>
        </c:dLbls>
        <c:gapWidth val="100"/>
        <c:overlap val="100"/>
        <c:axId val="327046272"/>
        <c:axId val="327039056"/>
      </c:barChart>
      <c:lineChart>
        <c:grouping val="standard"/>
        <c:varyColors val="0"/>
        <c:ser>
          <c:idx val="3"/>
          <c:order val="3"/>
          <c:tx>
            <c:strRef>
              <c:f>Sheet4!$A$79</c:f>
              <c:strCache>
                <c:ptCount val="1"/>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t" anchorCtr="0">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Sheet4!$B$75:$G$75</c15:sqref>
                  </c15:fullRef>
                </c:ext>
              </c:extLst>
              <c:f>Sheet4!$C$75:$G$75</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Sheet4!$B$79:$G$79</c15:sqref>
                  </c15:fullRef>
                </c:ext>
              </c:extLst>
              <c:f>Sheet4!$C$79:$G$79</c:f>
              <c:numCache>
                <c:formatCode>General</c:formatCode>
                <c:ptCount val="5"/>
                <c:pt idx="0">
                  <c:v>1761692</c:v>
                </c:pt>
                <c:pt idx="1">
                  <c:v>1825100</c:v>
                </c:pt>
                <c:pt idx="2">
                  <c:v>2071939</c:v>
                </c:pt>
                <c:pt idx="3">
                  <c:v>2318005</c:v>
                </c:pt>
                <c:pt idx="4">
                  <c:v>2525156</c:v>
                </c:pt>
              </c:numCache>
            </c:numRef>
          </c:val>
          <c:smooth val="0"/>
          <c:extLst>
            <c:ext xmlns:c16="http://schemas.microsoft.com/office/drawing/2014/chart" uri="{C3380CC4-5D6E-409C-BE32-E72D297353CC}">
              <c16:uniqueId val="{00000015-C2D4-4AAA-AD98-5E1FAD2867F7}"/>
            </c:ext>
          </c:extLst>
        </c:ser>
        <c:dLbls>
          <c:showLegendKey val="0"/>
          <c:showVal val="0"/>
          <c:showCatName val="0"/>
          <c:showSerName val="0"/>
          <c:showPercent val="0"/>
          <c:showBubbleSize val="0"/>
        </c:dLbls>
        <c:marker val="1"/>
        <c:smooth val="0"/>
        <c:axId val="593350416"/>
        <c:axId val="593351400"/>
      </c:lineChart>
      <c:catAx>
        <c:axId val="32704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1000" b="1" i="0" u="none" strike="noStrike" kern="1200" baseline="0">
                <a:solidFill>
                  <a:schemeClr val="tx1">
                    <a:lumMod val="65000"/>
                    <a:lumOff val="35000"/>
                  </a:schemeClr>
                </a:solidFill>
                <a:latin typeface="+mn-lt"/>
                <a:ea typeface="+mn-ea"/>
                <a:cs typeface="+mn-cs"/>
              </a:defRPr>
            </a:pPr>
            <a:endParaRPr lang="en-US"/>
          </a:p>
        </c:txPr>
        <c:crossAx val="327039056"/>
        <c:crosses val="autoZero"/>
        <c:auto val="1"/>
        <c:lblAlgn val="ctr"/>
        <c:lblOffset val="100"/>
        <c:noMultiLvlLbl val="0"/>
      </c:catAx>
      <c:valAx>
        <c:axId val="32703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46272"/>
        <c:crosses val="autoZero"/>
        <c:crossBetween val="between"/>
        <c:dispUnits>
          <c:builtInUnit val="hundredThousands"/>
        </c:dispUnits>
      </c:valAx>
      <c:valAx>
        <c:axId val="593351400"/>
        <c:scaling>
          <c:orientation val="minMax"/>
        </c:scaling>
        <c:delete val="1"/>
        <c:axPos val="r"/>
        <c:numFmt formatCode="General" sourceLinked="1"/>
        <c:majorTickMark val="out"/>
        <c:minorTickMark val="none"/>
        <c:tickLblPos val="nextTo"/>
        <c:crossAx val="593350416"/>
        <c:crosses val="max"/>
        <c:crossBetween val="between"/>
      </c:valAx>
      <c:catAx>
        <c:axId val="593350416"/>
        <c:scaling>
          <c:orientation val="minMax"/>
        </c:scaling>
        <c:delete val="1"/>
        <c:axPos val="b"/>
        <c:numFmt formatCode="General" sourceLinked="1"/>
        <c:majorTickMark val="out"/>
        <c:minorTickMark val="none"/>
        <c:tickLblPos val="nextTo"/>
        <c:crossAx val="5933514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Sheet4!$I$95</c:f>
          <c:strCache>
            <c:ptCount val="1"/>
            <c:pt idx="0">
              <c:v>Total Non Tax Revenue</c:v>
            </c:pt>
          </c:strCache>
        </c:strRef>
      </c:tx>
      <c:layout>
        <c:manualLayout>
          <c:xMode val="edge"/>
          <c:yMode val="edge"/>
          <c:x val="0.2031926004754871"/>
          <c:y val="2.69461077844311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64321855510931E-2"/>
          <c:y val="0.1076799943420246"/>
          <c:w val="0.90111797850577235"/>
          <c:h val="0.754001838842001"/>
        </c:manualLayout>
      </c:layout>
      <c:barChart>
        <c:barDir val="col"/>
        <c:grouping val="stacked"/>
        <c:varyColors val="0"/>
        <c:ser>
          <c:idx val="0"/>
          <c:order val="0"/>
          <c:tx>
            <c:strRef>
              <c:f>Sheet4!$A$92</c:f>
              <c:strCache>
                <c:ptCount val="1"/>
                <c:pt idx="0">
                  <c:v>Interest receipts</c:v>
                </c:pt>
              </c:strCache>
            </c:strRef>
          </c:tx>
          <c:spPr>
            <a:solidFill>
              <a:schemeClr val="accent1"/>
            </a:solidFill>
            <a:ln>
              <a:noFill/>
            </a:ln>
            <a:effectLst/>
          </c:spPr>
          <c:invertIfNegative val="0"/>
          <c:cat>
            <c:strRef>
              <c:extLst>
                <c:ext xmlns:c15="http://schemas.microsoft.com/office/drawing/2012/chart" uri="{02D57815-91ED-43cb-92C2-25804820EDAC}">
                  <c15:fullRef>
                    <c15:sqref>Sheet4!$B$91:$G$91</c15:sqref>
                  </c15:fullRef>
                </c:ext>
              </c:extLst>
              <c:f>Sheet4!$C$91:$G$91</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Sheet4!$B$92:$G$92</c15:sqref>
                  </c15:fullRef>
                </c:ext>
              </c:extLst>
              <c:f>Sheet4!$C$92:$G$92</c:f>
              <c:numCache>
                <c:formatCode>General</c:formatCode>
                <c:ptCount val="5"/>
                <c:pt idx="0">
                  <c:v>16055</c:v>
                </c:pt>
                <c:pt idx="1">
                  <c:v>18870</c:v>
                </c:pt>
                <c:pt idx="2">
                  <c:v>26959</c:v>
                </c:pt>
                <c:pt idx="3">
                  <c:v>29903</c:v>
                </c:pt>
                <c:pt idx="4">
                  <c:v>27976</c:v>
                </c:pt>
              </c:numCache>
            </c:numRef>
          </c:val>
          <c:extLst>
            <c:ext xmlns:c16="http://schemas.microsoft.com/office/drawing/2014/chart" uri="{C3380CC4-5D6E-409C-BE32-E72D297353CC}">
              <c16:uniqueId val="{00000000-7ED6-43E9-A0AD-2F458C0F3E30}"/>
            </c:ext>
          </c:extLst>
        </c:ser>
        <c:ser>
          <c:idx val="1"/>
          <c:order val="1"/>
          <c:tx>
            <c:strRef>
              <c:f>Sheet4!$A$93</c:f>
              <c:strCache>
                <c:ptCount val="1"/>
                <c:pt idx="0">
                  <c:v>Dividends and Profits</c:v>
                </c:pt>
              </c:strCache>
            </c:strRef>
          </c:tx>
          <c:spPr>
            <a:solidFill>
              <a:schemeClr val="accent6">
                <a:lumMod val="75000"/>
              </a:schemeClr>
            </a:solidFill>
            <a:ln>
              <a:noFill/>
            </a:ln>
            <a:effectLst/>
          </c:spPr>
          <c:invertIfNegative val="0"/>
          <c:cat>
            <c:strRef>
              <c:extLst>
                <c:ext xmlns:c15="http://schemas.microsoft.com/office/drawing/2012/chart" uri="{02D57815-91ED-43cb-92C2-25804820EDAC}">
                  <c15:fullRef>
                    <c15:sqref>Sheet4!$B$91:$G$91</c15:sqref>
                  </c15:fullRef>
                </c:ext>
              </c:extLst>
              <c:f>Sheet4!$C$91:$G$91</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Sheet4!$B$93:$G$93</c15:sqref>
                  </c15:fullRef>
                </c:ext>
              </c:extLst>
              <c:f>Sheet4!$C$93:$G$93</c:f>
              <c:numCache>
                <c:formatCode>General</c:formatCode>
                <c:ptCount val="5"/>
                <c:pt idx="0">
                  <c:v>137068</c:v>
                </c:pt>
                <c:pt idx="1">
                  <c:v>76362</c:v>
                </c:pt>
                <c:pt idx="2">
                  <c:v>147232</c:v>
                </c:pt>
                <c:pt idx="3">
                  <c:v>284772</c:v>
                </c:pt>
                <c:pt idx="4">
                  <c:v>350269</c:v>
                </c:pt>
              </c:numCache>
            </c:numRef>
          </c:val>
          <c:extLst>
            <c:ext xmlns:c16="http://schemas.microsoft.com/office/drawing/2014/chart" uri="{C3380CC4-5D6E-409C-BE32-E72D297353CC}">
              <c16:uniqueId val="{00000001-7ED6-43E9-A0AD-2F458C0F3E30}"/>
            </c:ext>
          </c:extLst>
        </c:ser>
        <c:ser>
          <c:idx val="2"/>
          <c:order val="2"/>
          <c:tx>
            <c:strRef>
              <c:f>Sheet4!$A$94</c:f>
              <c:strCache>
                <c:ptCount val="1"/>
                <c:pt idx="0">
                  <c:v>Other Non Tax Receipts</c:v>
                </c:pt>
              </c:strCache>
            </c:strRef>
          </c:tx>
          <c:spPr>
            <a:solidFill>
              <a:schemeClr val="accent3"/>
            </a:solidFill>
            <a:ln>
              <a:noFill/>
            </a:ln>
            <a:effectLst/>
          </c:spPr>
          <c:invertIfNegative val="0"/>
          <c:cat>
            <c:strRef>
              <c:extLst>
                <c:ext xmlns:c15="http://schemas.microsoft.com/office/drawing/2012/chart" uri="{02D57815-91ED-43cb-92C2-25804820EDAC}">
                  <c15:fullRef>
                    <c15:sqref>Sheet4!$B$91:$G$91</c15:sqref>
                  </c15:fullRef>
                </c:ext>
              </c:extLst>
              <c:f>Sheet4!$C$91:$G$91</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Sheet4!$B$94:$G$94</c15:sqref>
                  </c15:fullRef>
                </c:ext>
              </c:extLst>
              <c:f>Sheet4!$C$94:$G$94</c:f>
              <c:numCache>
                <c:formatCode>General</c:formatCode>
                <c:ptCount val="5"/>
                <c:pt idx="0">
                  <c:v>106291</c:v>
                </c:pt>
                <c:pt idx="1">
                  <c:v>119070</c:v>
                </c:pt>
                <c:pt idx="2">
                  <c:v>138167</c:v>
                </c:pt>
                <c:pt idx="3">
                  <c:v>132982</c:v>
                </c:pt>
                <c:pt idx="4">
                  <c:v>161610</c:v>
                </c:pt>
              </c:numCache>
            </c:numRef>
          </c:val>
          <c:extLst>
            <c:ext xmlns:c16="http://schemas.microsoft.com/office/drawing/2014/chart" uri="{C3380CC4-5D6E-409C-BE32-E72D297353CC}">
              <c16:uniqueId val="{00000002-7ED6-43E9-A0AD-2F458C0F3E30}"/>
            </c:ext>
          </c:extLst>
        </c:ser>
        <c:dLbls>
          <c:showLegendKey val="0"/>
          <c:showVal val="0"/>
          <c:showCatName val="0"/>
          <c:showSerName val="0"/>
          <c:showPercent val="0"/>
          <c:showBubbleSize val="0"/>
        </c:dLbls>
        <c:gapWidth val="100"/>
        <c:overlap val="100"/>
        <c:axId val="512420000"/>
        <c:axId val="512420328"/>
      </c:barChart>
      <c:lineChart>
        <c:grouping val="standard"/>
        <c:varyColors val="0"/>
        <c:ser>
          <c:idx val="3"/>
          <c:order val="3"/>
          <c:tx>
            <c:strRef>
              <c:f>Sheet4!$A$95</c:f>
              <c:strCache>
                <c:ptCount val="1"/>
                <c:pt idx="0">
                  <c:v>Total Non Tax Revenue</c:v>
                </c:pt>
              </c:strCache>
            </c:strRef>
          </c:tx>
          <c:spPr>
            <a:ln w="28575" cap="rnd">
              <a:noFill/>
              <a:round/>
            </a:ln>
            <a:effectLst/>
          </c:spPr>
          <c:marker>
            <c:symbol val="none"/>
          </c:marker>
          <c:dLbls>
            <c:dLbl>
              <c:idx val="0"/>
              <c:tx>
                <c:rich>
                  <a:bodyPr/>
                  <a:lstStyle/>
                  <a:p>
                    <a:fld id="{D8CDD590-FFE2-4433-8F0A-45874694126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9B1-4F13-9917-BB136DA93F12}"/>
                </c:ext>
              </c:extLst>
            </c:dLbl>
            <c:dLbl>
              <c:idx val="1"/>
              <c:tx>
                <c:rich>
                  <a:bodyPr/>
                  <a:lstStyle/>
                  <a:p>
                    <a:fld id="{C395696B-13D2-46DC-8FFF-600CD9CFE5E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9B1-4F13-9917-BB136DA93F12}"/>
                </c:ext>
              </c:extLst>
            </c:dLbl>
            <c:dLbl>
              <c:idx val="2"/>
              <c:tx>
                <c:rich>
                  <a:bodyPr/>
                  <a:lstStyle/>
                  <a:p>
                    <a:fld id="{56D33793-0394-41AA-90DE-CC7A9F15935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9B1-4F13-9917-BB136DA93F12}"/>
                </c:ext>
              </c:extLst>
            </c:dLbl>
            <c:dLbl>
              <c:idx val="3"/>
              <c:tx>
                <c:rich>
                  <a:bodyPr/>
                  <a:lstStyle/>
                  <a:p>
                    <a:fld id="{ADCBD7A5-34A5-42FF-8D76-CAC5DC05F8E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9B1-4F13-9917-BB136DA93F12}"/>
                </c:ext>
              </c:extLst>
            </c:dLbl>
            <c:dLbl>
              <c:idx val="4"/>
              <c:tx>
                <c:rich>
                  <a:bodyPr/>
                  <a:lstStyle/>
                  <a:p>
                    <a:fld id="{EEFA7FEA-5CC2-497B-B3B5-6EA8D82B2895}"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9B1-4F13-9917-BB136DA93F1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Sheet4!$B$91:$G$91</c15:sqref>
                  </c15:fullRef>
                </c:ext>
              </c:extLst>
              <c:f>Sheet4!$C$91:$G$91</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Sheet4!$B$95:$G$95</c15:sqref>
                  </c15:fullRef>
                </c:ext>
              </c:extLst>
              <c:f>Sheet4!$C$95:$G$95</c:f>
              <c:numCache>
                <c:formatCode>General</c:formatCode>
                <c:ptCount val="5"/>
                <c:pt idx="0">
                  <c:v>259414</c:v>
                </c:pt>
                <c:pt idx="1">
                  <c:v>214302</c:v>
                </c:pt>
                <c:pt idx="2">
                  <c:v>312358</c:v>
                </c:pt>
                <c:pt idx="3">
                  <c:v>447657</c:v>
                </c:pt>
                <c:pt idx="4">
                  <c:v>539855</c:v>
                </c:pt>
              </c:numCache>
            </c:numRef>
          </c:val>
          <c:smooth val="0"/>
          <c:extLst>
            <c:ext xmlns:c15="http://schemas.microsoft.com/office/drawing/2012/chart" uri="{02D57815-91ED-43cb-92C2-25804820EDAC}">
              <c15:datalabelsRange>
                <c15:f>Sheet4!$B$95:$G$95</c15:f>
                <c15:dlblRangeCache>
                  <c:ptCount val="6"/>
                  <c:pt idx="0">
                    <c:v>126181</c:v>
                  </c:pt>
                  <c:pt idx="1">
                    <c:v>259414</c:v>
                  </c:pt>
                  <c:pt idx="2">
                    <c:v>214302</c:v>
                  </c:pt>
                  <c:pt idx="3">
                    <c:v>312358</c:v>
                  </c:pt>
                  <c:pt idx="4">
                    <c:v>447657</c:v>
                  </c:pt>
                  <c:pt idx="5">
                    <c:v>539855</c:v>
                  </c:pt>
                </c15:dlblRangeCache>
              </c15:datalabelsRange>
            </c:ext>
            <c:ext xmlns:c16="http://schemas.microsoft.com/office/drawing/2014/chart" uri="{C3380CC4-5D6E-409C-BE32-E72D297353CC}">
              <c16:uniqueId val="{00000003-7ED6-43E9-A0AD-2F458C0F3E30}"/>
            </c:ext>
          </c:extLst>
        </c:ser>
        <c:dLbls>
          <c:showLegendKey val="0"/>
          <c:showVal val="0"/>
          <c:showCatName val="0"/>
          <c:showSerName val="0"/>
          <c:showPercent val="0"/>
          <c:showBubbleSize val="0"/>
        </c:dLbls>
        <c:marker val="1"/>
        <c:smooth val="0"/>
        <c:axId val="512420000"/>
        <c:axId val="512420328"/>
      </c:lineChart>
      <c:catAx>
        <c:axId val="51242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12420328"/>
        <c:crosses val="autoZero"/>
        <c:auto val="1"/>
        <c:lblAlgn val="ctr"/>
        <c:lblOffset val="100"/>
        <c:noMultiLvlLbl val="0"/>
      </c:catAx>
      <c:valAx>
        <c:axId val="512420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420000"/>
        <c:crosses val="autoZero"/>
        <c:crossBetween val="between"/>
        <c:dispUnits>
          <c:builtInUnit val="hundred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Sheet4!$I$100</c:f>
          <c:strCache>
            <c:ptCount val="1"/>
            <c:pt idx="0">
              <c:v>Non Debt Capital Receipts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920586994161906E-2"/>
          <c:y val="0.11319894191681169"/>
          <c:w val="0.93877388379207471"/>
          <c:h val="0.74399726867768623"/>
        </c:manualLayout>
      </c:layout>
      <c:barChart>
        <c:barDir val="col"/>
        <c:grouping val="stacked"/>
        <c:varyColors val="0"/>
        <c:ser>
          <c:idx val="0"/>
          <c:order val="0"/>
          <c:tx>
            <c:strRef>
              <c:f>Sheet4!$A$98</c:f>
              <c:strCache>
                <c:ptCount val="1"/>
                <c:pt idx="0">
                  <c:v>Recovery of Loans &amp; Advances</c:v>
                </c:pt>
              </c:strCache>
            </c:strRef>
          </c:tx>
          <c:spPr>
            <a:solidFill>
              <a:schemeClr val="accent1"/>
            </a:solidFill>
            <a:ln>
              <a:noFill/>
            </a:ln>
            <a:effectLst/>
          </c:spPr>
          <c:invertIfNegative val="0"/>
          <c:cat>
            <c:strRef>
              <c:extLst>
                <c:ext xmlns:c15="http://schemas.microsoft.com/office/drawing/2012/chart" uri="{02D57815-91ED-43cb-92C2-25804820EDAC}">
                  <c15:fullRef>
                    <c15:sqref>Sheet4!$B$91:$G$91</c15:sqref>
                  </c15:fullRef>
                </c:ext>
              </c:extLst>
              <c:f>Sheet4!$C$91:$G$91</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Sheet4!$B$98:$G$98</c15:sqref>
                  </c15:fullRef>
                </c:ext>
              </c:extLst>
              <c:f>Sheet4!$C$98:$G$98</c:f>
              <c:numCache>
                <c:formatCode>General</c:formatCode>
                <c:ptCount val="5"/>
                <c:pt idx="0">
                  <c:v>19105</c:v>
                </c:pt>
                <c:pt idx="1">
                  <c:v>16435</c:v>
                </c:pt>
                <c:pt idx="2">
                  <c:v>19597</c:v>
                </c:pt>
                <c:pt idx="3">
                  <c:v>18301</c:v>
                </c:pt>
                <c:pt idx="4">
                  <c:v>18226</c:v>
                </c:pt>
              </c:numCache>
            </c:numRef>
          </c:val>
          <c:extLst>
            <c:ext xmlns:c16="http://schemas.microsoft.com/office/drawing/2014/chart" uri="{C3380CC4-5D6E-409C-BE32-E72D297353CC}">
              <c16:uniqueId val="{00000000-FD35-4A67-8E5F-9FE1D2288183}"/>
            </c:ext>
          </c:extLst>
        </c:ser>
        <c:ser>
          <c:idx val="1"/>
          <c:order val="1"/>
          <c:tx>
            <c:strRef>
              <c:f>Sheet4!$A$99</c:f>
              <c:strCache>
                <c:ptCount val="1"/>
                <c:pt idx="0">
                  <c:v>Misc. Capital Receipts</c:v>
                </c:pt>
              </c:strCache>
            </c:strRef>
          </c:tx>
          <c:spPr>
            <a:solidFill>
              <a:schemeClr val="accent6">
                <a:lumMod val="75000"/>
              </a:schemeClr>
            </a:solidFill>
            <a:ln>
              <a:noFill/>
            </a:ln>
            <a:effectLst/>
          </c:spPr>
          <c:invertIfNegative val="0"/>
          <c:cat>
            <c:strRef>
              <c:extLst>
                <c:ext xmlns:c15="http://schemas.microsoft.com/office/drawing/2012/chart" uri="{02D57815-91ED-43cb-92C2-25804820EDAC}">
                  <c15:fullRef>
                    <c15:sqref>Sheet4!$B$91:$G$91</c15:sqref>
                  </c15:fullRef>
                </c:ext>
              </c:extLst>
              <c:f>Sheet4!$C$91:$G$91</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Sheet4!$B$99:$G$99</c15:sqref>
                  </c15:fullRef>
                </c:ext>
              </c:extLst>
              <c:f>Sheet4!$C$99:$G$99</c:f>
              <c:numCache>
                <c:formatCode>General</c:formatCode>
                <c:ptCount val="5"/>
                <c:pt idx="0">
                  <c:v>9364</c:v>
                </c:pt>
                <c:pt idx="1">
                  <c:v>38671</c:v>
                </c:pt>
                <c:pt idx="2">
                  <c:v>10053</c:v>
                </c:pt>
                <c:pt idx="3">
                  <c:v>8994</c:v>
                </c:pt>
                <c:pt idx="4">
                  <c:v>27821</c:v>
                </c:pt>
              </c:numCache>
            </c:numRef>
          </c:val>
          <c:extLst>
            <c:ext xmlns:c16="http://schemas.microsoft.com/office/drawing/2014/chart" uri="{C3380CC4-5D6E-409C-BE32-E72D297353CC}">
              <c16:uniqueId val="{00000001-FD35-4A67-8E5F-9FE1D2288183}"/>
            </c:ext>
          </c:extLst>
        </c:ser>
        <c:dLbls>
          <c:showLegendKey val="0"/>
          <c:showVal val="0"/>
          <c:showCatName val="0"/>
          <c:showSerName val="0"/>
          <c:showPercent val="0"/>
          <c:showBubbleSize val="0"/>
        </c:dLbls>
        <c:gapWidth val="100"/>
        <c:overlap val="100"/>
        <c:axId val="512420000"/>
        <c:axId val="512420328"/>
      </c:barChart>
      <c:lineChart>
        <c:grouping val="standard"/>
        <c:varyColors val="0"/>
        <c:ser>
          <c:idx val="2"/>
          <c:order val="2"/>
          <c:tx>
            <c:strRef>
              <c:f>Sheet4!$A$100</c:f>
              <c:strCache>
                <c:ptCount val="1"/>
                <c:pt idx="0">
                  <c:v>Non Debt Capital Receipts</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t"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Sheet4!$B$91:$G$91</c15:sqref>
                  </c15:fullRef>
                </c:ext>
              </c:extLst>
              <c:f>Sheet4!$C$91:$G$91</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Sheet4!$B$100:$G$100</c15:sqref>
                  </c15:fullRef>
                </c:ext>
              </c:extLst>
              <c:f>Sheet4!$C$100:$G$100</c:f>
              <c:numCache>
                <c:formatCode>General</c:formatCode>
                <c:ptCount val="5"/>
                <c:pt idx="0">
                  <c:v>28469</c:v>
                </c:pt>
                <c:pt idx="1">
                  <c:v>55106</c:v>
                </c:pt>
                <c:pt idx="2">
                  <c:v>29650</c:v>
                </c:pt>
                <c:pt idx="3">
                  <c:v>27295</c:v>
                </c:pt>
                <c:pt idx="4">
                  <c:v>46047</c:v>
                </c:pt>
              </c:numCache>
            </c:numRef>
          </c:val>
          <c:smooth val="0"/>
          <c:extLst>
            <c:ext xmlns:c16="http://schemas.microsoft.com/office/drawing/2014/chart" uri="{C3380CC4-5D6E-409C-BE32-E72D297353CC}">
              <c16:uniqueId val="{00000002-FD35-4A67-8E5F-9FE1D2288183}"/>
            </c:ext>
          </c:extLst>
        </c:ser>
        <c:dLbls>
          <c:showLegendKey val="0"/>
          <c:showVal val="0"/>
          <c:showCatName val="0"/>
          <c:showSerName val="0"/>
          <c:showPercent val="0"/>
          <c:showBubbleSize val="0"/>
        </c:dLbls>
        <c:marker val="1"/>
        <c:smooth val="0"/>
        <c:axId val="520875008"/>
        <c:axId val="520869760"/>
      </c:lineChart>
      <c:catAx>
        <c:axId val="51242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12420328"/>
        <c:crosses val="autoZero"/>
        <c:auto val="1"/>
        <c:lblAlgn val="ctr"/>
        <c:lblOffset val="100"/>
        <c:noMultiLvlLbl val="0"/>
      </c:catAx>
      <c:valAx>
        <c:axId val="512420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420000"/>
        <c:crosses val="autoZero"/>
        <c:crossBetween val="between"/>
        <c:dispUnits>
          <c:builtInUnit val="hundredThousands"/>
        </c:dispUnits>
      </c:valAx>
      <c:valAx>
        <c:axId val="520869760"/>
        <c:scaling>
          <c:orientation val="minMax"/>
        </c:scaling>
        <c:delete val="1"/>
        <c:axPos val="r"/>
        <c:numFmt formatCode="General" sourceLinked="1"/>
        <c:majorTickMark val="out"/>
        <c:minorTickMark val="none"/>
        <c:tickLblPos val="nextTo"/>
        <c:crossAx val="520875008"/>
        <c:crosses val="max"/>
        <c:crossBetween val="between"/>
      </c:valAx>
      <c:catAx>
        <c:axId val="520875008"/>
        <c:scaling>
          <c:orientation val="minMax"/>
        </c:scaling>
        <c:delete val="1"/>
        <c:axPos val="b"/>
        <c:numFmt formatCode="General" sourceLinked="1"/>
        <c:majorTickMark val="out"/>
        <c:minorTickMark val="none"/>
        <c:tickLblPos val="nextTo"/>
        <c:crossAx val="520869760"/>
        <c:crosses val="autoZero"/>
        <c:auto val="1"/>
        <c:lblAlgn val="ctr"/>
        <c:lblOffset val="100"/>
        <c:noMultiLvlLbl val="0"/>
      </c:catAx>
      <c:spPr>
        <a:noFill/>
        <a:ln>
          <a:noFill/>
        </a:ln>
        <a:effectLst/>
      </c:spPr>
    </c:plotArea>
    <c:plotVisOnly val="1"/>
    <c:dispBlanksAs val="gap"/>
    <c:showDLblsOverMax val="0"/>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Sheet4!$I$89</c:f>
          <c:strCache>
            <c:ptCount val="1"/>
            <c:pt idx="0">
              <c:v>Gross Tax Revenue</c:v>
            </c:pt>
          </c:strCache>
        </c:strRef>
      </c:tx>
      <c:layout>
        <c:manualLayout>
          <c:xMode val="edge"/>
          <c:yMode val="edge"/>
          <c:x val="0.25080640298413276"/>
          <c:y val="1.72614756488772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249570540102793E-2"/>
          <c:y val="9.211851851851853E-2"/>
          <c:w val="0.9288172148561572"/>
          <c:h val="0.75402438028579766"/>
        </c:manualLayout>
      </c:layout>
      <c:barChart>
        <c:barDir val="col"/>
        <c:grouping val="stacked"/>
        <c:varyColors val="0"/>
        <c:ser>
          <c:idx val="0"/>
          <c:order val="0"/>
          <c:tx>
            <c:strRef>
              <c:f>Sheet4!$A$87</c:f>
              <c:strCache>
                <c:ptCount val="1"/>
                <c:pt idx="0">
                  <c:v>Dev to States &amp; NCCD</c:v>
                </c:pt>
              </c:strCache>
            </c:strRef>
          </c:tx>
          <c:spPr>
            <a:solidFill>
              <a:schemeClr val="accent6">
                <a:lumMod val="75000"/>
              </a:schemeClr>
            </a:solidFill>
            <a:ln>
              <a:noFill/>
            </a:ln>
            <a:effectLst/>
          </c:spPr>
          <c:invertIfNegative val="0"/>
          <c:dLbls>
            <c:dLbl>
              <c:idx val="0"/>
              <c:tx>
                <c:rich>
                  <a:bodyPr/>
                  <a:lstStyle/>
                  <a:p>
                    <a:fld id="{8325412E-118C-45A8-B92D-AA36EB84802A}"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71E-4D1D-9AC2-983B8F5B10B6}"/>
                </c:ext>
              </c:extLst>
            </c:dLbl>
            <c:dLbl>
              <c:idx val="1"/>
              <c:tx>
                <c:rich>
                  <a:bodyPr/>
                  <a:lstStyle/>
                  <a:p>
                    <a:fld id="{0B914875-FF06-4773-AAE4-04623A747A0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71E-4D1D-9AC2-983B8F5B10B6}"/>
                </c:ext>
              </c:extLst>
            </c:dLbl>
            <c:dLbl>
              <c:idx val="2"/>
              <c:tx>
                <c:rich>
                  <a:bodyPr/>
                  <a:lstStyle/>
                  <a:p>
                    <a:fld id="{A19593EE-6C77-40EB-9BE7-96EFB790F47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71E-4D1D-9AC2-983B8F5B10B6}"/>
                </c:ext>
              </c:extLst>
            </c:dLbl>
            <c:dLbl>
              <c:idx val="3"/>
              <c:tx>
                <c:rich>
                  <a:bodyPr/>
                  <a:lstStyle/>
                  <a:p>
                    <a:fld id="{B90F2B02-027E-4FEB-947B-ABBD3EC6956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71E-4D1D-9AC2-983B8F5B10B6}"/>
                </c:ext>
              </c:extLst>
            </c:dLbl>
            <c:dLbl>
              <c:idx val="4"/>
              <c:tx>
                <c:rich>
                  <a:bodyPr/>
                  <a:lstStyle/>
                  <a:p>
                    <a:fld id="{12D54244-1B5F-494E-B093-94EE1BAC484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71E-4D1D-9AC2-983B8F5B10B6}"/>
                </c:ext>
              </c:extLst>
            </c:dLbl>
            <c:spPr>
              <a:noFill/>
              <a:ln>
                <a:noFill/>
              </a:ln>
              <a:effectLst/>
            </c:spPr>
            <c:txPr>
              <a:bodyPr rot="-5400000" spcFirstLastPara="1" vertOverflow="ellipsis"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Sheet4!$B$1:$G$1</c15:sqref>
                  </c15:fullRef>
                </c:ext>
              </c:extLst>
              <c:f>Sheet4!$C$1:$G$1</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Sheet4!$B$87:$G$87</c15:sqref>
                  </c15:fullRef>
                </c:ext>
              </c:extLst>
              <c:f>Sheet4!$C$87:$G$87</c:f>
              <c:numCache>
                <c:formatCode>General</c:formatCode>
                <c:ptCount val="5"/>
                <c:pt idx="0">
                  <c:v>455186</c:v>
                </c:pt>
                <c:pt idx="1">
                  <c:v>615006</c:v>
                </c:pt>
                <c:pt idx="2">
                  <c:v>752568</c:v>
                </c:pt>
                <c:pt idx="3">
                  <c:v>907375</c:v>
                </c:pt>
                <c:pt idx="4">
                  <c:v>1045013</c:v>
                </c:pt>
              </c:numCache>
            </c:numRef>
          </c:val>
          <c:extLst>
            <c:ext xmlns:c15="http://schemas.microsoft.com/office/drawing/2012/chart" uri="{02D57815-91ED-43cb-92C2-25804820EDAC}">
              <c15:datalabelsRange>
                <c15:f>Sheet4!$B$87:$G$87</c15:f>
                <c15:dlblRangeCache>
                  <c:ptCount val="6"/>
                  <c:pt idx="0">
                    <c:v>375727</c:v>
                  </c:pt>
                  <c:pt idx="1">
                    <c:v>455186</c:v>
                  </c:pt>
                  <c:pt idx="2">
                    <c:v>615006</c:v>
                  </c:pt>
                  <c:pt idx="3">
                    <c:v>752568</c:v>
                  </c:pt>
                  <c:pt idx="4">
                    <c:v>907375</c:v>
                  </c:pt>
                  <c:pt idx="5">
                    <c:v>1045013</c:v>
                  </c:pt>
                </c15:dlblRangeCache>
              </c15:datalabelsRange>
            </c:ext>
            <c:ext xmlns:c16="http://schemas.microsoft.com/office/drawing/2014/chart" uri="{C3380CC4-5D6E-409C-BE32-E72D297353CC}">
              <c16:uniqueId val="{00000006-A71E-4D1D-9AC2-983B8F5B10B6}"/>
            </c:ext>
          </c:extLst>
        </c:ser>
        <c:ser>
          <c:idx val="1"/>
          <c:order val="1"/>
          <c:tx>
            <c:strRef>
              <c:f>Sheet4!$A$88</c:f>
              <c:strCache>
                <c:ptCount val="1"/>
                <c:pt idx="0">
                  <c:v>Net Tax Revenue</c:v>
                </c:pt>
              </c:strCache>
            </c:strRef>
          </c:tx>
          <c:spPr>
            <a:solidFill>
              <a:schemeClr val="accent1"/>
            </a:solidFill>
            <a:ln>
              <a:noFill/>
            </a:ln>
            <a:effectLst/>
          </c:spPr>
          <c:invertIfNegative val="0"/>
          <c:dLbls>
            <c:dLbl>
              <c:idx val="0"/>
              <c:tx>
                <c:rich>
                  <a:bodyPr/>
                  <a:lstStyle/>
                  <a:p>
                    <a:fld id="{DAC3D77E-8645-469E-BB68-8683C0C4DBC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71E-4D1D-9AC2-983B8F5B10B6}"/>
                </c:ext>
              </c:extLst>
            </c:dLbl>
            <c:dLbl>
              <c:idx val="1"/>
              <c:tx>
                <c:rich>
                  <a:bodyPr/>
                  <a:lstStyle/>
                  <a:p>
                    <a:fld id="{52D53AFE-D902-46ED-ACED-1DC3CBB3DA8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71E-4D1D-9AC2-983B8F5B10B6}"/>
                </c:ext>
              </c:extLst>
            </c:dLbl>
            <c:dLbl>
              <c:idx val="2"/>
              <c:tx>
                <c:rich>
                  <a:bodyPr/>
                  <a:lstStyle/>
                  <a:p>
                    <a:fld id="{DDAE62D5-73BB-434C-BAC6-0E5749EE84A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71E-4D1D-9AC2-983B8F5B10B6}"/>
                </c:ext>
              </c:extLst>
            </c:dLbl>
            <c:dLbl>
              <c:idx val="3"/>
              <c:tx>
                <c:rich>
                  <a:bodyPr/>
                  <a:lstStyle/>
                  <a:p>
                    <a:fld id="{3D766AF9-B9B6-4E84-85B5-DC191DD5CB3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71E-4D1D-9AC2-983B8F5B10B6}"/>
                </c:ext>
              </c:extLst>
            </c:dLbl>
            <c:dLbl>
              <c:idx val="4"/>
              <c:tx>
                <c:rich>
                  <a:bodyPr/>
                  <a:lstStyle/>
                  <a:p>
                    <a:fld id="{6DBC3814-CC4B-43ED-9F74-C939059540FA}"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71E-4D1D-9AC2-983B8F5B10B6}"/>
                </c:ext>
              </c:extLst>
            </c:dLbl>
            <c:spPr>
              <a:noFill/>
              <a:ln>
                <a:noFill/>
              </a:ln>
              <a:effectLst/>
            </c:spPr>
            <c:txPr>
              <a:bodyPr rot="-5400000" spcFirstLastPara="1" vertOverflow="ellipsis"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Sheet4!$B$1:$G$1</c15:sqref>
                  </c15:fullRef>
                </c:ext>
              </c:extLst>
              <c:f>Sheet4!$C$1:$G$1</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Sheet4!$B$88:$G$88</c15:sqref>
                  </c15:fullRef>
                </c:ext>
              </c:extLst>
              <c:f>Sheet4!$C$88:$G$88</c:f>
              <c:numCache>
                <c:formatCode>General</c:formatCode>
                <c:ptCount val="5"/>
                <c:pt idx="0">
                  <c:v>1473809</c:v>
                </c:pt>
                <c:pt idx="1">
                  <c:v>1555692</c:v>
                </c:pt>
                <c:pt idx="2">
                  <c:v>1729931</c:v>
                </c:pt>
                <c:pt idx="3">
                  <c:v>1843053</c:v>
                </c:pt>
                <c:pt idx="4">
                  <c:v>1939254</c:v>
                </c:pt>
              </c:numCache>
            </c:numRef>
          </c:val>
          <c:extLst>
            <c:ext xmlns:c15="http://schemas.microsoft.com/office/drawing/2012/chart" uri="{02D57815-91ED-43cb-92C2-25804820EDAC}">
              <c15:datalabelsRange>
                <c15:f>Sheet4!$B$88:$G$88</c15:f>
                <c15:dlblRangeCache>
                  <c:ptCount val="6"/>
                  <c:pt idx="0">
                    <c:v>962399</c:v>
                  </c:pt>
                  <c:pt idx="1">
                    <c:v>1473809</c:v>
                  </c:pt>
                  <c:pt idx="2">
                    <c:v>1555692</c:v>
                  </c:pt>
                  <c:pt idx="3">
                    <c:v>1729931</c:v>
                  </c:pt>
                  <c:pt idx="4">
                    <c:v>1843053</c:v>
                  </c:pt>
                  <c:pt idx="5">
                    <c:v>1939254</c:v>
                  </c:pt>
                </c15:dlblRangeCache>
              </c15:datalabelsRange>
            </c:ext>
            <c:ext xmlns:c16="http://schemas.microsoft.com/office/drawing/2014/chart" uri="{C3380CC4-5D6E-409C-BE32-E72D297353CC}">
              <c16:uniqueId val="{0000000D-A71E-4D1D-9AC2-983B8F5B10B6}"/>
            </c:ext>
          </c:extLst>
        </c:ser>
        <c:dLbls>
          <c:showLegendKey val="0"/>
          <c:showVal val="0"/>
          <c:showCatName val="0"/>
          <c:showSerName val="0"/>
          <c:showPercent val="0"/>
          <c:showBubbleSize val="0"/>
        </c:dLbls>
        <c:gapWidth val="100"/>
        <c:overlap val="100"/>
        <c:axId val="593357632"/>
        <c:axId val="593348448"/>
      </c:barChart>
      <c:lineChart>
        <c:grouping val="standard"/>
        <c:varyColors val="0"/>
        <c:ser>
          <c:idx val="2"/>
          <c:order val="2"/>
          <c:tx>
            <c:strRef>
              <c:f>Sheet4!$A$89</c:f>
              <c:strCache>
                <c:ptCount val="1"/>
                <c:pt idx="0">
                  <c:v>Gross Tax Revenue</c:v>
                </c:pt>
              </c:strCache>
            </c:strRef>
          </c:tx>
          <c:spPr>
            <a:ln w="28575" cap="rnd">
              <a:noFill/>
              <a:round/>
            </a:ln>
            <a:effectLst/>
          </c:spPr>
          <c:marker>
            <c:symbol val="circle"/>
            <c:size val="5"/>
            <c:spPr>
              <a:noFill/>
              <a:ln w="9525">
                <a:noFill/>
              </a:ln>
              <a:effectLst/>
            </c:spPr>
          </c:marker>
          <c:dLbls>
            <c:dLbl>
              <c:idx val="0"/>
              <c:tx>
                <c:rich>
                  <a:bodyPr/>
                  <a:lstStyle/>
                  <a:p>
                    <a:fld id="{FD43CDEF-68D3-4F70-B325-EFF344B1162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71E-4D1D-9AC2-983B8F5B10B6}"/>
                </c:ext>
              </c:extLst>
            </c:dLbl>
            <c:dLbl>
              <c:idx val="1"/>
              <c:tx>
                <c:rich>
                  <a:bodyPr/>
                  <a:lstStyle/>
                  <a:p>
                    <a:fld id="{8F2F46B0-EF7C-44B2-B017-DEFE3350585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A71E-4D1D-9AC2-983B8F5B10B6}"/>
                </c:ext>
              </c:extLst>
            </c:dLbl>
            <c:dLbl>
              <c:idx val="2"/>
              <c:tx>
                <c:rich>
                  <a:bodyPr/>
                  <a:lstStyle/>
                  <a:p>
                    <a:fld id="{FEE2D445-2BBD-4B1A-A32D-0F0F03C2CC8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A71E-4D1D-9AC2-983B8F5B10B6}"/>
                </c:ext>
              </c:extLst>
            </c:dLbl>
            <c:dLbl>
              <c:idx val="3"/>
              <c:tx>
                <c:rich>
                  <a:bodyPr/>
                  <a:lstStyle/>
                  <a:p>
                    <a:fld id="{33C6C94B-AEC9-4CFF-8419-9E63C92E476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A71E-4D1D-9AC2-983B8F5B10B6}"/>
                </c:ext>
              </c:extLst>
            </c:dLbl>
            <c:dLbl>
              <c:idx val="4"/>
              <c:tx>
                <c:rich>
                  <a:bodyPr/>
                  <a:lstStyle/>
                  <a:p>
                    <a:fld id="{4306BE4B-11E6-401A-BD65-2D6938142C8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A71E-4D1D-9AC2-983B8F5B10B6}"/>
                </c:ext>
              </c:extLst>
            </c:dLbl>
            <c:spPr>
              <a:noFill/>
              <a:ln>
                <a:noFill/>
              </a:ln>
              <a:effectLst/>
            </c:spPr>
            <c:txPr>
              <a:bodyPr rot="0" spcFirstLastPara="1" vertOverflow="ellipsis" vert="horz" wrap="square" lIns="38100" tIns="19050" rIns="38100" bIns="19050" anchor="t" anchorCtr="0">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Sheet4!$B$1:$G$1</c15:sqref>
                  </c15:fullRef>
                </c:ext>
              </c:extLst>
              <c:f>Sheet4!$C$1:$G$1</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Sheet4!$B$89:$G$89</c15:sqref>
                  </c15:fullRef>
                </c:ext>
              </c:extLst>
              <c:f>Sheet4!$C$89:$G$89</c:f>
              <c:numCache>
                <c:formatCode>General</c:formatCode>
                <c:ptCount val="5"/>
                <c:pt idx="0">
                  <c:v>1928995</c:v>
                </c:pt>
                <c:pt idx="1">
                  <c:v>2170698</c:v>
                </c:pt>
                <c:pt idx="2">
                  <c:v>2482499</c:v>
                </c:pt>
                <c:pt idx="3">
                  <c:v>2750428</c:v>
                </c:pt>
                <c:pt idx="4">
                  <c:v>2984267</c:v>
                </c:pt>
              </c:numCache>
            </c:numRef>
          </c:val>
          <c:smooth val="0"/>
          <c:extLst>
            <c:ext xmlns:c15="http://schemas.microsoft.com/office/drawing/2012/chart" uri="{02D57815-91ED-43cb-92C2-25804820EDAC}">
              <c15:datalabelsRange>
                <c15:f>Sheet4!$B$89:$G$89</c15:f>
                <c15:dlblRangeCache>
                  <c:ptCount val="6"/>
                  <c:pt idx="0">
                    <c:v>1338126</c:v>
                  </c:pt>
                  <c:pt idx="1">
                    <c:v>1928995</c:v>
                  </c:pt>
                  <c:pt idx="2">
                    <c:v>2170698</c:v>
                  </c:pt>
                  <c:pt idx="3">
                    <c:v>2482499</c:v>
                  </c:pt>
                  <c:pt idx="4">
                    <c:v>2750428</c:v>
                  </c:pt>
                  <c:pt idx="5">
                    <c:v>2984267</c:v>
                  </c:pt>
                </c15:dlblRangeCache>
              </c15:datalabelsRange>
            </c:ext>
            <c:ext xmlns:c16="http://schemas.microsoft.com/office/drawing/2014/chart" uri="{C3380CC4-5D6E-409C-BE32-E72D297353CC}">
              <c16:uniqueId val="{00000014-A71E-4D1D-9AC2-983B8F5B10B6}"/>
            </c:ext>
          </c:extLst>
        </c:ser>
        <c:dLbls>
          <c:showLegendKey val="0"/>
          <c:showVal val="0"/>
          <c:showCatName val="0"/>
          <c:showSerName val="0"/>
          <c:showPercent val="0"/>
          <c:showBubbleSize val="0"/>
        </c:dLbls>
        <c:marker val="1"/>
        <c:smooth val="0"/>
        <c:axId val="593360256"/>
        <c:axId val="593353368"/>
      </c:lineChart>
      <c:valAx>
        <c:axId val="593348448"/>
        <c:scaling>
          <c:orientation val="minMax"/>
        </c:scaling>
        <c:delete val="1"/>
        <c:axPos val="r"/>
        <c:numFmt formatCode="General" sourceLinked="1"/>
        <c:majorTickMark val="out"/>
        <c:minorTickMark val="none"/>
        <c:tickLblPos val="nextTo"/>
        <c:crossAx val="593357632"/>
        <c:crosses val="max"/>
        <c:crossBetween val="between"/>
      </c:valAx>
      <c:catAx>
        <c:axId val="5933576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93348448"/>
        <c:crosses val="autoZero"/>
        <c:auto val="1"/>
        <c:lblAlgn val="ctr"/>
        <c:lblOffset val="100"/>
        <c:noMultiLvlLbl val="0"/>
      </c:catAx>
      <c:valAx>
        <c:axId val="593353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60256"/>
        <c:crosses val="autoZero"/>
        <c:crossBetween val="between"/>
        <c:dispUnits>
          <c:builtInUnit val="hundredThousands"/>
        </c:dispUnits>
      </c:valAx>
      <c:catAx>
        <c:axId val="593360256"/>
        <c:scaling>
          <c:orientation val="minMax"/>
        </c:scaling>
        <c:delete val="1"/>
        <c:axPos val="b"/>
        <c:numFmt formatCode="General" sourceLinked="1"/>
        <c:majorTickMark val="out"/>
        <c:minorTickMark val="none"/>
        <c:tickLblPos val="nextTo"/>
        <c:crossAx val="5933533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latin typeface="Calibri" panose="020F0502020204030204" pitchFamily="34" charset="0"/>
                <a:ea typeface="Calibri" panose="020F0502020204030204" pitchFamily="34" charset="0"/>
                <a:cs typeface="Calibri" panose="020F0502020204030204" pitchFamily="34" charset="0"/>
              </a:rPr>
              <a:t>% to GDP</a:t>
            </a:r>
          </a:p>
        </c:rich>
      </c:tx>
      <c:layout>
        <c:manualLayout>
          <c:xMode val="edge"/>
          <c:yMode val="edge"/>
          <c:x val="0.42138628860618427"/>
          <c:y val="2.60455370521519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lineChart>
        <c:grouping val="standard"/>
        <c:varyColors val="0"/>
        <c:ser>
          <c:idx val="1"/>
          <c:order val="0"/>
          <c:tx>
            <c:strRef>
              <c:f>Sheet4!$A$109</c:f>
              <c:strCache>
                <c:ptCount val="1"/>
                <c:pt idx="0">
                  <c:v>Revenue Expenditure</c:v>
                </c:pt>
              </c:strCache>
            </c:strRef>
          </c:tx>
          <c:spPr>
            <a:ln w="28575" cap="rnd">
              <a:solidFill>
                <a:schemeClr val="accent1"/>
              </a:solidFill>
              <a:round/>
            </a:ln>
            <a:effectLst/>
          </c:spPr>
          <c:marker>
            <c:symbol val="none"/>
          </c:marker>
          <c:dLbls>
            <c:dLbl>
              <c:idx val="0"/>
              <c:tx>
                <c:rich>
                  <a:bodyPr/>
                  <a:lstStyle/>
                  <a:p>
                    <a:fld id="{48BD4429-48AF-4632-935D-F9A51873F3EC}"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F3-4302-82A8-FF7DED647779}"/>
                </c:ext>
              </c:extLst>
            </c:dLbl>
            <c:dLbl>
              <c:idx val="1"/>
              <c:tx>
                <c:rich>
                  <a:bodyPr/>
                  <a:lstStyle/>
                  <a:p>
                    <a:fld id="{BAD804FB-725C-446F-BDCE-96CBA9D151D8}"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9F3-4302-82A8-FF7DED647779}"/>
                </c:ext>
              </c:extLst>
            </c:dLbl>
            <c:dLbl>
              <c:idx val="2"/>
              <c:tx>
                <c:rich>
                  <a:bodyPr/>
                  <a:lstStyle/>
                  <a:p>
                    <a:fld id="{60FA6EA6-A760-4551-9F33-ED8F05FFC948}"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9F3-4302-82A8-FF7DED647779}"/>
                </c:ext>
              </c:extLst>
            </c:dLbl>
            <c:dLbl>
              <c:idx val="3"/>
              <c:tx>
                <c:rich>
                  <a:bodyPr/>
                  <a:lstStyle/>
                  <a:p>
                    <a:fld id="{3DED65D0-B3AF-4DBE-A6DF-F8A202C260FC}"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9F3-4302-82A8-FF7DED647779}"/>
                </c:ext>
              </c:extLst>
            </c:dLbl>
            <c:dLbl>
              <c:idx val="4"/>
              <c:tx>
                <c:rich>
                  <a:bodyPr/>
                  <a:lstStyle/>
                  <a:p>
                    <a:fld id="{9B7405A8-A120-4CD2-8BC3-1FBE830B1007}"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9F3-4302-82A8-FF7DED64777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Sheet4!$B$108:$G$108</c15:sqref>
                  </c15:fullRef>
                </c:ext>
              </c:extLst>
              <c:f>Sheet4!$C$108:$G$108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Sheet4!$B$109:$G$109</c15:sqref>
                  </c15:fullRef>
                </c:ext>
              </c:extLst>
              <c:f>Sheet4!$C$109:$G$109</c:f>
              <c:numCache>
                <c:formatCode>0.0%</c:formatCode>
                <c:ptCount val="5"/>
                <c:pt idx="0">
                  <c:v>9.0239352226912803E-2</c:v>
                </c:pt>
                <c:pt idx="1">
                  <c:v>8.6388221945475643E-2</c:v>
                </c:pt>
                <c:pt idx="2">
                  <c:v>8.0600414407434914E-2</c:v>
                </c:pt>
                <c:pt idx="3">
                  <c:v>7.7015417707887751E-2</c:v>
                </c:pt>
                <c:pt idx="4">
                  <c:v>7.2606576612805451E-2</c:v>
                </c:pt>
              </c:numCache>
            </c:numRef>
          </c:val>
          <c:smooth val="0"/>
          <c:extLst>
            <c:ext xmlns:c15="http://schemas.microsoft.com/office/drawing/2012/chart" uri="{02D57815-91ED-43cb-92C2-25804820EDAC}">
              <c15:datalabelsRange>
                <c15:f>Sheet4!$B$109:$G$109</c15:f>
                <c15:dlblRangeCache>
                  <c:ptCount val="6"/>
                  <c:pt idx="0">
                    <c:v>9.9%</c:v>
                  </c:pt>
                  <c:pt idx="1">
                    <c:v>9.0%</c:v>
                  </c:pt>
                  <c:pt idx="2">
                    <c:v>8.6%</c:v>
                  </c:pt>
                  <c:pt idx="3">
                    <c:v>8.1%</c:v>
                  </c:pt>
                  <c:pt idx="4">
                    <c:v>7.7%</c:v>
                  </c:pt>
                  <c:pt idx="5">
                    <c:v>7.3%</c:v>
                  </c:pt>
                </c15:dlblRangeCache>
              </c15:datalabelsRange>
            </c:ext>
            <c:ext xmlns:c15="http://schemas.microsoft.com/office/drawing/2012/chart" uri="{02D57815-91ED-43cb-92C2-25804820EDAC}">
              <c15:categoryFilterExceptions>
                <c15:categoryFilterException>
                  <c15:sqref>Sheet4!$B$109</c15:sqref>
                  <c15:dLbl>
                    <c:idx val="-1"/>
                    <c:tx>
                      <c:rich>
                        <a:bodyPr/>
                        <a:lstStyle/>
                        <a:p>
                          <a:fld id="{BD38F84B-7792-48AA-8135-7F4409004A0C}" type="CELLRANGE">
                            <a:rPr lang="en-US"/>
                            <a:pPr/>
                            <a:t>[CELLRANGE]</a:t>
                          </a:fld>
                          <a:endParaRPr lang="en-IN"/>
                        </a:p>
                      </c:rich>
                    </c:tx>
                    <c:dLblPos val="b"/>
                    <c:showLegendKey val="0"/>
                    <c:showVal val="0"/>
                    <c:showCatName val="0"/>
                    <c:showSerName val="0"/>
                    <c:showPercent val="0"/>
                    <c:showBubbleSize val="0"/>
                    <c:extLst>
                      <c:ext uri="{CE6537A1-D6FC-4f65-9D91-7224C49458BB}">
                        <c15:dlblFieldTable/>
                        <c15:showDataLabelsRange val="1"/>
                      </c:ext>
                      <c:ext xmlns:c16="http://schemas.microsoft.com/office/drawing/2014/chart" uri="{C3380CC4-5D6E-409C-BE32-E72D297353CC}">
                        <c16:uniqueId val="{00000000-2996-46D8-9CB2-57A1A7BD76DC}"/>
                      </c:ext>
                    </c:extLst>
                  </c15:dLbl>
                </c15:categoryFilterException>
              </c15:categoryFilterExceptions>
            </c:ext>
            <c:ext xmlns:c16="http://schemas.microsoft.com/office/drawing/2014/chart" uri="{C3380CC4-5D6E-409C-BE32-E72D297353CC}">
              <c16:uniqueId val="{00000006-39F3-4302-82A8-FF7DED647779}"/>
            </c:ext>
          </c:extLst>
        </c:ser>
        <c:ser>
          <c:idx val="2"/>
          <c:order val="1"/>
          <c:tx>
            <c:strRef>
              <c:f>Sheet4!$A$110</c:f>
              <c:strCache>
                <c:ptCount val="1"/>
                <c:pt idx="0">
                  <c:v>Capital Expenditure</c:v>
                </c:pt>
              </c:strCache>
            </c:strRef>
          </c:tx>
          <c:spPr>
            <a:ln w="28575" cap="rnd">
              <a:solidFill>
                <a:schemeClr val="accent6">
                  <a:lumMod val="75000"/>
                </a:schemeClr>
              </a:solidFill>
              <a:round/>
            </a:ln>
            <a:effectLst/>
          </c:spPr>
          <c:marker>
            <c:symbol val="none"/>
          </c:marker>
          <c:dLbls>
            <c:dLbl>
              <c:idx val="0"/>
              <c:tx>
                <c:rich>
                  <a:bodyPr/>
                  <a:lstStyle/>
                  <a:p>
                    <a:fld id="{0E7E42BB-DF5A-4319-9AB9-CC242111E392}"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9F3-4302-82A8-FF7DED647779}"/>
                </c:ext>
              </c:extLst>
            </c:dLbl>
            <c:dLbl>
              <c:idx val="1"/>
              <c:tx>
                <c:rich>
                  <a:bodyPr/>
                  <a:lstStyle/>
                  <a:p>
                    <a:fld id="{11B222A2-9C0A-4AC3-AB6C-5BAF9936333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9F3-4302-82A8-FF7DED647779}"/>
                </c:ext>
              </c:extLst>
            </c:dLbl>
            <c:dLbl>
              <c:idx val="2"/>
              <c:tx>
                <c:rich>
                  <a:bodyPr/>
                  <a:lstStyle/>
                  <a:p>
                    <a:fld id="{71F2E0E6-B2F4-41F5-A492-58586B57676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9F3-4302-82A8-FF7DED647779}"/>
                </c:ext>
              </c:extLst>
            </c:dLbl>
            <c:dLbl>
              <c:idx val="3"/>
              <c:tx>
                <c:rich>
                  <a:bodyPr/>
                  <a:lstStyle/>
                  <a:p>
                    <a:fld id="{5BB8D4C0-3F78-411C-B8AB-16501D9DAF4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9F3-4302-82A8-FF7DED647779}"/>
                </c:ext>
              </c:extLst>
            </c:dLbl>
            <c:dLbl>
              <c:idx val="4"/>
              <c:tx>
                <c:rich>
                  <a:bodyPr/>
                  <a:lstStyle/>
                  <a:p>
                    <a:fld id="{1FA91C71-7222-4D60-BB5C-4C3D78BE8D35}"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9F3-4302-82A8-FF7DED64777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Sheet4!$B$108:$G$108</c15:sqref>
                  </c15:fullRef>
                </c:ext>
              </c:extLst>
              <c:f>Sheet4!$C$108:$G$108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Sheet4!$B$110:$G$110</c15:sqref>
                  </c15:fullRef>
                </c:ext>
              </c:extLst>
              <c:f>Sheet4!$C$110:$G$110</c:f>
              <c:numCache>
                <c:formatCode>0.0%</c:formatCode>
                <c:ptCount val="5"/>
                <c:pt idx="0">
                  <c:v>1.659691392258952E-2</c:v>
                </c:pt>
                <c:pt idx="1">
                  <c:v>1.8179979061691571E-2</c:v>
                </c:pt>
                <c:pt idx="2">
                  <c:v>2.2807340020457301E-2</c:v>
                </c:pt>
                <c:pt idx="3">
                  <c:v>2.0724990772841959E-2</c:v>
                </c:pt>
                <c:pt idx="4">
                  <c:v>2.2062426922682118E-2</c:v>
                </c:pt>
              </c:numCache>
            </c:numRef>
          </c:val>
          <c:smooth val="0"/>
          <c:extLst>
            <c:ext xmlns:c15="http://schemas.microsoft.com/office/drawing/2012/chart" uri="{02D57815-91ED-43cb-92C2-25804820EDAC}">
              <c15:datalabelsRange>
                <c15:f>Sheet4!$B$110:$G$110</c15:f>
                <c15:dlblRangeCache>
                  <c:ptCount val="6"/>
                  <c:pt idx="0">
                    <c:v>1.6%</c:v>
                  </c:pt>
                  <c:pt idx="1">
                    <c:v>1.7%</c:v>
                  </c:pt>
                  <c:pt idx="2">
                    <c:v>1.8%</c:v>
                  </c:pt>
                  <c:pt idx="3">
                    <c:v>2.3%</c:v>
                  </c:pt>
                  <c:pt idx="4">
                    <c:v>2.1%</c:v>
                  </c:pt>
                  <c:pt idx="5">
                    <c:v>2.2%</c:v>
                  </c:pt>
                </c15:dlblRangeCache>
              </c15:datalabelsRange>
            </c:ext>
            <c:ext xmlns:c15="http://schemas.microsoft.com/office/drawing/2012/chart" uri="{02D57815-91ED-43cb-92C2-25804820EDAC}">
              <c15:categoryFilterExceptions>
                <c15:categoryFilterException>
                  <c15:sqref>Sheet4!$B$110</c15:sqref>
                  <c15:dLbl>
                    <c:idx val="-1"/>
                    <c:tx>
                      <c:rich>
                        <a:bodyPr/>
                        <a:lstStyle/>
                        <a:p>
                          <a:fld id="{301ECDE4-7323-4D0A-AABC-C6FA6D3DCDDA}" type="CELLRANGE">
                            <a:rPr lang="en-US"/>
                            <a:pPr/>
                            <a:t>[CELLRANGE]</a:t>
                          </a:fld>
                          <a:endParaRPr lang="en-IN"/>
                        </a:p>
                      </c:rich>
                    </c:tx>
                    <c:dLblPos val="t"/>
                    <c:showLegendKey val="0"/>
                    <c:showVal val="0"/>
                    <c:showCatName val="0"/>
                    <c:showSerName val="0"/>
                    <c:showPercent val="0"/>
                    <c:showBubbleSize val="0"/>
                    <c:extLst>
                      <c:ext uri="{CE6537A1-D6FC-4f65-9D91-7224C49458BB}">
                        <c15:dlblFieldTable/>
                        <c15:showDataLabelsRange val="1"/>
                      </c:ext>
                      <c:ext xmlns:c16="http://schemas.microsoft.com/office/drawing/2014/chart" uri="{C3380CC4-5D6E-409C-BE32-E72D297353CC}">
                        <c16:uniqueId val="{00000001-2996-46D8-9CB2-57A1A7BD76DC}"/>
                      </c:ext>
                    </c:extLst>
                  </c15:dLbl>
                </c15:categoryFilterException>
              </c15:categoryFilterExceptions>
            </c:ext>
            <c:ext xmlns:c16="http://schemas.microsoft.com/office/drawing/2014/chart" uri="{C3380CC4-5D6E-409C-BE32-E72D297353CC}">
              <c16:uniqueId val="{0000000D-39F3-4302-82A8-FF7DED647779}"/>
            </c:ext>
          </c:extLst>
        </c:ser>
        <c:ser>
          <c:idx val="0"/>
          <c:order val="2"/>
          <c:tx>
            <c:strRef>
              <c:f>Sheet4!$A$111</c:f>
              <c:strCache>
                <c:ptCount val="1"/>
                <c:pt idx="0">
                  <c:v>Total Expenditure</c:v>
                </c:pt>
              </c:strCache>
            </c:strRef>
          </c:tx>
          <c:spPr>
            <a:ln w="28575" cap="rnd">
              <a:solidFill>
                <a:schemeClr val="accent3"/>
              </a:solidFill>
              <a:round/>
            </a:ln>
            <a:effectLst/>
          </c:spPr>
          <c:marker>
            <c:symbol val="none"/>
          </c:marker>
          <c:dLbls>
            <c:dLbl>
              <c:idx val="0"/>
              <c:tx>
                <c:rich>
                  <a:bodyPr/>
                  <a:lstStyle/>
                  <a:p>
                    <a:fld id="{91A4E8B4-CDA9-48E4-9644-F25214F17E7E}"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39F3-4302-82A8-FF7DED647779}"/>
                </c:ext>
              </c:extLst>
            </c:dLbl>
            <c:dLbl>
              <c:idx val="1"/>
              <c:tx>
                <c:rich>
                  <a:bodyPr/>
                  <a:lstStyle/>
                  <a:p>
                    <a:fld id="{3B666109-E3BA-4231-BE73-ADF4C418CCF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9F3-4302-82A8-FF7DED647779}"/>
                </c:ext>
              </c:extLst>
            </c:dLbl>
            <c:dLbl>
              <c:idx val="2"/>
              <c:tx>
                <c:rich>
                  <a:bodyPr/>
                  <a:lstStyle/>
                  <a:p>
                    <a:fld id="{537A3E07-E8A2-4F3A-83F4-54959A8D436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9F3-4302-82A8-FF7DED647779}"/>
                </c:ext>
              </c:extLst>
            </c:dLbl>
            <c:dLbl>
              <c:idx val="3"/>
              <c:tx>
                <c:rich>
                  <a:bodyPr/>
                  <a:lstStyle/>
                  <a:p>
                    <a:fld id="{607D3587-58C4-496F-85FE-2630DEF817D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9F3-4302-82A8-FF7DED647779}"/>
                </c:ext>
              </c:extLst>
            </c:dLbl>
            <c:dLbl>
              <c:idx val="4"/>
              <c:tx>
                <c:rich>
                  <a:bodyPr/>
                  <a:lstStyle/>
                  <a:p>
                    <a:fld id="{8A371D36-06DF-42D6-892B-0497208F47E1}"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9F3-4302-82A8-FF7DED64777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Sheet4!$B$108:$G$108</c15:sqref>
                  </c15:fullRef>
                </c:ext>
              </c:extLst>
              <c:f>Sheet4!$C$108:$G$108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Sheet4!$B$111:$G$111</c15:sqref>
                  </c15:fullRef>
                </c:ext>
              </c:extLst>
              <c:f>Sheet4!$C$111:$G$111</c:f>
              <c:numCache>
                <c:formatCode>0.0%</c:formatCode>
                <c:ptCount val="5"/>
                <c:pt idx="0">
                  <c:v>0.10683626614950233</c:v>
                </c:pt>
                <c:pt idx="1">
                  <c:v>0.10456820100716722</c:v>
                </c:pt>
                <c:pt idx="2">
                  <c:v>0.10340775442789221</c:v>
                </c:pt>
                <c:pt idx="3">
                  <c:v>9.7740408480729721E-2</c:v>
                </c:pt>
                <c:pt idx="4">
                  <c:v>9.4669003535487573E-2</c:v>
                </c:pt>
              </c:numCache>
            </c:numRef>
          </c:val>
          <c:smooth val="0"/>
          <c:extLst>
            <c:ext xmlns:c15="http://schemas.microsoft.com/office/drawing/2012/chart" uri="{02D57815-91ED-43cb-92C2-25804820EDAC}">
              <c15:datalabelsRange>
                <c15:f>Sheet4!$B$111:$G$111</c15:f>
                <c15:dlblRangeCache>
                  <c:ptCount val="6"/>
                  <c:pt idx="0">
                    <c:v>11.5%</c:v>
                  </c:pt>
                  <c:pt idx="1">
                    <c:v>10.7%</c:v>
                  </c:pt>
                  <c:pt idx="2">
                    <c:v>10.5%</c:v>
                  </c:pt>
                  <c:pt idx="3">
                    <c:v>10.3%</c:v>
                  </c:pt>
                  <c:pt idx="4">
                    <c:v>9.8%</c:v>
                  </c:pt>
                  <c:pt idx="5">
                    <c:v>9.5%</c:v>
                  </c:pt>
                </c15:dlblRangeCache>
              </c15:datalabelsRange>
            </c:ext>
            <c:ext xmlns:c15="http://schemas.microsoft.com/office/drawing/2012/chart" uri="{02D57815-91ED-43cb-92C2-25804820EDAC}">
              <c15:categoryFilterExceptions>
                <c15:categoryFilterException>
                  <c15:sqref>Sheet4!$B$111</c15:sqref>
                  <c15:dLbl>
                    <c:idx val="-1"/>
                    <c:tx>
                      <c:rich>
                        <a:bodyPr/>
                        <a:lstStyle/>
                        <a:p>
                          <a:fld id="{B755C25E-9409-4403-8694-51ED0A311465}" type="CELLRANGE">
                            <a:rPr lang="en-US"/>
                            <a:pPr/>
                            <a:t>[CELLRANGE]</a:t>
                          </a:fld>
                          <a:endParaRPr lang="en-IN"/>
                        </a:p>
                      </c:rich>
                    </c:tx>
                    <c:dLblPos val="t"/>
                    <c:showLegendKey val="0"/>
                    <c:showVal val="0"/>
                    <c:showCatName val="0"/>
                    <c:showSerName val="0"/>
                    <c:showPercent val="0"/>
                    <c:showBubbleSize val="0"/>
                    <c:extLst>
                      <c:ext uri="{CE6537A1-D6FC-4f65-9D91-7224C49458BB}">
                        <c15:dlblFieldTable/>
                        <c15:showDataLabelsRange val="1"/>
                      </c:ext>
                      <c:ext xmlns:c16="http://schemas.microsoft.com/office/drawing/2014/chart" uri="{C3380CC4-5D6E-409C-BE32-E72D297353CC}">
                        <c16:uniqueId val="{00000002-2996-46D8-9CB2-57A1A7BD76DC}"/>
                      </c:ext>
                    </c:extLst>
                  </c15:dLbl>
                </c15:categoryFilterException>
              </c15:categoryFilterExceptions>
            </c:ext>
            <c:ext xmlns:c16="http://schemas.microsoft.com/office/drawing/2014/chart" uri="{C3380CC4-5D6E-409C-BE32-E72D297353CC}">
              <c16:uniqueId val="{00000014-39F3-4302-82A8-FF7DED647779}"/>
            </c:ext>
          </c:extLst>
        </c:ser>
        <c:dLbls>
          <c:showLegendKey val="0"/>
          <c:showVal val="0"/>
          <c:showCatName val="0"/>
          <c:showSerName val="0"/>
          <c:showPercent val="0"/>
          <c:showBubbleSize val="0"/>
        </c:dLbls>
        <c:smooth val="0"/>
        <c:axId val="490614968"/>
        <c:axId val="490613984"/>
      </c:lineChart>
      <c:catAx>
        <c:axId val="490614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90613984"/>
        <c:crossesAt val="0"/>
        <c:auto val="1"/>
        <c:lblAlgn val="ctr"/>
        <c:lblOffset val="100"/>
        <c:noMultiLvlLbl val="0"/>
      </c:catAx>
      <c:valAx>
        <c:axId val="4906139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14968"/>
        <c:crosses val="autoZero"/>
        <c:crossBetween val="between"/>
      </c:valAx>
      <c:spPr>
        <a:noFill/>
        <a:ln>
          <a:noFill/>
        </a:ln>
        <a:effectLst/>
      </c:spPr>
    </c:plotArea>
    <c:legend>
      <c:legendPos val="b"/>
      <c:layout>
        <c:manualLayout>
          <c:xMode val="edge"/>
          <c:yMode val="edge"/>
          <c:x val="2.4860804515064467E-2"/>
          <c:y val="0.90622159324770946"/>
          <c:w val="0.95279210465473485"/>
          <c:h val="7.1534660835419053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latin typeface="Calibri" panose="020F0502020204030204" pitchFamily="34" charset="0"/>
                <a:ea typeface="Calibri" panose="020F0502020204030204" pitchFamily="34" charset="0"/>
                <a:cs typeface="Calibri" panose="020F0502020204030204" pitchFamily="34" charset="0"/>
              </a:rPr>
              <a:t>Composition of Revenue Expenditure</a:t>
            </a:r>
          </a:p>
        </c:rich>
      </c:tx>
      <c:layout>
        <c:manualLayout>
          <c:xMode val="edge"/>
          <c:yMode val="edge"/>
          <c:x val="0.24171318031784647"/>
          <c:y val="1.407211961301671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7.9749856775946079E-2"/>
          <c:y val="0.11438426845160492"/>
          <c:w val="0.87612966765582456"/>
          <c:h val="0.70649912375554647"/>
        </c:manualLayout>
      </c:layout>
      <c:barChart>
        <c:barDir val="bar"/>
        <c:grouping val="percentStacked"/>
        <c:varyColors val="0"/>
        <c:ser>
          <c:idx val="0"/>
          <c:order val="0"/>
          <c:tx>
            <c:strRef>
              <c:f>Sheet4!$A$129</c:f>
              <c:strCache>
                <c:ptCount val="1"/>
                <c:pt idx="0">
                  <c:v>Interest Payments</c:v>
                </c:pt>
              </c:strCache>
            </c:strRef>
          </c:tx>
          <c:spPr>
            <a:solidFill>
              <a:schemeClr val="accent1"/>
            </a:solidFill>
            <a:ln>
              <a:noFill/>
            </a:ln>
            <a:effectLst/>
          </c:spPr>
          <c:invertIfNegative val="0"/>
          <c:dLbls>
            <c:dLbl>
              <c:idx val="0"/>
              <c:tx>
                <c:rich>
                  <a:bodyPr/>
                  <a:lstStyle/>
                  <a:p>
                    <a:fld id="{18D1BC3D-3A33-491E-A6A1-F368F6F19C1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806-44B5-90CD-F3E6C438E7DF}"/>
                </c:ext>
              </c:extLst>
            </c:dLbl>
            <c:dLbl>
              <c:idx val="1"/>
              <c:tx>
                <c:rich>
                  <a:bodyPr/>
                  <a:lstStyle/>
                  <a:p>
                    <a:fld id="{7BCA0508-369A-48B7-82F1-BA8B77BB22F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806-44B5-90CD-F3E6C438E7DF}"/>
                </c:ext>
              </c:extLst>
            </c:dLbl>
            <c:dLbl>
              <c:idx val="2"/>
              <c:tx>
                <c:rich>
                  <a:bodyPr/>
                  <a:lstStyle/>
                  <a:p>
                    <a:fld id="{2BE793CC-69EB-4DF7-8D06-0CB8640BC99B}"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806-44B5-90CD-F3E6C438E7DF}"/>
                </c:ext>
              </c:extLst>
            </c:dLbl>
            <c:dLbl>
              <c:idx val="3"/>
              <c:tx>
                <c:rich>
                  <a:bodyPr/>
                  <a:lstStyle/>
                  <a:p>
                    <a:fld id="{4B7F7282-95F5-4F85-A267-CA7416BCDFA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806-44B5-90CD-F3E6C438E7DF}"/>
                </c:ext>
              </c:extLst>
            </c:dLbl>
            <c:dLbl>
              <c:idx val="4"/>
              <c:tx>
                <c:rich>
                  <a:bodyPr/>
                  <a:lstStyle/>
                  <a:p>
                    <a:fld id="{37216BFE-2EFD-4051-8C04-84536F40974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806-44B5-90CD-F3E6C438E7D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Sheet4!$B$128:$G$128</c15:sqref>
                  </c15:fullRef>
                </c:ext>
              </c:extLst>
              <c:f>Sheet4!$C$128:$G$128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Sheet4!$B$129:$G$129</c15:sqref>
                  </c15:fullRef>
                </c:ext>
              </c:extLst>
              <c:f>Sheet4!$C$129:$G$129</c:f>
              <c:numCache>
                <c:formatCode>General</c:formatCode>
                <c:ptCount val="5"/>
                <c:pt idx="0">
                  <c:v>565864</c:v>
                </c:pt>
                <c:pt idx="1">
                  <c:v>680853</c:v>
                </c:pt>
                <c:pt idx="2">
                  <c:v>748207</c:v>
                </c:pt>
                <c:pt idx="3">
                  <c:v>808313</c:v>
                </c:pt>
                <c:pt idx="4">
                  <c:v>911059</c:v>
                </c:pt>
              </c:numCache>
            </c:numRef>
          </c:val>
          <c:extLst>
            <c:ext xmlns:c15="http://schemas.microsoft.com/office/drawing/2012/chart" uri="{02D57815-91ED-43cb-92C2-25804820EDAC}">
              <c15:datalabelsRange>
                <c15:f>Sheet4!$B$137:$G$137</c15:f>
                <c15:dlblRangeCache>
                  <c:ptCount val="6"/>
                  <c:pt idx="0">
                    <c:v>24%</c:v>
                  </c:pt>
                  <c:pt idx="1">
                    <c:v>27%</c:v>
                  </c:pt>
                  <c:pt idx="2">
                    <c:v>29%</c:v>
                  </c:pt>
                  <c:pt idx="3">
                    <c:v>31%</c:v>
                  </c:pt>
                  <c:pt idx="4">
                    <c:v>32%</c:v>
                  </c:pt>
                  <c:pt idx="5">
                    <c:v>35%</c:v>
                  </c:pt>
                </c15:dlblRangeCache>
              </c15:datalabelsRange>
            </c:ext>
            <c:ext xmlns:c16="http://schemas.microsoft.com/office/drawing/2014/chart" uri="{C3380CC4-5D6E-409C-BE32-E72D297353CC}">
              <c16:uniqueId val="{00000005-E806-44B5-90CD-F3E6C438E7DF}"/>
            </c:ext>
          </c:extLst>
        </c:ser>
        <c:ser>
          <c:idx val="1"/>
          <c:order val="1"/>
          <c:tx>
            <c:strRef>
              <c:f>Sheet4!$A$130</c:f>
              <c:strCache>
                <c:ptCount val="1"/>
                <c:pt idx="0">
                  <c:v>Defence  Services</c:v>
                </c:pt>
              </c:strCache>
            </c:strRef>
          </c:tx>
          <c:spPr>
            <a:solidFill>
              <a:schemeClr val="accent6">
                <a:lumMod val="75000"/>
              </a:schemeClr>
            </a:solidFill>
            <a:ln>
              <a:noFill/>
            </a:ln>
            <a:effectLst/>
          </c:spPr>
          <c:invertIfNegative val="0"/>
          <c:dLbls>
            <c:dLbl>
              <c:idx val="0"/>
              <c:tx>
                <c:rich>
                  <a:bodyPr/>
                  <a:lstStyle/>
                  <a:p>
                    <a:fld id="{A607D3E9-0B7E-4B27-8016-CE1963E401DD}"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806-44B5-90CD-F3E6C438E7DF}"/>
                </c:ext>
              </c:extLst>
            </c:dLbl>
            <c:dLbl>
              <c:idx val="1"/>
              <c:tx>
                <c:rich>
                  <a:bodyPr/>
                  <a:lstStyle/>
                  <a:p>
                    <a:fld id="{1C11C937-8A9E-4ACD-A708-070812121B5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806-44B5-90CD-F3E6C438E7DF}"/>
                </c:ext>
              </c:extLst>
            </c:dLbl>
            <c:dLbl>
              <c:idx val="2"/>
              <c:tx>
                <c:rich>
                  <a:bodyPr/>
                  <a:lstStyle/>
                  <a:p>
                    <a:fld id="{D45E5CD4-D199-4A4F-AB57-102E49556FCA}"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806-44B5-90CD-F3E6C438E7DF}"/>
                </c:ext>
              </c:extLst>
            </c:dLbl>
            <c:dLbl>
              <c:idx val="3"/>
              <c:tx>
                <c:rich>
                  <a:bodyPr/>
                  <a:lstStyle/>
                  <a:p>
                    <a:fld id="{5DDDF62D-CB4F-4271-AA28-236BF919C4ED}"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806-44B5-90CD-F3E6C438E7DF}"/>
                </c:ext>
              </c:extLst>
            </c:dLbl>
            <c:dLbl>
              <c:idx val="4"/>
              <c:tx>
                <c:rich>
                  <a:bodyPr/>
                  <a:lstStyle/>
                  <a:p>
                    <a:fld id="{A485C88F-A79A-4329-9720-4C496417D29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806-44B5-90CD-F3E6C438E7D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Sheet4!$B$128:$G$128</c15:sqref>
                  </c15:fullRef>
                </c:ext>
              </c:extLst>
              <c:f>Sheet4!$C$128:$G$128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Sheet4!$B$130:$G$130</c15:sqref>
                  </c15:fullRef>
                </c:ext>
              </c:extLst>
              <c:f>Sheet4!$C$130:$G$130</c:f>
              <c:numCache>
                <c:formatCode>General</c:formatCode>
                <c:ptCount val="5"/>
                <c:pt idx="0">
                  <c:v>179859</c:v>
                </c:pt>
                <c:pt idx="1">
                  <c:v>184962</c:v>
                </c:pt>
                <c:pt idx="2">
                  <c:v>215181</c:v>
                </c:pt>
                <c:pt idx="3">
                  <c:v>215520</c:v>
                </c:pt>
                <c:pt idx="4">
                  <c:v>233023</c:v>
                </c:pt>
              </c:numCache>
            </c:numRef>
          </c:val>
          <c:extLst>
            <c:ext xmlns:c15="http://schemas.microsoft.com/office/drawing/2012/chart" uri="{02D57815-91ED-43cb-92C2-25804820EDAC}">
              <c15:datalabelsRange>
                <c15:f>Sheet4!$B$138:$G$138</c15:f>
                <c15:dlblRangeCache>
                  <c:ptCount val="6"/>
                  <c:pt idx="0">
                    <c:v>8%</c:v>
                  </c:pt>
                  <c:pt idx="1">
                    <c:v>8%</c:v>
                  </c:pt>
                  <c:pt idx="2">
                    <c:v>8%</c:v>
                  </c:pt>
                  <c:pt idx="3">
                    <c:v>9%</c:v>
                  </c:pt>
                  <c:pt idx="4">
                    <c:v>8%</c:v>
                  </c:pt>
                  <c:pt idx="5">
                    <c:v>9%</c:v>
                  </c:pt>
                </c15:dlblRangeCache>
              </c15:datalabelsRange>
            </c:ext>
            <c:ext xmlns:c16="http://schemas.microsoft.com/office/drawing/2014/chart" uri="{C3380CC4-5D6E-409C-BE32-E72D297353CC}">
              <c16:uniqueId val="{0000000B-E806-44B5-90CD-F3E6C438E7DF}"/>
            </c:ext>
          </c:extLst>
        </c:ser>
        <c:ser>
          <c:idx val="2"/>
          <c:order val="2"/>
          <c:tx>
            <c:strRef>
              <c:f>Sheet4!$A$131</c:f>
              <c:strCache>
                <c:ptCount val="1"/>
                <c:pt idx="0">
                  <c:v>Grants in Aid  to States &amp; UTs</c:v>
                </c:pt>
              </c:strCache>
            </c:strRef>
          </c:tx>
          <c:spPr>
            <a:solidFill>
              <a:schemeClr val="accent3"/>
            </a:solidFill>
            <a:ln>
              <a:noFill/>
            </a:ln>
            <a:effectLst/>
          </c:spPr>
          <c:invertIfNegative val="0"/>
          <c:dLbls>
            <c:dLbl>
              <c:idx val="0"/>
              <c:tx>
                <c:rich>
                  <a:bodyPr/>
                  <a:lstStyle/>
                  <a:p>
                    <a:fld id="{55444C8A-A099-49A6-B16D-A8DC7754C92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806-44B5-90CD-F3E6C438E7DF}"/>
                </c:ext>
              </c:extLst>
            </c:dLbl>
            <c:dLbl>
              <c:idx val="1"/>
              <c:tx>
                <c:rich>
                  <a:bodyPr/>
                  <a:lstStyle/>
                  <a:p>
                    <a:fld id="{30FD70F8-FEBB-4209-8558-66D90EE22AB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806-44B5-90CD-F3E6C438E7DF}"/>
                </c:ext>
              </c:extLst>
            </c:dLbl>
            <c:dLbl>
              <c:idx val="2"/>
              <c:tx>
                <c:rich>
                  <a:bodyPr/>
                  <a:lstStyle/>
                  <a:p>
                    <a:fld id="{4A8862FD-9130-4388-AA5D-57541CAD519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806-44B5-90CD-F3E6C438E7DF}"/>
                </c:ext>
              </c:extLst>
            </c:dLbl>
            <c:dLbl>
              <c:idx val="3"/>
              <c:tx>
                <c:rich>
                  <a:bodyPr/>
                  <a:lstStyle/>
                  <a:p>
                    <a:fld id="{0EF3B11B-57E3-4376-AD1B-5EF135B32FC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806-44B5-90CD-F3E6C438E7DF}"/>
                </c:ext>
              </c:extLst>
            </c:dLbl>
            <c:dLbl>
              <c:idx val="4"/>
              <c:tx>
                <c:rich>
                  <a:bodyPr/>
                  <a:lstStyle/>
                  <a:p>
                    <a:fld id="{E95128E0-F6B1-4CAB-A5A4-CD14FABFAF7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806-44B5-90CD-F3E6C438E7D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Sheet4!$B$128:$G$128</c15:sqref>
                  </c15:fullRef>
                </c:ext>
              </c:extLst>
              <c:f>Sheet4!$C$128:$G$128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Sheet4!$B$131:$G$131</c15:sqref>
                  </c15:fullRef>
                </c:ext>
              </c:extLst>
              <c:f>Sheet4!$C$131:$G$131</c:f>
              <c:numCache>
                <c:formatCode>General</c:formatCode>
                <c:ptCount val="5"/>
                <c:pt idx="0">
                  <c:v>426909</c:v>
                </c:pt>
                <c:pt idx="1">
                  <c:v>387918</c:v>
                </c:pt>
                <c:pt idx="2">
                  <c:v>349946</c:v>
                </c:pt>
                <c:pt idx="3">
                  <c:v>348245</c:v>
                </c:pt>
                <c:pt idx="4">
                  <c:v>247273</c:v>
                </c:pt>
              </c:numCache>
            </c:numRef>
          </c:val>
          <c:extLst>
            <c:ext xmlns:c15="http://schemas.microsoft.com/office/drawing/2012/chart" uri="{02D57815-91ED-43cb-92C2-25804820EDAC}">
              <c15:datalabelsRange>
                <c15:f>Sheet4!$B$139:$G$139</c15:f>
                <c15:dlblRangeCache>
                  <c:ptCount val="6"/>
                  <c:pt idx="0">
                    <c:v>22%</c:v>
                  </c:pt>
                  <c:pt idx="1">
                    <c:v>20%</c:v>
                  </c:pt>
                  <c:pt idx="2">
                    <c:v>17%</c:v>
                  </c:pt>
                  <c:pt idx="3">
                    <c:v>15%</c:v>
                  </c:pt>
                  <c:pt idx="4">
                    <c:v>14%</c:v>
                  </c:pt>
                  <c:pt idx="5">
                    <c:v>10%</c:v>
                  </c:pt>
                </c15:dlblRangeCache>
              </c15:datalabelsRange>
            </c:ext>
            <c:ext xmlns:c16="http://schemas.microsoft.com/office/drawing/2014/chart" uri="{C3380CC4-5D6E-409C-BE32-E72D297353CC}">
              <c16:uniqueId val="{00000011-E806-44B5-90CD-F3E6C438E7DF}"/>
            </c:ext>
          </c:extLst>
        </c:ser>
        <c:ser>
          <c:idx val="3"/>
          <c:order val="3"/>
          <c:tx>
            <c:strRef>
              <c:f>Sheet4!$A$132</c:f>
              <c:strCache>
                <c:ptCount val="1"/>
                <c:pt idx="0">
                  <c:v>Pensions</c:v>
                </c:pt>
              </c:strCache>
            </c:strRef>
          </c:tx>
          <c:spPr>
            <a:solidFill>
              <a:schemeClr val="accent4"/>
            </a:solidFill>
            <a:ln>
              <a:noFill/>
            </a:ln>
            <a:effectLst/>
          </c:spPr>
          <c:invertIfNegative val="0"/>
          <c:dLbls>
            <c:dLbl>
              <c:idx val="0"/>
              <c:tx>
                <c:rich>
                  <a:bodyPr/>
                  <a:lstStyle/>
                  <a:p>
                    <a:fld id="{0CC0DFBC-F4FF-42D6-86A2-11CC225996F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806-44B5-90CD-F3E6C438E7DF}"/>
                </c:ext>
              </c:extLst>
            </c:dLbl>
            <c:dLbl>
              <c:idx val="1"/>
              <c:tx>
                <c:rich>
                  <a:bodyPr/>
                  <a:lstStyle/>
                  <a:p>
                    <a:fld id="{08B8B5F4-6C52-4DD4-B7AF-A5107F7E74CA}"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806-44B5-90CD-F3E6C438E7DF}"/>
                </c:ext>
              </c:extLst>
            </c:dLbl>
            <c:dLbl>
              <c:idx val="2"/>
              <c:tx>
                <c:rich>
                  <a:bodyPr/>
                  <a:lstStyle/>
                  <a:p>
                    <a:fld id="{396CC9EC-E31F-4499-A08C-C8D8D9375D5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E806-44B5-90CD-F3E6C438E7DF}"/>
                </c:ext>
              </c:extLst>
            </c:dLbl>
            <c:dLbl>
              <c:idx val="3"/>
              <c:tx>
                <c:rich>
                  <a:bodyPr/>
                  <a:lstStyle/>
                  <a:p>
                    <a:fld id="{8E497E05-E0BE-4F20-88A0-487F8803C81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E806-44B5-90CD-F3E6C438E7DF}"/>
                </c:ext>
              </c:extLst>
            </c:dLbl>
            <c:dLbl>
              <c:idx val="4"/>
              <c:tx>
                <c:rich>
                  <a:bodyPr/>
                  <a:lstStyle/>
                  <a:p>
                    <a:fld id="{DE434D97-F038-4F59-BD84-4F07BF47EE2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E806-44B5-90CD-F3E6C438E7D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Sheet4!$B$128:$G$128</c15:sqref>
                  </c15:fullRef>
                </c:ext>
              </c:extLst>
              <c:f>Sheet4!$C$128:$G$128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Sheet4!$B$132:$G$132</c15:sqref>
                  </c15:fullRef>
                </c:ext>
              </c:extLst>
              <c:f>Sheet4!$C$132:$G$132</c:f>
              <c:numCache>
                <c:formatCode>General</c:formatCode>
                <c:ptCount val="5"/>
                <c:pt idx="0">
                  <c:v>146150</c:v>
                </c:pt>
                <c:pt idx="1">
                  <c:v>168439</c:v>
                </c:pt>
                <c:pt idx="2">
                  <c:v>191905</c:v>
                </c:pt>
                <c:pt idx="3">
                  <c:v>215263</c:v>
                </c:pt>
                <c:pt idx="4">
                  <c:v>226030</c:v>
                </c:pt>
              </c:numCache>
            </c:numRef>
          </c:val>
          <c:extLst>
            <c:ext xmlns:c15="http://schemas.microsoft.com/office/drawing/2012/chart" uri="{02D57815-91ED-43cb-92C2-25804820EDAC}">
              <c15:datalabelsRange>
                <c15:f>Sheet4!$B$140:$G$140</c15:f>
                <c15:dlblRangeCache>
                  <c:ptCount val="6"/>
                  <c:pt idx="0">
                    <c:v>8%</c:v>
                  </c:pt>
                  <c:pt idx="1">
                    <c:v>7%</c:v>
                  </c:pt>
                  <c:pt idx="2">
                    <c:v>7%</c:v>
                  </c:pt>
                  <c:pt idx="3">
                    <c:v>8%</c:v>
                  </c:pt>
                  <c:pt idx="4">
                    <c:v>8%</c:v>
                  </c:pt>
                  <c:pt idx="5">
                    <c:v>9%</c:v>
                  </c:pt>
                </c15:dlblRangeCache>
              </c15:datalabelsRange>
            </c:ext>
            <c:ext xmlns:c16="http://schemas.microsoft.com/office/drawing/2014/chart" uri="{C3380CC4-5D6E-409C-BE32-E72D297353CC}">
              <c16:uniqueId val="{00000017-E806-44B5-90CD-F3E6C438E7DF}"/>
            </c:ext>
          </c:extLst>
        </c:ser>
        <c:ser>
          <c:idx val="4"/>
          <c:order val="4"/>
          <c:tx>
            <c:strRef>
              <c:f>Sheet4!$A$133</c:f>
              <c:strCache>
                <c:ptCount val="1"/>
                <c:pt idx="0">
                  <c:v>Major Subsidies</c:v>
                </c:pt>
              </c:strCache>
            </c:strRef>
          </c:tx>
          <c:spPr>
            <a:solidFill>
              <a:schemeClr val="accent5"/>
            </a:solidFill>
            <a:ln>
              <a:noFill/>
            </a:ln>
            <a:effectLst/>
          </c:spPr>
          <c:invertIfNegative val="0"/>
          <c:dLbls>
            <c:dLbl>
              <c:idx val="0"/>
              <c:tx>
                <c:rich>
                  <a:bodyPr/>
                  <a:lstStyle/>
                  <a:p>
                    <a:fld id="{13FBAD95-56ED-4886-B944-044C11605B5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E806-44B5-90CD-F3E6C438E7DF}"/>
                </c:ext>
              </c:extLst>
            </c:dLbl>
            <c:dLbl>
              <c:idx val="1"/>
              <c:tx>
                <c:rich>
                  <a:bodyPr/>
                  <a:lstStyle/>
                  <a:p>
                    <a:fld id="{9DADA6CB-7628-44C5-829F-4356F38F534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E806-44B5-90CD-F3E6C438E7DF}"/>
                </c:ext>
              </c:extLst>
            </c:dLbl>
            <c:dLbl>
              <c:idx val="2"/>
              <c:tx>
                <c:rich>
                  <a:bodyPr/>
                  <a:lstStyle/>
                  <a:p>
                    <a:fld id="{7726A5B4-61E5-4CC5-9F07-49443BEF514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E806-44B5-90CD-F3E6C438E7DF}"/>
                </c:ext>
              </c:extLst>
            </c:dLbl>
            <c:dLbl>
              <c:idx val="3"/>
              <c:tx>
                <c:rich>
                  <a:bodyPr/>
                  <a:lstStyle/>
                  <a:p>
                    <a:fld id="{0148D44F-41E6-4FC3-A876-C88FADBA540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E806-44B5-90CD-F3E6C438E7DF}"/>
                </c:ext>
              </c:extLst>
            </c:dLbl>
            <c:dLbl>
              <c:idx val="4"/>
              <c:tx>
                <c:rich>
                  <a:bodyPr/>
                  <a:lstStyle/>
                  <a:p>
                    <a:fld id="{2CF291CB-99B0-4E4F-80F9-0ECC9D8BA8D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E806-44B5-90CD-F3E6C438E7D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Sheet4!$B$128:$G$128</c15:sqref>
                  </c15:fullRef>
                </c:ext>
              </c:extLst>
              <c:f>Sheet4!$C$128:$G$128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Sheet4!$B$133:$G$133</c15:sqref>
                  </c15:fullRef>
                </c:ext>
              </c:extLst>
              <c:f>Sheet4!$C$133:$G$133</c:f>
              <c:numCache>
                <c:formatCode>General</c:formatCode>
                <c:ptCount val="5"/>
                <c:pt idx="0">
                  <c:v>271374</c:v>
                </c:pt>
                <c:pt idx="1">
                  <c:v>350524</c:v>
                </c:pt>
                <c:pt idx="2">
                  <c:v>276804</c:v>
                </c:pt>
                <c:pt idx="3">
                  <c:v>306994</c:v>
                </c:pt>
                <c:pt idx="4">
                  <c:v>317490</c:v>
                </c:pt>
              </c:numCache>
            </c:numRef>
          </c:val>
          <c:extLst>
            <c:ext xmlns:c15="http://schemas.microsoft.com/office/drawing/2012/chart" uri="{02D57815-91ED-43cb-92C2-25804820EDAC}">
              <c15:datalabelsRange>
                <c15:f>Sheet4!$B$141:$G$141</c15:f>
                <c15:dlblRangeCache>
                  <c:ptCount val="6"/>
                  <c:pt idx="0">
                    <c:v>12%</c:v>
                  </c:pt>
                  <c:pt idx="1">
                    <c:v>13%</c:v>
                  </c:pt>
                  <c:pt idx="2">
                    <c:v>15%</c:v>
                  </c:pt>
                  <c:pt idx="3">
                    <c:v>12%</c:v>
                  </c:pt>
                  <c:pt idx="4">
                    <c:v>12%</c:v>
                  </c:pt>
                  <c:pt idx="5">
                    <c:v>12%</c:v>
                  </c:pt>
                </c15:dlblRangeCache>
              </c15:datalabelsRange>
            </c:ext>
            <c:ext xmlns:c16="http://schemas.microsoft.com/office/drawing/2014/chart" uri="{C3380CC4-5D6E-409C-BE32-E72D297353CC}">
              <c16:uniqueId val="{0000001D-E806-44B5-90CD-F3E6C438E7DF}"/>
            </c:ext>
          </c:extLst>
        </c:ser>
        <c:ser>
          <c:idx val="5"/>
          <c:order val="5"/>
          <c:tx>
            <c:strRef>
              <c:f>Sheet4!$A$134</c:f>
              <c:strCache>
                <c:ptCount val="1"/>
                <c:pt idx="0">
                  <c:v>Other Revenue Expenditure</c:v>
                </c:pt>
              </c:strCache>
            </c:strRef>
          </c:tx>
          <c:spPr>
            <a:solidFill>
              <a:srgbClr val="FFC000"/>
            </a:solidFill>
            <a:ln>
              <a:noFill/>
            </a:ln>
            <a:effectLst/>
          </c:spPr>
          <c:invertIfNegative val="0"/>
          <c:dLbls>
            <c:dLbl>
              <c:idx val="0"/>
              <c:tx>
                <c:rich>
                  <a:bodyPr/>
                  <a:lstStyle/>
                  <a:p>
                    <a:fld id="{56115C23-FF9E-48D8-8010-DED8A3CB45E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E806-44B5-90CD-F3E6C438E7DF}"/>
                </c:ext>
              </c:extLst>
            </c:dLbl>
            <c:dLbl>
              <c:idx val="1"/>
              <c:tx>
                <c:rich>
                  <a:bodyPr/>
                  <a:lstStyle/>
                  <a:p>
                    <a:fld id="{5455AA80-34B5-4BBE-91F8-64F78268519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E806-44B5-90CD-F3E6C438E7DF}"/>
                </c:ext>
              </c:extLst>
            </c:dLbl>
            <c:dLbl>
              <c:idx val="2"/>
              <c:tx>
                <c:rich>
                  <a:bodyPr/>
                  <a:lstStyle/>
                  <a:p>
                    <a:fld id="{6F4D0F92-8236-46CA-B1F1-395A02D97B7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E806-44B5-90CD-F3E6C438E7DF}"/>
                </c:ext>
              </c:extLst>
            </c:dLbl>
            <c:dLbl>
              <c:idx val="3"/>
              <c:tx>
                <c:rich>
                  <a:bodyPr/>
                  <a:lstStyle/>
                  <a:p>
                    <a:fld id="{2045ED7F-7AF8-46DE-B06A-B2049D6093D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E806-44B5-90CD-F3E6C438E7DF}"/>
                </c:ext>
              </c:extLst>
            </c:dLbl>
            <c:dLbl>
              <c:idx val="4"/>
              <c:tx>
                <c:rich>
                  <a:bodyPr/>
                  <a:lstStyle/>
                  <a:p>
                    <a:fld id="{C48A2137-2F7F-4077-BDF4-AFD6544A239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E806-44B5-90CD-F3E6C438E7DF}"/>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Sheet4!$B$128:$G$128</c15:sqref>
                  </c15:fullRef>
                </c:ext>
              </c:extLst>
              <c:f>Sheet4!$C$128:$G$128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Sheet4!$B$134:$G$134</c15:sqref>
                  </c15:fullRef>
                </c:ext>
              </c:extLst>
              <c:f>Sheet4!$C$134:$G$134</c:f>
              <c:numCache>
                <c:formatCode>General</c:formatCode>
                <c:ptCount val="5"/>
                <c:pt idx="0">
                  <c:v>539258</c:v>
                </c:pt>
                <c:pt idx="1">
                  <c:v>555436</c:v>
                </c:pt>
                <c:pt idx="2">
                  <c:v>598544</c:v>
                </c:pt>
                <c:pt idx="3">
                  <c:v>652422</c:v>
                </c:pt>
                <c:pt idx="4">
                  <c:v>658188</c:v>
                </c:pt>
              </c:numCache>
            </c:numRef>
          </c:val>
          <c:extLst>
            <c:ext xmlns:c15="http://schemas.microsoft.com/office/drawing/2012/chart" uri="{02D57815-91ED-43cb-92C2-25804820EDAC}">
              <c15:datalabelsRange>
                <c15:f>Sheet4!$B$142:$G$142</c15:f>
                <c15:dlblRangeCache>
                  <c:ptCount val="6"/>
                  <c:pt idx="0">
                    <c:v>26%</c:v>
                  </c:pt>
                  <c:pt idx="1">
                    <c:v>25%</c:v>
                  </c:pt>
                  <c:pt idx="2">
                    <c:v>24%</c:v>
                  </c:pt>
                  <c:pt idx="3">
                    <c:v>25%</c:v>
                  </c:pt>
                  <c:pt idx="4">
                    <c:v>26%</c:v>
                  </c:pt>
                  <c:pt idx="5">
                    <c:v>25%</c:v>
                  </c:pt>
                </c15:dlblRangeCache>
              </c15:datalabelsRange>
            </c:ext>
            <c:ext xmlns:c16="http://schemas.microsoft.com/office/drawing/2014/chart" uri="{C3380CC4-5D6E-409C-BE32-E72D297353CC}">
              <c16:uniqueId val="{00000023-E806-44B5-90CD-F3E6C438E7DF}"/>
            </c:ext>
          </c:extLst>
        </c:ser>
        <c:dLbls>
          <c:dLblPos val="ctr"/>
          <c:showLegendKey val="0"/>
          <c:showVal val="1"/>
          <c:showCatName val="0"/>
          <c:showSerName val="0"/>
          <c:showPercent val="0"/>
          <c:showBubbleSize val="0"/>
        </c:dLbls>
        <c:gapWidth val="50"/>
        <c:overlap val="100"/>
        <c:axId val="554002776"/>
        <c:axId val="554003104"/>
      </c:barChart>
      <c:catAx>
        <c:axId val="554002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54003104"/>
        <c:crossesAt val="0"/>
        <c:auto val="1"/>
        <c:lblAlgn val="ctr"/>
        <c:lblOffset val="100"/>
        <c:noMultiLvlLbl val="0"/>
      </c:catAx>
      <c:valAx>
        <c:axId val="554003104"/>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low"/>
        <c:spPr>
          <a:noFill/>
          <a:ln>
            <a:noFill/>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554002776"/>
        <c:crosses val="max"/>
        <c:crossBetween val="between"/>
      </c:valAx>
      <c:spPr>
        <a:noFill/>
        <a:ln>
          <a:noFill/>
        </a:ln>
        <a:effectLst/>
      </c:spPr>
    </c:plotArea>
    <c:legend>
      <c:legendPos val="b"/>
      <c:layout>
        <c:manualLayout>
          <c:xMode val="edge"/>
          <c:yMode val="edge"/>
          <c:x val="2.935636217693231E-2"/>
          <c:y val="0.90131335504582288"/>
          <c:w val="0.93445925391012141"/>
          <c:h val="8.536749524930029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Sheet4!$A$129</c:f>
          <c:strCache>
            <c:ptCount val="1"/>
            <c:pt idx="0">
              <c:v>Interest Payments</c:v>
            </c:pt>
          </c:strCache>
        </c:strRef>
      </c:tx>
      <c:layout>
        <c:manualLayout>
          <c:xMode val="edge"/>
          <c:yMode val="edge"/>
          <c:x val="0.21990661185931351"/>
          <c:y val="1.407892472533942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110414555317036E-2"/>
          <c:y val="0.12664909563531959"/>
          <c:w val="0.90462817135984397"/>
          <c:h val="0.73290691882002379"/>
        </c:manualLayout>
      </c:layout>
      <c:barChart>
        <c:barDir val="col"/>
        <c:grouping val="clustered"/>
        <c:varyColors val="0"/>
        <c:ser>
          <c:idx val="0"/>
          <c:order val="0"/>
          <c:tx>
            <c:strRef>
              <c:f>Sheet4!$A$148</c:f>
              <c:strCache>
                <c:ptCount val="1"/>
                <c:pt idx="0">
                  <c:v>Actuals (Upto Dec)</c:v>
                </c:pt>
              </c:strCache>
            </c:strRef>
          </c:tx>
          <c:spPr>
            <a:solidFill>
              <a:schemeClr val="accent1"/>
            </a:solidFill>
            <a:ln>
              <a:noFill/>
            </a:ln>
            <a:effectLst/>
          </c:spPr>
          <c:invertIfNegative val="0"/>
          <c:dLbls>
            <c:dLbl>
              <c:idx val="0"/>
              <c:tx>
                <c:rich>
                  <a:bodyPr/>
                  <a:lstStyle/>
                  <a:p>
                    <a:fld id="{8A46CBA0-69EC-46B7-A1B4-5F9F450E345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2C9-4AB4-B38F-2A430518EA0D}"/>
                </c:ext>
              </c:extLst>
            </c:dLbl>
            <c:dLbl>
              <c:idx val="1"/>
              <c:tx>
                <c:rich>
                  <a:bodyPr/>
                  <a:lstStyle/>
                  <a:p>
                    <a:fld id="{FCF1737D-B833-41C2-B954-99154C89E33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2C9-4AB4-B38F-2A430518EA0D}"/>
                </c:ext>
              </c:extLst>
            </c:dLbl>
            <c:dLbl>
              <c:idx val="2"/>
              <c:tx>
                <c:rich>
                  <a:bodyPr/>
                  <a:lstStyle/>
                  <a:p>
                    <a:fld id="{3523C364-1815-443D-A5FC-F1A9661B333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2C9-4AB4-B38F-2A430518EA0D}"/>
                </c:ext>
              </c:extLst>
            </c:dLbl>
            <c:dLbl>
              <c:idx val="3"/>
              <c:tx>
                <c:rich>
                  <a:bodyPr/>
                  <a:lstStyle/>
                  <a:p>
                    <a:fld id="{F92BB2DE-BB48-4167-955C-1C4055A6120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2C9-4AB4-B38F-2A430518EA0D}"/>
                </c:ext>
              </c:extLst>
            </c:dLbl>
            <c:dLbl>
              <c:idx val="4"/>
              <c:tx>
                <c:rich>
                  <a:bodyPr/>
                  <a:lstStyle/>
                  <a:p>
                    <a:fld id="{3923C523-E875-4883-BB21-5C54A086E3D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2C9-4AB4-B38F-2A430518EA0D}"/>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Sheet4!$B$148:$G$148</c15:sqref>
                  </c15:fullRef>
                </c:ext>
              </c:extLst>
              <c:f>Sheet4!$C$148:$G$148</c:f>
              <c:numCache>
                <c:formatCode>General</c:formatCode>
                <c:ptCount val="5"/>
                <c:pt idx="0">
                  <c:v>565864</c:v>
                </c:pt>
                <c:pt idx="1">
                  <c:v>680853</c:v>
                </c:pt>
                <c:pt idx="2">
                  <c:v>748207</c:v>
                </c:pt>
                <c:pt idx="3">
                  <c:v>808313</c:v>
                </c:pt>
                <c:pt idx="4">
                  <c:v>911059</c:v>
                </c:pt>
              </c:numCache>
            </c:numRef>
          </c:val>
          <c:extLst>
            <c:ext xmlns:c15="http://schemas.microsoft.com/office/drawing/2012/chart" uri="{02D57815-91ED-43cb-92C2-25804820EDAC}">
              <c15:datalabelsRange>
                <c15:f>Sheet4!$B$129:$G$129</c15:f>
                <c15:dlblRangeCache>
                  <c:ptCount val="6"/>
                  <c:pt idx="0">
                    <c:v>472171</c:v>
                  </c:pt>
                  <c:pt idx="1">
                    <c:v>565864</c:v>
                  </c:pt>
                  <c:pt idx="2">
                    <c:v>680853</c:v>
                  </c:pt>
                  <c:pt idx="3">
                    <c:v>748207</c:v>
                  </c:pt>
                  <c:pt idx="4">
                    <c:v>808313</c:v>
                  </c:pt>
                  <c:pt idx="5">
                    <c:v>911059</c:v>
                  </c:pt>
                </c15:dlblRangeCache>
              </c15:datalabelsRange>
            </c:ext>
            <c:ext xmlns:c16="http://schemas.microsoft.com/office/drawing/2014/chart" uri="{C3380CC4-5D6E-409C-BE32-E72D297353CC}">
              <c16:uniqueId val="{00000000-C7F7-4210-9015-E98ED3A14777}"/>
            </c:ext>
          </c:extLst>
        </c:ser>
        <c:ser>
          <c:idx val="1"/>
          <c:order val="1"/>
          <c:tx>
            <c:strRef>
              <c:f>Sheet4!$A$149</c:f>
              <c:strCache>
                <c:ptCount val="1"/>
                <c:pt idx="0">
                  <c:v>BE</c:v>
                </c:pt>
              </c:strCache>
            </c:strRef>
          </c:tx>
          <c:spPr>
            <a:noFill/>
            <a:ln w="15875">
              <a:solidFill>
                <a:schemeClr val="tx1"/>
              </a:solidFill>
              <a:prstDash val="dash"/>
            </a:ln>
            <a:effectLst/>
          </c:spPr>
          <c:invertIfNegative val="0"/>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Sheet4!$B$149:$G$149</c15:sqref>
                  </c15:fullRef>
                </c:ext>
              </c:extLst>
              <c:f>Sheet4!$C$149:$G$149</c:f>
              <c:numCache>
                <c:formatCode>General</c:formatCode>
                <c:ptCount val="5"/>
                <c:pt idx="0">
                  <c:v>809701</c:v>
                </c:pt>
                <c:pt idx="1">
                  <c:v>940651</c:v>
                </c:pt>
                <c:pt idx="2">
                  <c:v>1079971</c:v>
                </c:pt>
                <c:pt idx="3">
                  <c:v>1162940</c:v>
                </c:pt>
                <c:pt idx="4">
                  <c:v>1276338</c:v>
                </c:pt>
              </c:numCache>
            </c:numRef>
          </c:val>
          <c:extLst>
            <c:ext xmlns:c16="http://schemas.microsoft.com/office/drawing/2014/chart" uri="{C3380CC4-5D6E-409C-BE32-E72D297353CC}">
              <c16:uniqueId val="{00000001-C7F7-4210-9015-E98ED3A14777}"/>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dispUnits>
          <c:builtInUnit val="hundredThousands"/>
        </c:dispUnits>
      </c:valAx>
      <c:spPr>
        <a:noFill/>
        <a:ln>
          <a:noFill/>
        </a:ln>
        <a:effectLst/>
      </c:spPr>
    </c:plotArea>
    <c:legend>
      <c:legendPos val="b"/>
      <c:layout>
        <c:manualLayout>
          <c:xMode val="edge"/>
          <c:yMode val="edge"/>
          <c:x val="0.29683741878906633"/>
          <c:y val="0.92119261649161988"/>
          <c:w val="0.40632488384907373"/>
          <c:h val="7.880738350837995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Sheet4!$A$130</c:f>
          <c:strCache>
            <c:ptCount val="1"/>
            <c:pt idx="0">
              <c:v>Defence  Services</c:v>
            </c:pt>
          </c:strCache>
        </c:strRef>
      </c:tx>
      <c:layout>
        <c:manualLayout>
          <c:xMode val="edge"/>
          <c:yMode val="edge"/>
          <c:x val="0.3080726469510901"/>
          <c:y val="1.380322256337798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78651058433976E-2"/>
          <c:y val="0.12259978806075592"/>
          <c:w val="0.8717129853598905"/>
          <c:h val="0.7325623816898984"/>
        </c:manualLayout>
      </c:layout>
      <c:barChart>
        <c:barDir val="col"/>
        <c:grouping val="clustered"/>
        <c:varyColors val="0"/>
        <c:ser>
          <c:idx val="0"/>
          <c:order val="0"/>
          <c:tx>
            <c:strRef>
              <c:f>Sheet4!$A$151</c:f>
              <c:strCache>
                <c:ptCount val="1"/>
                <c:pt idx="0">
                  <c:v>Actuals (Upto Dec)</c:v>
                </c:pt>
              </c:strCache>
            </c:strRef>
          </c:tx>
          <c:spPr>
            <a:solidFill>
              <a:schemeClr val="accent6">
                <a:lumMod val="75000"/>
              </a:schemeClr>
            </a:solidFill>
            <a:ln>
              <a:noFill/>
            </a:ln>
            <a:effectLst/>
          </c:spPr>
          <c:invertIfNegative val="0"/>
          <c:dLbls>
            <c:dLbl>
              <c:idx val="0"/>
              <c:tx>
                <c:rich>
                  <a:bodyPr/>
                  <a:lstStyle/>
                  <a:p>
                    <a:fld id="{D3F80FBB-A54E-4DF0-81A1-D6E2E602158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341-43D3-BCCB-63A31D6FC229}"/>
                </c:ext>
              </c:extLst>
            </c:dLbl>
            <c:dLbl>
              <c:idx val="1"/>
              <c:tx>
                <c:rich>
                  <a:bodyPr/>
                  <a:lstStyle/>
                  <a:p>
                    <a:fld id="{738D6EBC-8FD5-4D3B-94ED-5E7FABB5FB3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341-43D3-BCCB-63A31D6FC229}"/>
                </c:ext>
              </c:extLst>
            </c:dLbl>
            <c:dLbl>
              <c:idx val="2"/>
              <c:tx>
                <c:rich>
                  <a:bodyPr/>
                  <a:lstStyle/>
                  <a:p>
                    <a:fld id="{C3AF10B5-EEAC-40DD-8FE6-62D38D05702A}"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341-43D3-BCCB-63A31D6FC229}"/>
                </c:ext>
              </c:extLst>
            </c:dLbl>
            <c:dLbl>
              <c:idx val="3"/>
              <c:tx>
                <c:rich>
                  <a:bodyPr/>
                  <a:lstStyle/>
                  <a:p>
                    <a:fld id="{A7D1E32C-FD5A-4EE7-ABD1-1CF72F9A0A5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341-43D3-BCCB-63A31D6FC229}"/>
                </c:ext>
              </c:extLst>
            </c:dLbl>
            <c:dLbl>
              <c:idx val="4"/>
              <c:tx>
                <c:rich>
                  <a:bodyPr/>
                  <a:lstStyle/>
                  <a:p>
                    <a:fld id="{0BC47B6D-2EBF-41EB-AF52-832AB2F3B80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341-43D3-BCCB-63A31D6FC229}"/>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Sheet4!$B$151:$G$151</c15:sqref>
                  </c15:fullRef>
                </c:ext>
              </c:extLst>
              <c:f>Sheet4!$C$151:$G$151</c:f>
              <c:numCache>
                <c:formatCode>General</c:formatCode>
                <c:ptCount val="5"/>
                <c:pt idx="0">
                  <c:v>179859</c:v>
                </c:pt>
                <c:pt idx="1">
                  <c:v>184962</c:v>
                </c:pt>
                <c:pt idx="2">
                  <c:v>215181</c:v>
                </c:pt>
                <c:pt idx="3">
                  <c:v>215520</c:v>
                </c:pt>
                <c:pt idx="4">
                  <c:v>233023</c:v>
                </c:pt>
              </c:numCache>
            </c:numRef>
          </c:val>
          <c:extLst>
            <c:ext xmlns:c15="http://schemas.microsoft.com/office/drawing/2012/chart" uri="{02D57815-91ED-43cb-92C2-25804820EDAC}">
              <c15:datalabelsRange>
                <c15:f>Sheet4!$B$130:$G$130</c15:f>
                <c15:dlblRangeCache>
                  <c:ptCount val="6"/>
                  <c:pt idx="0">
                    <c:v>153857</c:v>
                  </c:pt>
                  <c:pt idx="1">
                    <c:v>179859</c:v>
                  </c:pt>
                  <c:pt idx="2">
                    <c:v>184962</c:v>
                  </c:pt>
                  <c:pt idx="3">
                    <c:v>215181</c:v>
                  </c:pt>
                  <c:pt idx="4">
                    <c:v>215520</c:v>
                  </c:pt>
                  <c:pt idx="5">
                    <c:v>233023</c:v>
                  </c:pt>
                </c15:dlblRangeCache>
              </c15:datalabelsRange>
            </c:ext>
            <c:ext xmlns:c16="http://schemas.microsoft.com/office/drawing/2014/chart" uri="{C3380CC4-5D6E-409C-BE32-E72D297353CC}">
              <c16:uniqueId val="{00000000-C71C-40FF-A6D4-5B8AC9713334}"/>
            </c:ext>
          </c:extLst>
        </c:ser>
        <c:ser>
          <c:idx val="1"/>
          <c:order val="1"/>
          <c:tx>
            <c:strRef>
              <c:f>Sheet4!$A$152</c:f>
              <c:strCache>
                <c:ptCount val="1"/>
                <c:pt idx="0">
                  <c:v>BE</c:v>
                </c:pt>
              </c:strCache>
            </c:strRef>
          </c:tx>
          <c:spPr>
            <a:noFill/>
            <a:ln w="15875">
              <a:solidFill>
                <a:schemeClr val="tx1"/>
              </a:solidFill>
              <a:prstDash val="dash"/>
            </a:ln>
            <a:effectLst/>
          </c:spPr>
          <c:invertIfNegative val="0"/>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Sheet4!$B$152:$G$152</c15:sqref>
                  </c15:fullRef>
                </c:ext>
              </c:extLst>
              <c:f>Sheet4!$C$152:$G$152</c:f>
              <c:numCache>
                <c:formatCode>General</c:formatCode>
                <c:ptCount val="5"/>
                <c:pt idx="0">
                  <c:v>212028</c:v>
                </c:pt>
                <c:pt idx="1">
                  <c:v>233001</c:v>
                </c:pt>
                <c:pt idx="2">
                  <c:v>270120</c:v>
                </c:pt>
                <c:pt idx="3">
                  <c:v>282773</c:v>
                </c:pt>
                <c:pt idx="4">
                  <c:v>311732</c:v>
                </c:pt>
              </c:numCache>
            </c:numRef>
          </c:val>
          <c:extLst>
            <c:ext xmlns:c16="http://schemas.microsoft.com/office/drawing/2014/chart" uri="{C3380CC4-5D6E-409C-BE32-E72D297353CC}">
              <c16:uniqueId val="{00000001-C71C-40FF-A6D4-5B8AC9713334}"/>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dispUnits>
          <c:builtInUnit val="hundredThousands"/>
        </c:dispUnits>
      </c:valAx>
      <c:spPr>
        <a:noFill/>
        <a:ln>
          <a:noFill/>
        </a:ln>
        <a:effectLst/>
      </c:spPr>
    </c:plotArea>
    <c:legend>
      <c:legendPos val="b"/>
      <c:layout>
        <c:manualLayout>
          <c:xMode val="edge"/>
          <c:yMode val="edge"/>
          <c:x val="0.30253536327231606"/>
          <c:y val="0.92119261649161988"/>
          <c:w val="0.39492927345536799"/>
          <c:h val="7.880738350837995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Sheet4!$A$131</c:f>
          <c:strCache>
            <c:ptCount val="1"/>
            <c:pt idx="0">
              <c:v>Grants in Aid  to States &amp; UTs</c:v>
            </c:pt>
          </c:strCache>
        </c:strRef>
      </c:tx>
      <c:layout>
        <c:manualLayout>
          <c:xMode val="edge"/>
          <c:yMode val="edge"/>
          <c:x val="0.18383138888888889"/>
          <c:y val="3.31625336804128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7741403320360658E-2"/>
          <c:y val="0.12004202555951055"/>
          <c:w val="0.92466430930923438"/>
          <c:h val="0.73698702098560809"/>
        </c:manualLayout>
      </c:layout>
      <c:barChart>
        <c:barDir val="col"/>
        <c:grouping val="clustered"/>
        <c:varyColors val="0"/>
        <c:ser>
          <c:idx val="0"/>
          <c:order val="0"/>
          <c:tx>
            <c:strRef>
              <c:f>Sheet4!$A$154</c:f>
              <c:strCache>
                <c:ptCount val="1"/>
                <c:pt idx="0">
                  <c:v>Actuals (Upto Dec)</c:v>
                </c:pt>
              </c:strCache>
            </c:strRef>
          </c:tx>
          <c:spPr>
            <a:solidFill>
              <a:schemeClr val="accent3"/>
            </a:solidFill>
            <a:ln>
              <a:noFill/>
            </a:ln>
            <a:effectLst/>
          </c:spPr>
          <c:invertIfNegative val="0"/>
          <c:dLbls>
            <c:dLbl>
              <c:idx val="0"/>
              <c:tx>
                <c:rich>
                  <a:bodyPr/>
                  <a:lstStyle/>
                  <a:p>
                    <a:fld id="{46CBBA4F-4DAE-4A52-976F-2945B036FEE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E1C-43C0-953E-0C77BD266D86}"/>
                </c:ext>
              </c:extLst>
            </c:dLbl>
            <c:dLbl>
              <c:idx val="1"/>
              <c:tx>
                <c:rich>
                  <a:bodyPr/>
                  <a:lstStyle/>
                  <a:p>
                    <a:fld id="{DB9FC8EC-6E9C-4F0C-9C28-B21B716E3A2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E1C-43C0-953E-0C77BD266D86}"/>
                </c:ext>
              </c:extLst>
            </c:dLbl>
            <c:dLbl>
              <c:idx val="2"/>
              <c:tx>
                <c:rich>
                  <a:bodyPr/>
                  <a:lstStyle/>
                  <a:p>
                    <a:fld id="{77C3B249-FFFC-4BC5-B88C-9DA4FE825E1D}"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E1C-43C0-953E-0C77BD266D86}"/>
                </c:ext>
              </c:extLst>
            </c:dLbl>
            <c:dLbl>
              <c:idx val="3"/>
              <c:tx>
                <c:rich>
                  <a:bodyPr/>
                  <a:lstStyle/>
                  <a:p>
                    <a:fld id="{EC4FFA3D-C8BE-4933-97A9-440F18C383B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E1C-43C0-953E-0C77BD266D86}"/>
                </c:ext>
              </c:extLst>
            </c:dLbl>
            <c:dLbl>
              <c:idx val="4"/>
              <c:tx>
                <c:rich>
                  <a:bodyPr/>
                  <a:lstStyle/>
                  <a:p>
                    <a:fld id="{2869F895-A8B1-4FE6-8DB5-C5399CABBF0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E1C-43C0-953E-0C77BD266D86}"/>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Sheet4!$B$154:$G$154</c15:sqref>
                  </c15:fullRef>
                </c:ext>
              </c:extLst>
              <c:f>Sheet4!$C$154:$G$154</c:f>
              <c:numCache>
                <c:formatCode>General</c:formatCode>
                <c:ptCount val="5"/>
                <c:pt idx="0">
                  <c:v>426909</c:v>
                </c:pt>
                <c:pt idx="1">
                  <c:v>387918</c:v>
                </c:pt>
                <c:pt idx="2">
                  <c:v>349946</c:v>
                </c:pt>
                <c:pt idx="3">
                  <c:v>348245</c:v>
                </c:pt>
                <c:pt idx="4">
                  <c:v>247273</c:v>
                </c:pt>
              </c:numCache>
            </c:numRef>
          </c:val>
          <c:extLst>
            <c:ext xmlns:c15="http://schemas.microsoft.com/office/drawing/2012/chart" uri="{02D57815-91ED-43cb-92C2-25804820EDAC}">
              <c15:datalabelsRange>
                <c15:f>Sheet4!$B$131:$G$131</c15:f>
                <c15:dlblRangeCache>
                  <c:ptCount val="6"/>
                  <c:pt idx="0">
                    <c:v>439785</c:v>
                  </c:pt>
                  <c:pt idx="1">
                    <c:v>426909</c:v>
                  </c:pt>
                  <c:pt idx="2">
                    <c:v>387918</c:v>
                  </c:pt>
                  <c:pt idx="3">
                    <c:v>349946</c:v>
                  </c:pt>
                  <c:pt idx="4">
                    <c:v>348245</c:v>
                  </c:pt>
                  <c:pt idx="5">
                    <c:v>247273</c:v>
                  </c:pt>
                </c15:dlblRangeCache>
              </c15:datalabelsRange>
            </c:ext>
            <c:ext xmlns:c16="http://schemas.microsoft.com/office/drawing/2014/chart" uri="{C3380CC4-5D6E-409C-BE32-E72D297353CC}">
              <c16:uniqueId val="{00000000-4987-46C1-8814-D4DF0E2A2151}"/>
            </c:ext>
          </c:extLst>
        </c:ser>
        <c:ser>
          <c:idx val="1"/>
          <c:order val="1"/>
          <c:tx>
            <c:strRef>
              <c:f>Sheet4!$A$155</c:f>
              <c:strCache>
                <c:ptCount val="1"/>
                <c:pt idx="0">
                  <c:v>BE</c:v>
                </c:pt>
              </c:strCache>
            </c:strRef>
          </c:tx>
          <c:spPr>
            <a:noFill/>
            <a:ln w="15875">
              <a:solidFill>
                <a:schemeClr val="tx1"/>
              </a:solidFill>
              <a:prstDash val="dash"/>
            </a:ln>
            <a:effectLst/>
          </c:spPr>
          <c:invertIfNegative val="0"/>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Sheet4!$B$155:$G$155</c15:sqref>
                  </c15:fullRef>
                </c:ext>
              </c:extLst>
              <c:f>Sheet4!$C$155:$G$155</c:f>
              <c:numCache>
                <c:formatCode>General</c:formatCode>
                <c:ptCount val="5"/>
                <c:pt idx="0">
                  <c:v>605812</c:v>
                </c:pt>
                <c:pt idx="1">
                  <c:v>617057</c:v>
                </c:pt>
                <c:pt idx="2">
                  <c:v>659736</c:v>
                </c:pt>
                <c:pt idx="3">
                  <c:v>641460</c:v>
                </c:pt>
                <c:pt idx="4">
                  <c:v>720056</c:v>
                </c:pt>
              </c:numCache>
            </c:numRef>
          </c:val>
          <c:extLst>
            <c:ext xmlns:c16="http://schemas.microsoft.com/office/drawing/2014/chart" uri="{C3380CC4-5D6E-409C-BE32-E72D297353CC}">
              <c16:uniqueId val="{00000001-4987-46C1-8814-D4DF0E2A2151}"/>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dispUnits>
          <c:builtInUnit val="hundredThousands"/>
        </c:dispUnits>
      </c:valAx>
      <c:spPr>
        <a:noFill/>
        <a:ln>
          <a:noFill/>
        </a:ln>
        <a:effectLst/>
      </c:spPr>
    </c:plotArea>
    <c:legend>
      <c:legendPos val="b"/>
      <c:layout>
        <c:manualLayout>
          <c:xMode val="edge"/>
          <c:yMode val="edge"/>
          <c:x val="0.20466478587890805"/>
          <c:y val="0.91775525545924697"/>
          <c:w val="0.57659499834585992"/>
          <c:h val="7.76436703529603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Sheet4!$A$132</c:f>
          <c:strCache>
            <c:ptCount val="1"/>
            <c:pt idx="0">
              <c:v>Pensions</c:v>
            </c:pt>
          </c:strCache>
        </c:strRef>
      </c:tx>
      <c:layout>
        <c:manualLayout>
          <c:xMode val="edge"/>
          <c:yMode val="edge"/>
          <c:x val="0.41654249502526652"/>
          <c:y val="4.3195480862043053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301159757728055E-2"/>
          <c:y val="0.11490435845610444"/>
          <c:w val="0.89362807704463021"/>
          <c:h val="0.73820955856500725"/>
        </c:manualLayout>
      </c:layout>
      <c:barChart>
        <c:barDir val="col"/>
        <c:grouping val="clustered"/>
        <c:varyColors val="0"/>
        <c:ser>
          <c:idx val="0"/>
          <c:order val="0"/>
          <c:tx>
            <c:strRef>
              <c:f>Sheet4!$A$157</c:f>
              <c:strCache>
                <c:ptCount val="1"/>
                <c:pt idx="0">
                  <c:v>Actuals (Upto Dec)</c:v>
                </c:pt>
              </c:strCache>
            </c:strRef>
          </c:tx>
          <c:spPr>
            <a:solidFill>
              <a:schemeClr val="accent4"/>
            </a:solidFill>
            <a:ln>
              <a:noFill/>
            </a:ln>
            <a:effectLst/>
          </c:spPr>
          <c:invertIfNegative val="0"/>
          <c:dLbls>
            <c:dLbl>
              <c:idx val="0"/>
              <c:tx>
                <c:rich>
                  <a:bodyPr/>
                  <a:lstStyle/>
                  <a:p>
                    <a:fld id="{B47AA14B-464D-45B2-B0F2-CF056500B8D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1C0-48D2-8980-DC66A422D73E}"/>
                </c:ext>
              </c:extLst>
            </c:dLbl>
            <c:dLbl>
              <c:idx val="1"/>
              <c:tx>
                <c:rich>
                  <a:bodyPr/>
                  <a:lstStyle/>
                  <a:p>
                    <a:fld id="{BB49B015-74A1-4523-AC90-C95E1CB061C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1C0-48D2-8980-DC66A422D73E}"/>
                </c:ext>
              </c:extLst>
            </c:dLbl>
            <c:dLbl>
              <c:idx val="2"/>
              <c:tx>
                <c:rich>
                  <a:bodyPr/>
                  <a:lstStyle/>
                  <a:p>
                    <a:fld id="{3EB64700-1DDE-403D-9ACC-F77D13817F4D}"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1C0-48D2-8980-DC66A422D73E}"/>
                </c:ext>
              </c:extLst>
            </c:dLbl>
            <c:dLbl>
              <c:idx val="3"/>
              <c:tx>
                <c:rich>
                  <a:bodyPr/>
                  <a:lstStyle/>
                  <a:p>
                    <a:fld id="{0DB8DB61-D07D-4BDA-B108-F03969BF92B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1C0-48D2-8980-DC66A422D73E}"/>
                </c:ext>
              </c:extLst>
            </c:dLbl>
            <c:dLbl>
              <c:idx val="4"/>
              <c:tx>
                <c:rich>
                  <a:bodyPr/>
                  <a:lstStyle/>
                  <a:p>
                    <a:fld id="{0AAB3DC0-2538-4959-AF40-6DDB7B94AE3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1C0-48D2-8980-DC66A422D73E}"/>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Sheet4!$B$157:$G$157</c15:sqref>
                  </c15:fullRef>
                </c:ext>
              </c:extLst>
              <c:f>Sheet4!$C$157:$G$157</c:f>
              <c:numCache>
                <c:formatCode>General</c:formatCode>
                <c:ptCount val="5"/>
                <c:pt idx="0">
                  <c:v>146150</c:v>
                </c:pt>
                <c:pt idx="1">
                  <c:v>168439</c:v>
                </c:pt>
                <c:pt idx="2">
                  <c:v>191905</c:v>
                </c:pt>
                <c:pt idx="3">
                  <c:v>215263</c:v>
                </c:pt>
                <c:pt idx="4">
                  <c:v>226030</c:v>
                </c:pt>
              </c:numCache>
            </c:numRef>
          </c:val>
          <c:extLst>
            <c:ext xmlns:c15="http://schemas.microsoft.com/office/drawing/2012/chart" uri="{02D57815-91ED-43cb-92C2-25804820EDAC}">
              <c15:datalabelsRange>
                <c15:f>Sheet4!$B$132:$G$132</c15:f>
                <c15:dlblRangeCache>
                  <c:ptCount val="6"/>
                  <c:pt idx="0">
                    <c:v>159146</c:v>
                  </c:pt>
                  <c:pt idx="1">
                    <c:v>146150</c:v>
                  </c:pt>
                  <c:pt idx="2">
                    <c:v>168439</c:v>
                  </c:pt>
                  <c:pt idx="3">
                    <c:v>191905</c:v>
                  </c:pt>
                  <c:pt idx="4">
                    <c:v>215263</c:v>
                  </c:pt>
                  <c:pt idx="5">
                    <c:v>226030</c:v>
                  </c:pt>
                </c15:dlblRangeCache>
              </c15:datalabelsRange>
            </c:ext>
            <c:ext xmlns:c16="http://schemas.microsoft.com/office/drawing/2014/chart" uri="{C3380CC4-5D6E-409C-BE32-E72D297353CC}">
              <c16:uniqueId val="{00000000-96CE-4F57-B466-293B6B71FE6B}"/>
            </c:ext>
          </c:extLst>
        </c:ser>
        <c:ser>
          <c:idx val="1"/>
          <c:order val="1"/>
          <c:tx>
            <c:strRef>
              <c:f>Sheet4!$A$158</c:f>
              <c:strCache>
                <c:ptCount val="1"/>
                <c:pt idx="0">
                  <c:v>BE</c:v>
                </c:pt>
              </c:strCache>
            </c:strRef>
          </c:tx>
          <c:spPr>
            <a:noFill/>
            <a:ln w="15875">
              <a:solidFill>
                <a:schemeClr val="tx1"/>
              </a:solidFill>
              <a:prstDash val="dash"/>
            </a:ln>
            <a:effectLst/>
          </c:spPr>
          <c:invertIfNegative val="0"/>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Sheet4!$B$158:$G$158</c15:sqref>
                  </c15:fullRef>
                </c:ext>
              </c:extLst>
              <c:f>Sheet4!$C$158:$G$158</c:f>
              <c:numCache>
                <c:formatCode>General</c:formatCode>
                <c:ptCount val="5"/>
                <c:pt idx="0">
                  <c:v>190328</c:v>
                </c:pt>
                <c:pt idx="1">
                  <c:v>207132</c:v>
                </c:pt>
                <c:pt idx="2">
                  <c:v>234359</c:v>
                </c:pt>
                <c:pt idx="3">
                  <c:v>243296</c:v>
                </c:pt>
                <c:pt idx="4">
                  <c:v>276618</c:v>
                </c:pt>
              </c:numCache>
            </c:numRef>
          </c:val>
          <c:extLst>
            <c:ext xmlns:c16="http://schemas.microsoft.com/office/drawing/2014/chart" uri="{C3380CC4-5D6E-409C-BE32-E72D297353CC}">
              <c16:uniqueId val="{00000001-96CE-4F57-B466-293B6B71FE6B}"/>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dispUnits>
          <c:builtInUnit val="hundredThousands"/>
        </c:dispUnits>
      </c:valAx>
      <c:spPr>
        <a:noFill/>
        <a:ln>
          <a:noFill/>
        </a:ln>
        <a:effectLst/>
      </c:spPr>
    </c:plotArea>
    <c:legend>
      <c:legendPos val="b"/>
      <c:layout>
        <c:manualLayout>
          <c:xMode val="edge"/>
          <c:yMode val="edge"/>
          <c:x val="0.34558763855754732"/>
          <c:y val="0.92271723314756149"/>
          <c:w val="0.36158980789253481"/>
          <c:h val="7.72827668524384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Sheet4!$A$133</c:f>
          <c:strCache>
            <c:ptCount val="1"/>
            <c:pt idx="0">
              <c:v>Major Subsidies</c:v>
            </c:pt>
          </c:strCache>
        </c:strRef>
      </c:tx>
      <c:layout>
        <c:manualLayout>
          <c:xMode val="edge"/>
          <c:yMode val="edge"/>
          <c:x val="0.3265641949225920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926944444444449E-2"/>
          <c:y val="0.11585073556959076"/>
          <c:w val="0.92467333333333335"/>
          <c:h val="0.74577936157220448"/>
        </c:manualLayout>
      </c:layout>
      <c:barChart>
        <c:barDir val="col"/>
        <c:grouping val="clustered"/>
        <c:varyColors val="0"/>
        <c:ser>
          <c:idx val="0"/>
          <c:order val="0"/>
          <c:tx>
            <c:strRef>
              <c:f>Sheet4!$A$160</c:f>
              <c:strCache>
                <c:ptCount val="1"/>
                <c:pt idx="0">
                  <c:v>Actuals (Upto Dec)</c:v>
                </c:pt>
              </c:strCache>
            </c:strRef>
          </c:tx>
          <c:spPr>
            <a:solidFill>
              <a:schemeClr val="accent5"/>
            </a:solidFill>
            <a:ln>
              <a:noFill/>
            </a:ln>
            <a:effectLst/>
          </c:spPr>
          <c:invertIfNegative val="0"/>
          <c:dLbls>
            <c:dLbl>
              <c:idx val="0"/>
              <c:tx>
                <c:rich>
                  <a:bodyPr/>
                  <a:lstStyle/>
                  <a:p>
                    <a:fld id="{34D3E3BE-326E-44C2-98D0-B4BACE54681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332-4CC5-BE7C-45F071748477}"/>
                </c:ext>
              </c:extLst>
            </c:dLbl>
            <c:dLbl>
              <c:idx val="1"/>
              <c:tx>
                <c:rich>
                  <a:bodyPr/>
                  <a:lstStyle/>
                  <a:p>
                    <a:fld id="{5C21D0BA-2486-447F-9452-F634D2894AC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332-4CC5-BE7C-45F071748477}"/>
                </c:ext>
              </c:extLst>
            </c:dLbl>
            <c:dLbl>
              <c:idx val="2"/>
              <c:tx>
                <c:rich>
                  <a:bodyPr/>
                  <a:lstStyle/>
                  <a:p>
                    <a:fld id="{5905826B-23F6-434F-94FD-32559F620A4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332-4CC5-BE7C-45F071748477}"/>
                </c:ext>
              </c:extLst>
            </c:dLbl>
            <c:dLbl>
              <c:idx val="3"/>
              <c:tx>
                <c:rich>
                  <a:bodyPr/>
                  <a:lstStyle/>
                  <a:p>
                    <a:fld id="{FF4E8881-013F-4397-9B3D-EE58E8C9F64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332-4CC5-BE7C-45F071748477}"/>
                </c:ext>
              </c:extLst>
            </c:dLbl>
            <c:dLbl>
              <c:idx val="4"/>
              <c:tx>
                <c:rich>
                  <a:bodyPr/>
                  <a:lstStyle/>
                  <a:p>
                    <a:fld id="{CCFAEB2B-CF2E-46D4-863E-A100522964B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332-4CC5-BE7C-45F071748477}"/>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Sheet4!$B$160:$G$160</c15:sqref>
                  </c15:fullRef>
                </c:ext>
              </c:extLst>
              <c:f>Sheet4!$C$160:$G$160</c:f>
              <c:numCache>
                <c:formatCode>General</c:formatCode>
                <c:ptCount val="5"/>
                <c:pt idx="0">
                  <c:v>271374</c:v>
                </c:pt>
                <c:pt idx="1">
                  <c:v>350524</c:v>
                </c:pt>
                <c:pt idx="2">
                  <c:v>276804</c:v>
                </c:pt>
                <c:pt idx="3">
                  <c:v>306994</c:v>
                </c:pt>
                <c:pt idx="4">
                  <c:v>317490</c:v>
                </c:pt>
              </c:numCache>
            </c:numRef>
          </c:val>
          <c:extLst>
            <c:ext xmlns:c15="http://schemas.microsoft.com/office/drawing/2012/chart" uri="{02D57815-91ED-43cb-92C2-25804820EDAC}">
              <c15:datalabelsRange>
                <c15:f>Sheet4!$B$133:$G$133</c15:f>
                <c15:dlblRangeCache>
                  <c:ptCount val="6"/>
                  <c:pt idx="0">
                    <c:v>227352</c:v>
                  </c:pt>
                  <c:pt idx="1">
                    <c:v>271374</c:v>
                  </c:pt>
                  <c:pt idx="2">
                    <c:v>350524</c:v>
                  </c:pt>
                  <c:pt idx="3">
                    <c:v>276804</c:v>
                  </c:pt>
                  <c:pt idx="4">
                    <c:v>306994</c:v>
                  </c:pt>
                  <c:pt idx="5">
                    <c:v>317490</c:v>
                  </c:pt>
                </c15:dlblRangeCache>
              </c15:datalabelsRange>
            </c:ext>
            <c:ext xmlns:c16="http://schemas.microsoft.com/office/drawing/2014/chart" uri="{C3380CC4-5D6E-409C-BE32-E72D297353CC}">
              <c16:uniqueId val="{00000000-5131-40F2-A0FA-D5BA45F2232D}"/>
            </c:ext>
          </c:extLst>
        </c:ser>
        <c:ser>
          <c:idx val="1"/>
          <c:order val="1"/>
          <c:tx>
            <c:strRef>
              <c:f>Sheet4!$A$161</c:f>
              <c:strCache>
                <c:ptCount val="1"/>
                <c:pt idx="0">
                  <c:v>BE</c:v>
                </c:pt>
              </c:strCache>
            </c:strRef>
          </c:tx>
          <c:spPr>
            <a:noFill/>
            <a:ln w="15875">
              <a:solidFill>
                <a:schemeClr val="tx1"/>
              </a:solidFill>
              <a:prstDash val="dash"/>
            </a:ln>
            <a:effectLst/>
          </c:spPr>
          <c:invertIfNegative val="0"/>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Sheet4!$B$161:$G$161</c15:sqref>
                  </c15:fullRef>
                </c:ext>
              </c:extLst>
              <c:f>Sheet4!$C$161:$G$161</c:f>
              <c:numCache>
                <c:formatCode>General</c:formatCode>
                <c:ptCount val="5"/>
                <c:pt idx="0">
                  <c:v>336439</c:v>
                </c:pt>
                <c:pt idx="1">
                  <c:v>317866</c:v>
                </c:pt>
                <c:pt idx="2">
                  <c:v>374707</c:v>
                </c:pt>
                <c:pt idx="3">
                  <c:v>381175</c:v>
                </c:pt>
                <c:pt idx="4">
                  <c:v>383407</c:v>
                </c:pt>
              </c:numCache>
            </c:numRef>
          </c:val>
          <c:extLst>
            <c:ext xmlns:c16="http://schemas.microsoft.com/office/drawing/2014/chart" uri="{C3380CC4-5D6E-409C-BE32-E72D297353CC}">
              <c16:uniqueId val="{00000001-5131-40F2-A0FA-D5BA45F2232D}"/>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dispUnits>
          <c:builtInUnit val="hundredThousands"/>
        </c:dispUnits>
      </c:valAx>
      <c:spPr>
        <a:noFill/>
        <a:ln>
          <a:noFill/>
        </a:ln>
        <a:effectLst/>
      </c:spPr>
    </c:plotArea>
    <c:legend>
      <c:legendPos val="b"/>
      <c:layout>
        <c:manualLayout>
          <c:xMode val="edge"/>
          <c:yMode val="edge"/>
          <c:x val="0.29849229383853426"/>
          <c:y val="0.92235632964703962"/>
          <c:w val="0.43116600284002354"/>
          <c:h val="7.76436703529603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Sheet4!$I$105</c:f>
          <c:strCache>
            <c:ptCount val="1"/>
            <c:pt idx="0">
              <c:v>Total Expenditure</c:v>
            </c:pt>
          </c:strCache>
        </c:strRef>
      </c:tx>
      <c:layout>
        <c:manualLayout>
          <c:xMode val="edge"/>
          <c:yMode val="edge"/>
          <c:x val="0.24022740699847944"/>
          <c:y val="1.451576373981780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4.678869130219538E-2"/>
          <c:y val="0.13100477609267061"/>
          <c:w val="0.94574304053467462"/>
          <c:h val="0.69169116543497877"/>
        </c:manualLayout>
      </c:layout>
      <c:barChart>
        <c:barDir val="col"/>
        <c:grouping val="stacked"/>
        <c:varyColors val="0"/>
        <c:ser>
          <c:idx val="0"/>
          <c:order val="0"/>
          <c:tx>
            <c:strRef>
              <c:f>Sheet4!$A$103</c:f>
              <c:strCache>
                <c:ptCount val="1"/>
                <c:pt idx="0">
                  <c:v>Revenue Expenditure</c:v>
                </c:pt>
              </c:strCache>
            </c:strRef>
          </c:tx>
          <c:spPr>
            <a:solidFill>
              <a:schemeClr val="accent1"/>
            </a:solidFill>
            <a:ln>
              <a:noFill/>
            </a:ln>
            <a:effectLst/>
          </c:spPr>
          <c:invertIfNegative val="0"/>
          <c:cat>
            <c:strRef>
              <c:extLst>
                <c:ext xmlns:c15="http://schemas.microsoft.com/office/drawing/2012/chart" uri="{02D57815-91ED-43cb-92C2-25804820EDAC}">
                  <c15:fullRef>
                    <c15:sqref>Sheet4!$B$91:$G$91</c15:sqref>
                  </c15:fullRef>
                </c:ext>
              </c:extLst>
              <c:f>Sheet4!$C$91:$G$91</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Sheet4!$B$103:$G$103</c15:sqref>
                  </c15:fullRef>
                </c:ext>
              </c:extLst>
              <c:f>Sheet4!$C$103:$G$103</c:f>
              <c:numCache>
                <c:formatCode>General</c:formatCode>
                <c:ptCount val="5"/>
                <c:pt idx="0">
                  <c:v>2129414</c:v>
                </c:pt>
                <c:pt idx="1">
                  <c:v>2328132</c:v>
                </c:pt>
                <c:pt idx="2">
                  <c:v>2380587</c:v>
                </c:pt>
                <c:pt idx="3">
                  <c:v>2546757</c:v>
                </c:pt>
                <c:pt idx="4">
                  <c:v>2593063</c:v>
                </c:pt>
              </c:numCache>
            </c:numRef>
          </c:val>
          <c:extLst>
            <c:ext xmlns:c16="http://schemas.microsoft.com/office/drawing/2014/chart" uri="{C3380CC4-5D6E-409C-BE32-E72D297353CC}">
              <c16:uniqueId val="{00000000-99BF-4D04-9FAA-C9245068A64E}"/>
            </c:ext>
          </c:extLst>
        </c:ser>
        <c:ser>
          <c:idx val="1"/>
          <c:order val="1"/>
          <c:tx>
            <c:strRef>
              <c:f>Sheet4!$A$104</c:f>
              <c:strCache>
                <c:ptCount val="1"/>
                <c:pt idx="0">
                  <c:v>Capital Expenditure</c:v>
                </c:pt>
              </c:strCache>
            </c:strRef>
          </c:tx>
          <c:spPr>
            <a:solidFill>
              <a:schemeClr val="accent6">
                <a:lumMod val="75000"/>
              </a:schemeClr>
            </a:solidFill>
            <a:ln>
              <a:noFill/>
            </a:ln>
            <a:effectLst/>
          </c:spPr>
          <c:invertIfNegative val="0"/>
          <c:cat>
            <c:strRef>
              <c:extLst>
                <c:ext xmlns:c15="http://schemas.microsoft.com/office/drawing/2012/chart" uri="{02D57815-91ED-43cb-92C2-25804820EDAC}">
                  <c15:fullRef>
                    <c15:sqref>Sheet4!$B$91:$G$91</c15:sqref>
                  </c15:fullRef>
                </c:ext>
              </c:extLst>
              <c:f>Sheet4!$C$91:$G$91</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Sheet4!$B$104:$G$104</c15:sqref>
                  </c15:fullRef>
                </c:ext>
              </c:extLst>
              <c:f>Sheet4!$C$104:$G$104</c:f>
              <c:numCache>
                <c:formatCode>General</c:formatCode>
                <c:ptCount val="5"/>
                <c:pt idx="0">
                  <c:v>391644</c:v>
                </c:pt>
                <c:pt idx="1">
                  <c:v>489944</c:v>
                </c:pt>
                <c:pt idx="2">
                  <c:v>673630</c:v>
                </c:pt>
                <c:pt idx="3">
                  <c:v>685337</c:v>
                </c:pt>
                <c:pt idx="4">
                  <c:v>787935</c:v>
                </c:pt>
              </c:numCache>
            </c:numRef>
          </c:val>
          <c:extLst>
            <c:ext xmlns:c16="http://schemas.microsoft.com/office/drawing/2014/chart" uri="{C3380CC4-5D6E-409C-BE32-E72D297353CC}">
              <c16:uniqueId val="{00000001-99BF-4D04-9FAA-C9245068A64E}"/>
            </c:ext>
          </c:extLst>
        </c:ser>
        <c:dLbls>
          <c:showLegendKey val="0"/>
          <c:showVal val="0"/>
          <c:showCatName val="0"/>
          <c:showSerName val="0"/>
          <c:showPercent val="0"/>
          <c:showBubbleSize val="0"/>
        </c:dLbls>
        <c:gapWidth val="100"/>
        <c:overlap val="100"/>
        <c:axId val="512420000"/>
        <c:axId val="512420328"/>
      </c:barChart>
      <c:lineChart>
        <c:grouping val="standard"/>
        <c:varyColors val="0"/>
        <c:ser>
          <c:idx val="2"/>
          <c:order val="2"/>
          <c:tx>
            <c:strRef>
              <c:f>Sheet4!$A$105</c:f>
              <c:strCache>
                <c:ptCount val="1"/>
                <c:pt idx="0">
                  <c:v>Total Expenditure</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Sheet4!$B$91:$G$91</c15:sqref>
                  </c15:fullRef>
                </c:ext>
              </c:extLst>
              <c:f>Sheet4!$C$91:$G$91</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Sheet4!$B$105:$G$105</c15:sqref>
                  </c15:fullRef>
                </c:ext>
              </c:extLst>
              <c:f>Sheet4!$C$105:$G$105</c:f>
              <c:numCache>
                <c:formatCode>General</c:formatCode>
                <c:ptCount val="5"/>
                <c:pt idx="0">
                  <c:v>2521058</c:v>
                </c:pt>
                <c:pt idx="1">
                  <c:v>2818076</c:v>
                </c:pt>
                <c:pt idx="2">
                  <c:v>3054217</c:v>
                </c:pt>
                <c:pt idx="3">
                  <c:v>3232094</c:v>
                </c:pt>
                <c:pt idx="4">
                  <c:v>3380998</c:v>
                </c:pt>
              </c:numCache>
            </c:numRef>
          </c:val>
          <c:smooth val="0"/>
          <c:extLst>
            <c:ext xmlns:c16="http://schemas.microsoft.com/office/drawing/2014/chart" uri="{C3380CC4-5D6E-409C-BE32-E72D297353CC}">
              <c16:uniqueId val="{00000002-99BF-4D04-9FAA-C9245068A64E}"/>
            </c:ext>
          </c:extLst>
        </c:ser>
        <c:dLbls>
          <c:showLegendKey val="0"/>
          <c:showVal val="0"/>
          <c:showCatName val="0"/>
          <c:showSerName val="0"/>
          <c:showPercent val="0"/>
          <c:showBubbleSize val="0"/>
        </c:dLbls>
        <c:marker val="1"/>
        <c:smooth val="0"/>
        <c:axId val="520875008"/>
        <c:axId val="520869760"/>
      </c:lineChart>
      <c:catAx>
        <c:axId val="51242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12420328"/>
        <c:crosses val="autoZero"/>
        <c:auto val="1"/>
        <c:lblAlgn val="ctr"/>
        <c:lblOffset val="100"/>
        <c:noMultiLvlLbl val="0"/>
      </c:catAx>
      <c:valAx>
        <c:axId val="512420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420000"/>
        <c:crosses val="autoZero"/>
        <c:crossBetween val="between"/>
        <c:dispUnits>
          <c:builtInUnit val="hundredThousands"/>
        </c:dispUnits>
      </c:valAx>
      <c:valAx>
        <c:axId val="520869760"/>
        <c:scaling>
          <c:orientation val="minMax"/>
        </c:scaling>
        <c:delete val="1"/>
        <c:axPos val="r"/>
        <c:numFmt formatCode="General" sourceLinked="1"/>
        <c:majorTickMark val="out"/>
        <c:minorTickMark val="none"/>
        <c:tickLblPos val="nextTo"/>
        <c:crossAx val="520875008"/>
        <c:crosses val="max"/>
        <c:crossBetween val="between"/>
      </c:valAx>
      <c:catAx>
        <c:axId val="520875008"/>
        <c:scaling>
          <c:orientation val="minMax"/>
        </c:scaling>
        <c:delete val="1"/>
        <c:axPos val="b"/>
        <c:numFmt formatCode="General" sourceLinked="1"/>
        <c:majorTickMark val="out"/>
        <c:minorTickMark val="none"/>
        <c:tickLblPos val="nextTo"/>
        <c:crossAx val="520869760"/>
        <c:crosses val="autoZero"/>
        <c:auto val="1"/>
        <c:lblAlgn val="ctr"/>
        <c:lblOffset val="100"/>
        <c:noMultiLvlLbl val="0"/>
      </c:catAx>
      <c:spPr>
        <a:noFill/>
        <a:ln>
          <a:noFill/>
        </a:ln>
        <a:effectLst/>
      </c:spPr>
    </c:plotArea>
    <c:plotVisOnly val="1"/>
    <c:dispBlanksAs val="gap"/>
    <c:showDLblsOverMax val="0"/>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Sheet4!$A$45</c:f>
          <c:strCache>
            <c:ptCount val="1"/>
            <c:pt idx="0">
              <c:v>Fiscal Deficit</c:v>
            </c:pt>
          </c:strCache>
        </c:strRef>
      </c:tx>
      <c:layout>
        <c:manualLayout>
          <c:xMode val="edge"/>
          <c:yMode val="edge"/>
          <c:x val="0.45895430555555555"/>
          <c:y val="3.2722588970013999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7.5439999999999993E-2"/>
          <c:y val="0.11482356469577912"/>
          <c:w val="0.89633777777777768"/>
          <c:h val="0.74404339869681402"/>
        </c:manualLayout>
      </c:layout>
      <c:barChart>
        <c:barDir val="col"/>
        <c:grouping val="clustered"/>
        <c:varyColors val="0"/>
        <c:ser>
          <c:idx val="0"/>
          <c:order val="0"/>
          <c:tx>
            <c:strRef>
              <c:f>Sheet4!$A$163</c:f>
              <c:strCache>
                <c:ptCount val="1"/>
                <c:pt idx="0">
                  <c:v>Actuals (Upto Dec)</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Sheet4!$B$163:$G$163</c15:sqref>
                  </c15:fullRef>
                </c:ext>
              </c:extLst>
              <c:f>Sheet4!$C$163:$G$163</c:f>
              <c:numCache>
                <c:formatCode>General</c:formatCode>
                <c:ptCount val="5"/>
                <c:pt idx="0">
                  <c:v>759366</c:v>
                </c:pt>
                <c:pt idx="1">
                  <c:v>992976</c:v>
                </c:pt>
                <c:pt idx="2">
                  <c:v>982278</c:v>
                </c:pt>
                <c:pt idx="3">
                  <c:v>914089</c:v>
                </c:pt>
                <c:pt idx="4">
                  <c:v>855842</c:v>
                </c:pt>
              </c:numCache>
            </c:numRef>
          </c:val>
          <c:extLst>
            <c:ext xmlns:c16="http://schemas.microsoft.com/office/drawing/2014/chart" uri="{C3380CC4-5D6E-409C-BE32-E72D297353CC}">
              <c16:uniqueId val="{00000000-E4A6-4F0F-B555-83E4079A46A3}"/>
            </c:ext>
          </c:extLst>
        </c:ser>
        <c:ser>
          <c:idx val="1"/>
          <c:order val="1"/>
          <c:tx>
            <c:strRef>
              <c:f>Sheet4!$A$164</c:f>
              <c:strCache>
                <c:ptCount val="1"/>
                <c:pt idx="0">
                  <c:v>BE</c:v>
                </c:pt>
              </c:strCache>
            </c:strRef>
          </c:tx>
          <c:spPr>
            <a:noFill/>
            <a:ln w="15875">
              <a:solidFill>
                <a:schemeClr val="tx1"/>
              </a:solidFill>
              <a:prstDash val="dash"/>
            </a:ln>
            <a:effectLst/>
          </c:spPr>
          <c:invertIfNegative val="0"/>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Sheet4!$B$164:$G$164</c15:sqref>
                  </c15:fullRef>
                </c:ext>
              </c:extLst>
              <c:f>Sheet4!$C$164:$G$164</c:f>
              <c:numCache>
                <c:formatCode>General</c:formatCode>
                <c:ptCount val="5"/>
                <c:pt idx="0">
                  <c:v>1506812</c:v>
                </c:pt>
                <c:pt idx="1">
                  <c:v>1661196</c:v>
                </c:pt>
                <c:pt idx="2">
                  <c:v>1786816</c:v>
                </c:pt>
                <c:pt idx="3">
                  <c:v>1613312</c:v>
                </c:pt>
                <c:pt idx="4">
                  <c:v>1568936</c:v>
                </c:pt>
              </c:numCache>
            </c:numRef>
          </c:val>
          <c:extLst>
            <c:ext xmlns:c16="http://schemas.microsoft.com/office/drawing/2014/chart" uri="{C3380CC4-5D6E-409C-BE32-E72D297353CC}">
              <c16:uniqueId val="{00000001-E4A6-4F0F-B555-83E4079A46A3}"/>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valAx>
      <c:spPr>
        <a:noFill/>
        <a:ln>
          <a:noFill/>
        </a:ln>
        <a:effectLst/>
      </c:spPr>
    </c:plotArea>
    <c:legend>
      <c:legendPos val="b"/>
      <c:layout>
        <c:manualLayout>
          <c:xMode val="edge"/>
          <c:yMode val="edge"/>
          <c:x val="0.3645288888888889"/>
          <c:y val="0.94082805652754264"/>
          <c:w val="0.25153944444444443"/>
          <c:h val="5.917197421047736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Sheet4!$A$46</c:f>
          <c:strCache>
            <c:ptCount val="1"/>
            <c:pt idx="0">
              <c:v>Revenue Deficit</c:v>
            </c:pt>
          </c:strCache>
        </c:strRef>
      </c:tx>
      <c:layout>
        <c:manualLayout>
          <c:xMode val="edge"/>
          <c:yMode val="edge"/>
          <c:x val="0.44422583333333332"/>
          <c:y val="3.2692390858898609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0"/>
          <c:order val="0"/>
          <c:tx>
            <c:strRef>
              <c:f>Sheet4!$A$166</c:f>
              <c:strCache>
                <c:ptCount val="1"/>
                <c:pt idx="0">
                  <c:v>Actuals (Upto Dec)</c:v>
                </c:pt>
              </c:strCache>
            </c:strRef>
          </c:tx>
          <c:spPr>
            <a:solidFill>
              <a:schemeClr val="accent6">
                <a:lumMod val="7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Sheet4!$B$166:$G$166</c15:sqref>
                  </c15:fullRef>
                </c:ext>
              </c:extLst>
              <c:f>Sheet4!$C$166:$G$166</c:f>
              <c:numCache>
                <c:formatCode>General</c:formatCode>
                <c:ptCount val="5"/>
                <c:pt idx="0">
                  <c:v>396191</c:v>
                </c:pt>
                <c:pt idx="1">
                  <c:v>558138</c:v>
                </c:pt>
                <c:pt idx="2">
                  <c:v>338298</c:v>
                </c:pt>
                <c:pt idx="3">
                  <c:v>256047</c:v>
                </c:pt>
                <c:pt idx="4">
                  <c:v>113954</c:v>
                </c:pt>
              </c:numCache>
            </c:numRef>
          </c:val>
          <c:extLst>
            <c:ext xmlns:c16="http://schemas.microsoft.com/office/drawing/2014/chart" uri="{C3380CC4-5D6E-409C-BE32-E72D297353CC}">
              <c16:uniqueId val="{00000000-5C14-4210-8A40-650AD6E99BEB}"/>
            </c:ext>
          </c:extLst>
        </c:ser>
        <c:ser>
          <c:idx val="1"/>
          <c:order val="1"/>
          <c:tx>
            <c:strRef>
              <c:f>Sheet4!$A$167</c:f>
              <c:strCache>
                <c:ptCount val="1"/>
                <c:pt idx="0">
                  <c:v>BE</c:v>
                </c:pt>
              </c:strCache>
            </c:strRef>
          </c:tx>
          <c:spPr>
            <a:noFill/>
            <a:ln w="15875">
              <a:solidFill>
                <a:schemeClr val="tx1"/>
              </a:solidFill>
              <a:prstDash val="dash"/>
            </a:ln>
            <a:effectLst/>
          </c:spPr>
          <c:invertIfNegative val="0"/>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Sheet4!$B$167:$G$167</c15:sqref>
                  </c15:fullRef>
                </c:ext>
              </c:extLst>
              <c:f>Sheet4!$C$167:$G$167</c:f>
              <c:numCache>
                <c:formatCode>General</c:formatCode>
                <c:ptCount val="5"/>
                <c:pt idx="0">
                  <c:v>1140704</c:v>
                </c:pt>
                <c:pt idx="1">
                  <c:v>990835</c:v>
                </c:pt>
                <c:pt idx="2">
                  <c:v>870443</c:v>
                </c:pt>
                <c:pt idx="3">
                  <c:v>580201</c:v>
                </c:pt>
                <c:pt idx="4">
                  <c:v>523846</c:v>
                </c:pt>
              </c:numCache>
            </c:numRef>
          </c:val>
          <c:extLst>
            <c:ext xmlns:c16="http://schemas.microsoft.com/office/drawing/2014/chart" uri="{C3380CC4-5D6E-409C-BE32-E72D297353CC}">
              <c16:uniqueId val="{00000001-5C14-4210-8A40-650AD6E99BEB}"/>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valAx>
      <c:spPr>
        <a:noFill/>
        <a:ln>
          <a:noFill/>
        </a:ln>
        <a:effectLst/>
      </c:spPr>
    </c:plotArea>
    <c:legend>
      <c:legendPos val="b"/>
      <c:layout>
        <c:manualLayout>
          <c:xMode val="edge"/>
          <c:yMode val="edge"/>
          <c:x val="0.37478305555555547"/>
          <c:y val="0.94535141234294018"/>
          <c:w val="0.3227531944444445"/>
          <c:h val="5.4648587657059801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Sheet4!$A$47</c:f>
          <c:strCache>
            <c:ptCount val="1"/>
            <c:pt idx="0">
              <c:v>Primary Deficit</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7.8035616335230415E-2"/>
          <c:y val="0.10171524346035239"/>
          <c:w val="0.89082513888888892"/>
          <c:h val="0.76861824893250619"/>
        </c:manualLayout>
      </c:layout>
      <c:barChart>
        <c:barDir val="col"/>
        <c:grouping val="clustered"/>
        <c:varyColors val="0"/>
        <c:ser>
          <c:idx val="0"/>
          <c:order val="0"/>
          <c:tx>
            <c:strRef>
              <c:f>Sheet4!$A$169</c:f>
              <c:strCache>
                <c:ptCount val="1"/>
                <c:pt idx="0">
                  <c:v>Actuals (Upto Dec)</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Sheet4!$C$147:$G$147</c:f>
              <c:strCache>
                <c:ptCount val="5"/>
                <c:pt idx="0">
                  <c:v>2021-22</c:v>
                </c:pt>
                <c:pt idx="1">
                  <c:v>2022-23</c:v>
                </c:pt>
                <c:pt idx="2">
                  <c:v>2023-24</c:v>
                </c:pt>
                <c:pt idx="3">
                  <c:v>2024-25</c:v>
                </c:pt>
                <c:pt idx="4">
                  <c:v>2025-26</c:v>
                </c:pt>
              </c:strCache>
            </c:strRef>
          </c:cat>
          <c:val>
            <c:numRef>
              <c:f>Sheet4!$C$169:$G$169</c:f>
              <c:numCache>
                <c:formatCode>General</c:formatCode>
                <c:ptCount val="5"/>
                <c:pt idx="0">
                  <c:v>193502</c:v>
                </c:pt>
                <c:pt idx="1">
                  <c:v>312123</c:v>
                </c:pt>
                <c:pt idx="2">
                  <c:v>234071</c:v>
                </c:pt>
                <c:pt idx="3">
                  <c:v>105776</c:v>
                </c:pt>
                <c:pt idx="4">
                  <c:v>-55217</c:v>
                </c:pt>
              </c:numCache>
            </c:numRef>
          </c:val>
          <c:extLst>
            <c:ext xmlns:c16="http://schemas.microsoft.com/office/drawing/2014/chart" uri="{C3380CC4-5D6E-409C-BE32-E72D297353CC}">
              <c16:uniqueId val="{00000000-33A8-41A5-A485-9C3DAE7EBCF4}"/>
            </c:ext>
          </c:extLst>
        </c:ser>
        <c:ser>
          <c:idx val="1"/>
          <c:order val="1"/>
          <c:tx>
            <c:strRef>
              <c:f>Sheet4!$A$170</c:f>
              <c:strCache>
                <c:ptCount val="1"/>
                <c:pt idx="0">
                  <c:v>BE</c:v>
                </c:pt>
              </c:strCache>
            </c:strRef>
          </c:tx>
          <c:spPr>
            <a:noFill/>
            <a:ln w="15875">
              <a:solidFill>
                <a:schemeClr val="tx1"/>
              </a:solidFill>
              <a:prstDash val="dash"/>
            </a:ln>
            <a:effectLst/>
          </c:spPr>
          <c:invertIfNegative val="0"/>
          <c:cat>
            <c:strRef>
              <c:f>Sheet4!$C$147:$G$147</c:f>
              <c:strCache>
                <c:ptCount val="5"/>
                <c:pt idx="0">
                  <c:v>2021-22</c:v>
                </c:pt>
                <c:pt idx="1">
                  <c:v>2022-23</c:v>
                </c:pt>
                <c:pt idx="2">
                  <c:v>2023-24</c:v>
                </c:pt>
                <c:pt idx="3">
                  <c:v>2024-25</c:v>
                </c:pt>
                <c:pt idx="4">
                  <c:v>2025-26</c:v>
                </c:pt>
              </c:strCache>
            </c:strRef>
          </c:cat>
          <c:val>
            <c:numRef>
              <c:f>Sheet4!$C$170:$G$170</c:f>
              <c:numCache>
                <c:formatCode>General</c:formatCode>
                <c:ptCount val="5"/>
                <c:pt idx="0">
                  <c:v>697111</c:v>
                </c:pt>
                <c:pt idx="1">
                  <c:v>720545</c:v>
                </c:pt>
                <c:pt idx="2">
                  <c:v>706845</c:v>
                </c:pt>
                <c:pt idx="3">
                  <c:v>450372</c:v>
                </c:pt>
                <c:pt idx="4">
                  <c:v>292598</c:v>
                </c:pt>
              </c:numCache>
            </c:numRef>
          </c:val>
          <c:extLst>
            <c:ext xmlns:c16="http://schemas.microsoft.com/office/drawing/2014/chart" uri="{C3380CC4-5D6E-409C-BE32-E72D297353CC}">
              <c16:uniqueId val="{00000001-33A8-41A5-A485-9C3DAE7EBCF4}"/>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valAx>
      <c:spPr>
        <a:solidFill>
          <a:schemeClr val="accent3">
            <a:lumMod val="20000"/>
            <a:lumOff val="80000"/>
          </a:schemeClr>
        </a:solidFill>
      </c:spPr>
    </c:plotArea>
    <c:legend>
      <c:legendPos val="b"/>
      <c:layout>
        <c:manualLayout>
          <c:xMode val="edge"/>
          <c:yMode val="edge"/>
          <c:x val="0.34751166666666666"/>
          <c:y val="0.94604550086452799"/>
          <c:w val="0.32098083333333333"/>
          <c:h val="5.3954471619590348E-2"/>
        </c:manualLayout>
      </c:layout>
      <c:overlay val="0"/>
      <c:txPr>
        <a:bodyPr/>
        <a:lstStyle/>
        <a:p>
          <a:pPr>
            <a:defRPr sz="1100"/>
          </a:pPr>
          <a:endParaRPr lang="en-US"/>
        </a:p>
      </c:txPr>
    </c:legend>
    <c:plotVisOnly val="1"/>
    <c:dispBlanksAs val="gap"/>
    <c:showDLblsOverMax val="0"/>
    <c:extLst/>
  </c:chart>
  <c:spPr>
    <a:solidFill>
      <a:schemeClr val="accent3">
        <a:lumMod val="20000"/>
        <a:lumOff val="80000"/>
      </a:schemeClr>
    </a:solidFill>
    <a:ln>
      <a:solidFill>
        <a:schemeClr val="accent1"/>
      </a:solidFill>
    </a:ln>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latin typeface="Calibri" panose="020F0502020204030204" pitchFamily="34" charset="0"/>
                <a:ea typeface="Calibri" panose="020F0502020204030204" pitchFamily="34" charset="0"/>
                <a:cs typeface="Calibri" panose="020F0502020204030204" pitchFamily="34" charset="0"/>
              </a:rPr>
              <a:t>% to GDP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6.0385277777777781E-2"/>
          <c:y val="0.10932904040404041"/>
          <c:w val="0.91492027777777796"/>
          <c:h val="0.76550815003031036"/>
        </c:manualLayout>
      </c:layout>
      <c:lineChart>
        <c:grouping val="standard"/>
        <c:varyColors val="0"/>
        <c:ser>
          <c:idx val="0"/>
          <c:order val="0"/>
          <c:tx>
            <c:strRef>
              <c:f>Sheet4!$A$173</c:f>
              <c:strCache>
                <c:ptCount val="1"/>
                <c:pt idx="0">
                  <c:v>Fiscal Deficit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Sheet4!$B$172:$G$172</c15:sqref>
                  </c15:fullRef>
                </c:ext>
              </c:extLst>
              <c:f>Sheet4!$C$172:$G$172</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Sheet4!$B$173:$G$173</c15:sqref>
                  </c15:fullRef>
                </c:ext>
              </c:extLst>
              <c:f>Sheet4!$C$173:$G$173</c:f>
              <c:numCache>
                <c:formatCode>0.0%</c:formatCode>
                <c:ptCount val="5"/>
                <c:pt idx="0">
                  <c:v>3.218007204946613E-2</c:v>
                </c:pt>
                <c:pt idx="1">
                  <c:v>3.684560457677255E-2</c:v>
                </c:pt>
                <c:pt idx="2">
                  <c:v>3.3257349495442241E-2</c:v>
                </c:pt>
                <c:pt idx="3">
                  <c:v>2.7642584729200868E-2</c:v>
                </c:pt>
                <c:pt idx="4">
                  <c:v>2.3963844203344326E-2</c:v>
                </c:pt>
              </c:numCache>
            </c:numRef>
          </c:val>
          <c:smooth val="0"/>
          <c:extLst>
            <c:ext xmlns:c16="http://schemas.microsoft.com/office/drawing/2014/chart" uri="{C3380CC4-5D6E-409C-BE32-E72D297353CC}">
              <c16:uniqueId val="{00000000-BE77-41B7-9026-8FAC5B5B42D4}"/>
            </c:ext>
          </c:extLst>
        </c:ser>
        <c:ser>
          <c:idx val="1"/>
          <c:order val="1"/>
          <c:tx>
            <c:strRef>
              <c:f>Sheet4!$A$174</c:f>
              <c:strCache>
                <c:ptCount val="1"/>
                <c:pt idx="0">
                  <c:v>Revenue Deficit</c:v>
                </c:pt>
              </c:strCache>
            </c:strRef>
          </c:tx>
          <c:spPr>
            <a:ln w="28575" cap="rnd">
              <a:solidFill>
                <a:schemeClr val="accent6">
                  <a:lumMod val="75000"/>
                </a:schemeClr>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Sheet4!$B$172:$G$172</c15:sqref>
                  </c15:fullRef>
                </c:ext>
              </c:extLst>
              <c:f>Sheet4!$C$172:$G$172</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Sheet4!$B$174:$G$174</c15:sqref>
                  </c15:fullRef>
                </c:ext>
              </c:extLst>
              <c:f>Sheet4!$C$174:$G$174</c:f>
              <c:numCache>
                <c:formatCode>0.0%</c:formatCode>
                <c:ptCount val="5"/>
                <c:pt idx="0">
                  <c:v>1.6789604650919367E-2</c:v>
                </c:pt>
                <c:pt idx="1">
                  <c:v>2.0710401910288542E-2</c:v>
                </c:pt>
                <c:pt idx="2">
                  <c:v>1.1453880489646637E-2</c:v>
                </c:pt>
                <c:pt idx="3">
                  <c:v>7.7430106829397298E-3</c:v>
                </c:pt>
                <c:pt idx="4">
                  <c:v>3.19074771084838E-3</c:v>
                </c:pt>
              </c:numCache>
            </c:numRef>
          </c:val>
          <c:smooth val="0"/>
          <c:extLst>
            <c:ext xmlns:c16="http://schemas.microsoft.com/office/drawing/2014/chart" uri="{C3380CC4-5D6E-409C-BE32-E72D297353CC}">
              <c16:uniqueId val="{00000001-BE77-41B7-9026-8FAC5B5B42D4}"/>
            </c:ext>
          </c:extLst>
        </c:ser>
        <c:ser>
          <c:idx val="2"/>
          <c:order val="2"/>
          <c:tx>
            <c:strRef>
              <c:f>Sheet4!$A$175</c:f>
              <c:strCache>
                <c:ptCount val="1"/>
                <c:pt idx="0">
                  <c:v>Primary Deficit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Sheet4!$B$172:$G$172</c15:sqref>
                  </c15:fullRef>
                </c:ext>
              </c:extLst>
              <c:f>Sheet4!$C$172:$G$172</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Sheet4!$B$175:$G$175</c15:sqref>
                  </c15:fullRef>
                </c:ext>
              </c:extLst>
              <c:f>Sheet4!$C$175:$G$175</c:f>
              <c:numCache>
                <c:formatCode>0.0%</c:formatCode>
                <c:ptCount val="5"/>
                <c:pt idx="0">
                  <c:v>8.2001410409681171E-3</c:v>
                </c:pt>
                <c:pt idx="1">
                  <c:v>1.158171057237635E-2</c:v>
                </c:pt>
                <c:pt idx="2">
                  <c:v>7.9250284071796986E-3</c:v>
                </c:pt>
                <c:pt idx="3">
                  <c:v>3.1987279600957357E-3</c:v>
                </c:pt>
                <c:pt idx="4">
                  <c:v>-1.546093303876257E-3</c:v>
                </c:pt>
              </c:numCache>
            </c:numRef>
          </c:val>
          <c:smooth val="0"/>
          <c:extLst>
            <c:ext xmlns:c16="http://schemas.microsoft.com/office/drawing/2014/chart" uri="{C3380CC4-5D6E-409C-BE32-E72D297353CC}">
              <c16:uniqueId val="{00000002-BE77-41B7-9026-8FAC5B5B42D4}"/>
            </c:ext>
          </c:extLst>
        </c:ser>
        <c:dLbls>
          <c:showLegendKey val="0"/>
          <c:showVal val="0"/>
          <c:showCatName val="0"/>
          <c:showSerName val="0"/>
          <c:showPercent val="0"/>
          <c:showBubbleSize val="0"/>
        </c:dLbls>
        <c:marker val="1"/>
        <c:smooth val="0"/>
        <c:axId val="684162528"/>
        <c:axId val="684162200"/>
      </c:lineChart>
      <c:catAx>
        <c:axId val="68416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84162200"/>
        <c:crosses val="autoZero"/>
        <c:auto val="1"/>
        <c:lblAlgn val="ctr"/>
        <c:lblOffset val="100"/>
        <c:noMultiLvlLbl val="0"/>
      </c:catAx>
      <c:valAx>
        <c:axId val="684162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162528"/>
        <c:crosses val="autoZero"/>
        <c:crossBetween val="between"/>
      </c:valAx>
      <c:spPr>
        <a:noFill/>
        <a:ln>
          <a:noFill/>
        </a:ln>
        <a:effectLst/>
      </c:spPr>
    </c:plotArea>
    <c:legend>
      <c:legendPos val="b"/>
      <c:layout>
        <c:manualLayout>
          <c:xMode val="edge"/>
          <c:yMode val="edge"/>
          <c:x val="0.22883083333333337"/>
          <c:y val="0.94588030303030302"/>
          <c:w val="0.57937986111111106"/>
          <c:h val="5.41196969696969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Sheet4!$I$105</c:f>
          <c:strCache>
            <c:ptCount val="1"/>
            <c:pt idx="0">
              <c:v>Total Expenditure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Sheet4!$A$103</c:f>
              <c:strCache>
                <c:ptCount val="1"/>
                <c:pt idx="0">
                  <c:v>Revenue Expenditure</c:v>
                </c:pt>
              </c:strCache>
            </c:strRef>
          </c:tx>
          <c:spPr>
            <a:solidFill>
              <a:schemeClr val="accent1"/>
            </a:solidFill>
            <a:ln>
              <a:noFill/>
            </a:ln>
            <a:effectLst/>
          </c:spPr>
          <c:invertIfNegative val="0"/>
          <c:cat>
            <c:strRef>
              <c:f>Sheet4!$B$91:$G$91</c:f>
              <c:strCache>
                <c:ptCount val="6"/>
                <c:pt idx="0">
                  <c:v>2020-21</c:v>
                </c:pt>
                <c:pt idx="1">
                  <c:v>2021-22</c:v>
                </c:pt>
                <c:pt idx="2">
                  <c:v>2022-23</c:v>
                </c:pt>
                <c:pt idx="3">
                  <c:v>2023-24</c:v>
                </c:pt>
                <c:pt idx="4">
                  <c:v>2024-25</c:v>
                </c:pt>
                <c:pt idx="5">
                  <c:v>2025-26</c:v>
                </c:pt>
              </c:strCache>
            </c:strRef>
          </c:cat>
          <c:val>
            <c:numRef>
              <c:f>Sheet4!$B$103:$G$103</c:f>
              <c:numCache>
                <c:formatCode>General</c:formatCode>
                <c:ptCount val="6"/>
                <c:pt idx="0">
                  <c:v>1971173</c:v>
                </c:pt>
                <c:pt idx="1">
                  <c:v>2129414</c:v>
                </c:pt>
                <c:pt idx="2">
                  <c:v>2328132</c:v>
                </c:pt>
                <c:pt idx="3">
                  <c:v>2380587</c:v>
                </c:pt>
                <c:pt idx="4">
                  <c:v>2546757</c:v>
                </c:pt>
                <c:pt idx="5">
                  <c:v>2593063</c:v>
                </c:pt>
              </c:numCache>
            </c:numRef>
          </c:val>
          <c:extLst>
            <c:ext xmlns:c16="http://schemas.microsoft.com/office/drawing/2014/chart" uri="{C3380CC4-5D6E-409C-BE32-E72D297353CC}">
              <c16:uniqueId val="{00000000-899E-48C0-A13A-65C5E025A714}"/>
            </c:ext>
          </c:extLst>
        </c:ser>
        <c:ser>
          <c:idx val="1"/>
          <c:order val="1"/>
          <c:tx>
            <c:strRef>
              <c:f>Sheet4!$A$104</c:f>
              <c:strCache>
                <c:ptCount val="1"/>
                <c:pt idx="0">
                  <c:v>Capital Expenditure</c:v>
                </c:pt>
              </c:strCache>
            </c:strRef>
          </c:tx>
          <c:spPr>
            <a:solidFill>
              <a:schemeClr val="accent2"/>
            </a:solidFill>
            <a:ln>
              <a:noFill/>
            </a:ln>
            <a:effectLst/>
          </c:spPr>
          <c:invertIfNegative val="0"/>
          <c:cat>
            <c:strRef>
              <c:f>Sheet4!$B$91:$G$91</c:f>
              <c:strCache>
                <c:ptCount val="6"/>
                <c:pt idx="0">
                  <c:v>2020-21</c:v>
                </c:pt>
                <c:pt idx="1">
                  <c:v>2021-22</c:v>
                </c:pt>
                <c:pt idx="2">
                  <c:v>2022-23</c:v>
                </c:pt>
                <c:pt idx="3">
                  <c:v>2023-24</c:v>
                </c:pt>
                <c:pt idx="4">
                  <c:v>2024-25</c:v>
                </c:pt>
                <c:pt idx="5">
                  <c:v>2025-26</c:v>
                </c:pt>
              </c:strCache>
            </c:strRef>
          </c:cat>
          <c:val>
            <c:numRef>
              <c:f>Sheet4!$B$104:$G$104</c:f>
              <c:numCache>
                <c:formatCode>General</c:formatCode>
                <c:ptCount val="6"/>
                <c:pt idx="0">
                  <c:v>308974</c:v>
                </c:pt>
                <c:pt idx="1">
                  <c:v>391644</c:v>
                </c:pt>
                <c:pt idx="2">
                  <c:v>489944</c:v>
                </c:pt>
                <c:pt idx="3">
                  <c:v>673630</c:v>
                </c:pt>
                <c:pt idx="4">
                  <c:v>685337</c:v>
                </c:pt>
                <c:pt idx="5">
                  <c:v>787935</c:v>
                </c:pt>
              </c:numCache>
            </c:numRef>
          </c:val>
          <c:extLst>
            <c:ext xmlns:c16="http://schemas.microsoft.com/office/drawing/2014/chart" uri="{C3380CC4-5D6E-409C-BE32-E72D297353CC}">
              <c16:uniqueId val="{00000001-899E-48C0-A13A-65C5E025A714}"/>
            </c:ext>
          </c:extLst>
        </c:ser>
        <c:dLbls>
          <c:showLegendKey val="0"/>
          <c:showVal val="0"/>
          <c:showCatName val="0"/>
          <c:showSerName val="0"/>
          <c:showPercent val="0"/>
          <c:showBubbleSize val="0"/>
        </c:dLbls>
        <c:gapWidth val="150"/>
        <c:overlap val="100"/>
        <c:axId val="512420000"/>
        <c:axId val="512420328"/>
      </c:barChart>
      <c:lineChart>
        <c:grouping val="standard"/>
        <c:varyColors val="0"/>
        <c:ser>
          <c:idx val="2"/>
          <c:order val="2"/>
          <c:tx>
            <c:strRef>
              <c:f>Sheet4!$A$105</c:f>
              <c:strCache>
                <c:ptCount val="1"/>
                <c:pt idx="0">
                  <c:v>Total Expenditure</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Sheet4!$B$91:$G$91</c:f>
              <c:strCache>
                <c:ptCount val="6"/>
                <c:pt idx="0">
                  <c:v>2020-21</c:v>
                </c:pt>
                <c:pt idx="1">
                  <c:v>2021-22</c:v>
                </c:pt>
                <c:pt idx="2">
                  <c:v>2022-23</c:v>
                </c:pt>
                <c:pt idx="3">
                  <c:v>2023-24</c:v>
                </c:pt>
                <c:pt idx="4">
                  <c:v>2024-25</c:v>
                </c:pt>
                <c:pt idx="5">
                  <c:v>2025-26</c:v>
                </c:pt>
              </c:strCache>
            </c:strRef>
          </c:cat>
          <c:val>
            <c:numRef>
              <c:f>Sheet4!$B$105:$G$105</c:f>
              <c:numCache>
                <c:formatCode>General</c:formatCode>
                <c:ptCount val="6"/>
                <c:pt idx="0">
                  <c:v>2280147</c:v>
                </c:pt>
                <c:pt idx="1">
                  <c:v>2521058</c:v>
                </c:pt>
                <c:pt idx="2">
                  <c:v>2818076</c:v>
                </c:pt>
                <c:pt idx="3">
                  <c:v>3054217</c:v>
                </c:pt>
                <c:pt idx="4">
                  <c:v>3232094</c:v>
                </c:pt>
                <c:pt idx="5">
                  <c:v>3380998</c:v>
                </c:pt>
              </c:numCache>
            </c:numRef>
          </c:val>
          <c:smooth val="0"/>
          <c:extLst>
            <c:ext xmlns:c16="http://schemas.microsoft.com/office/drawing/2014/chart" uri="{C3380CC4-5D6E-409C-BE32-E72D297353CC}">
              <c16:uniqueId val="{00000002-899E-48C0-A13A-65C5E025A714}"/>
            </c:ext>
          </c:extLst>
        </c:ser>
        <c:dLbls>
          <c:showLegendKey val="0"/>
          <c:showVal val="0"/>
          <c:showCatName val="0"/>
          <c:showSerName val="0"/>
          <c:showPercent val="0"/>
          <c:showBubbleSize val="0"/>
        </c:dLbls>
        <c:marker val="1"/>
        <c:smooth val="0"/>
        <c:axId val="520875008"/>
        <c:axId val="520869760"/>
      </c:lineChart>
      <c:catAx>
        <c:axId val="51242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420328"/>
        <c:crosses val="autoZero"/>
        <c:auto val="1"/>
        <c:lblAlgn val="ctr"/>
        <c:lblOffset val="100"/>
        <c:noMultiLvlLbl val="0"/>
      </c:catAx>
      <c:valAx>
        <c:axId val="512420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420000"/>
        <c:crosses val="autoZero"/>
        <c:crossBetween val="between"/>
      </c:valAx>
      <c:valAx>
        <c:axId val="520869760"/>
        <c:scaling>
          <c:orientation val="minMax"/>
        </c:scaling>
        <c:delete val="1"/>
        <c:axPos val="r"/>
        <c:numFmt formatCode="General" sourceLinked="1"/>
        <c:majorTickMark val="out"/>
        <c:minorTickMark val="none"/>
        <c:tickLblPos val="nextTo"/>
        <c:crossAx val="520875008"/>
        <c:crosses val="max"/>
        <c:crossBetween val="between"/>
      </c:valAx>
      <c:catAx>
        <c:axId val="520875008"/>
        <c:scaling>
          <c:orientation val="minMax"/>
        </c:scaling>
        <c:delete val="1"/>
        <c:axPos val="b"/>
        <c:numFmt formatCode="General" sourceLinked="1"/>
        <c:majorTickMark val="out"/>
        <c:minorTickMark val="none"/>
        <c:tickLblPos val="nextTo"/>
        <c:crossAx val="5208697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392583466726185E-2"/>
          <c:y val="0.15296692854283891"/>
          <c:w val="0.89681647878606852"/>
          <c:h val="0.72229940775127588"/>
        </c:manualLayout>
      </c:layout>
      <c:lineChart>
        <c:grouping val="standard"/>
        <c:varyColors val="0"/>
        <c:ser>
          <c:idx val="0"/>
          <c:order val="0"/>
          <c:tx>
            <c:strRef>
              <c:f>Sheet4!$A$114</c:f>
              <c:strCache>
                <c:ptCount val="1"/>
                <c:pt idx="0">
                  <c:v>Revenue Expenditure</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Sheet4!$B$113:$G$113</c15:sqref>
                  </c15:fullRef>
                </c:ext>
              </c:extLst>
              <c:f>Sheet4!$C$113:$G$113</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Sheet4!$B$114:$G$114</c15:sqref>
                  </c15:fullRef>
                </c:ext>
              </c:extLst>
              <c:f>Sheet4!$C$114:$G$114</c:f>
              <c:numCache>
                <c:formatCode>0.0%</c:formatCode>
                <c:ptCount val="5"/>
                <c:pt idx="0">
                  <c:v>8.0277580912482049E-2</c:v>
                </c:pt>
                <c:pt idx="1">
                  <c:v>9.3320509774050597E-2</c:v>
                </c:pt>
                <c:pt idx="2">
                  <c:v>2.2530938967378233E-2</c:v>
                </c:pt>
                <c:pt idx="3">
                  <c:v>6.9802111832081737E-2</c:v>
                </c:pt>
                <c:pt idx="4">
                  <c:v>1.8182339343722154E-2</c:v>
                </c:pt>
              </c:numCache>
            </c:numRef>
          </c:val>
          <c:smooth val="0"/>
          <c:extLst>
            <c:ext xmlns:c16="http://schemas.microsoft.com/office/drawing/2014/chart" uri="{C3380CC4-5D6E-409C-BE32-E72D297353CC}">
              <c16:uniqueId val="{00000000-E53C-49BE-8BC8-F32903448685}"/>
            </c:ext>
          </c:extLst>
        </c:ser>
        <c:ser>
          <c:idx val="1"/>
          <c:order val="1"/>
          <c:tx>
            <c:strRef>
              <c:f>Sheet4!$A$115</c:f>
              <c:strCache>
                <c:ptCount val="1"/>
                <c:pt idx="0">
                  <c:v>Capital Expenditure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Sheet4!$B$113:$G$113</c15:sqref>
                  </c15:fullRef>
                </c:ext>
              </c:extLst>
              <c:f>Sheet4!$C$113:$G$113</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Sheet4!$B$115:$G$115</c15:sqref>
                  </c15:fullRef>
                </c:ext>
              </c:extLst>
              <c:f>Sheet4!$C$115:$G$115</c:f>
              <c:numCache>
                <c:formatCode>0.0%</c:formatCode>
                <c:ptCount val="5"/>
                <c:pt idx="0">
                  <c:v>0.26756296646319755</c:v>
                </c:pt>
                <c:pt idx="1">
                  <c:v>0.25099324897100428</c:v>
                </c:pt>
                <c:pt idx="2">
                  <c:v>0.37491223486765834</c:v>
                </c:pt>
                <c:pt idx="3">
                  <c:v>1.7378976589522477E-2</c:v>
                </c:pt>
                <c:pt idx="4">
                  <c:v>0.14970445197034454</c:v>
                </c:pt>
              </c:numCache>
            </c:numRef>
          </c:val>
          <c:smooth val="0"/>
          <c:extLst>
            <c:ext xmlns:c16="http://schemas.microsoft.com/office/drawing/2014/chart" uri="{C3380CC4-5D6E-409C-BE32-E72D297353CC}">
              <c16:uniqueId val="{00000001-E53C-49BE-8BC8-F32903448685}"/>
            </c:ext>
          </c:extLst>
        </c:ser>
        <c:ser>
          <c:idx val="2"/>
          <c:order val="2"/>
          <c:tx>
            <c:strRef>
              <c:f>Sheet4!$A$116</c:f>
              <c:strCache>
                <c:ptCount val="1"/>
                <c:pt idx="0">
                  <c:v>Total Expenditure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Sheet4!$B$113:$G$113</c15:sqref>
                  </c15:fullRef>
                </c:ext>
              </c:extLst>
              <c:f>Sheet4!$C$113:$G$113</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Sheet4!$B$116:$G$116</c15:sqref>
                  </c15:fullRef>
                </c:ext>
              </c:extLst>
              <c:f>Sheet4!$C$116:$G$116</c:f>
              <c:numCache>
                <c:formatCode>0.0%</c:formatCode>
                <c:ptCount val="5"/>
                <c:pt idx="0">
                  <c:v>0.10565590727264507</c:v>
                </c:pt>
                <c:pt idx="1">
                  <c:v>0.11781482218973149</c:v>
                </c:pt>
                <c:pt idx="2">
                  <c:v>8.3795114113317082E-2</c:v>
                </c:pt>
                <c:pt idx="3">
                  <c:v>5.8239804178943366E-2</c:v>
                </c:pt>
                <c:pt idx="4">
                  <c:v>4.6070442258176802E-2</c:v>
                </c:pt>
              </c:numCache>
            </c:numRef>
          </c:val>
          <c:smooth val="0"/>
          <c:extLst>
            <c:ext xmlns:c16="http://schemas.microsoft.com/office/drawing/2014/chart" uri="{C3380CC4-5D6E-409C-BE32-E72D297353CC}">
              <c16:uniqueId val="{00000007-E53C-49BE-8BC8-F32903448685}"/>
            </c:ext>
          </c:extLst>
        </c:ser>
        <c:dLbls>
          <c:showLegendKey val="0"/>
          <c:showVal val="0"/>
          <c:showCatName val="0"/>
          <c:showSerName val="0"/>
          <c:showPercent val="0"/>
          <c:showBubbleSize val="0"/>
        </c:dLbls>
        <c:smooth val="0"/>
        <c:axId val="490614968"/>
        <c:axId val="490613984"/>
      </c:lineChart>
      <c:catAx>
        <c:axId val="490614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13984"/>
        <c:crosses val="autoZero"/>
        <c:auto val="1"/>
        <c:lblAlgn val="ctr"/>
        <c:lblOffset val="100"/>
        <c:noMultiLvlLbl val="0"/>
      </c:catAx>
      <c:valAx>
        <c:axId val="49061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14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8468987297509192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869111427658523E-2"/>
          <c:y val="0.24036886642881988"/>
          <c:w val="0.83759496806237066"/>
          <c:h val="0.6922981230382157"/>
        </c:manualLayout>
      </c:layout>
      <c:lineChart>
        <c:grouping val="standard"/>
        <c:varyColors val="0"/>
        <c:ser>
          <c:idx val="1"/>
          <c:order val="0"/>
          <c:tx>
            <c:strRef>
              <c:f>Sheet4!$A$109</c:f>
              <c:strCache>
                <c:ptCount val="1"/>
                <c:pt idx="0">
                  <c:v>Revenue Expenditure</c:v>
                </c:pt>
              </c:strCache>
            </c:strRef>
          </c:tx>
          <c:spPr>
            <a:ln w="28575" cap="rnd">
              <a:solidFill>
                <a:schemeClr val="accent2"/>
              </a:solidFill>
              <a:round/>
            </a:ln>
            <a:effectLst/>
          </c:spPr>
          <c:marker>
            <c:symbol val="none"/>
          </c:marker>
          <c:dLbls>
            <c:dLbl>
              <c:idx val="0"/>
              <c:tx>
                <c:rich>
                  <a:bodyPr/>
                  <a:lstStyle/>
                  <a:p>
                    <a:fld id="{0B43CE66-CEEE-459F-AD45-B141CD11B937}" type="CELLRANGE">
                      <a:rPr lang="en-US"/>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B0E-44A8-A939-29D9A4251BEB}"/>
                </c:ext>
              </c:extLst>
            </c:dLbl>
            <c:dLbl>
              <c:idx val="1"/>
              <c:tx>
                <c:rich>
                  <a:bodyPr/>
                  <a:lstStyle/>
                  <a:p>
                    <a:fld id="{814FFB03-2975-4163-B4B1-B22D6BECC8C5}"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B0E-44A8-A939-29D9A4251BEB}"/>
                </c:ext>
              </c:extLst>
            </c:dLbl>
            <c:dLbl>
              <c:idx val="2"/>
              <c:tx>
                <c:rich>
                  <a:bodyPr/>
                  <a:lstStyle/>
                  <a:p>
                    <a:fld id="{22BA7423-E55F-406E-AD07-4200B3CBB9C7}"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B0E-44A8-A939-29D9A4251BEB}"/>
                </c:ext>
              </c:extLst>
            </c:dLbl>
            <c:dLbl>
              <c:idx val="3"/>
              <c:tx>
                <c:rich>
                  <a:bodyPr/>
                  <a:lstStyle/>
                  <a:p>
                    <a:fld id="{2422B3C8-B07C-4DDD-9ADE-030324BFF146}"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B0E-44A8-A939-29D9A4251BEB}"/>
                </c:ext>
              </c:extLst>
            </c:dLbl>
            <c:dLbl>
              <c:idx val="4"/>
              <c:tx>
                <c:rich>
                  <a:bodyPr/>
                  <a:lstStyle/>
                  <a:p>
                    <a:fld id="{61A090C1-4444-40CF-BBEC-0B5585602F26}"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B0E-44A8-A939-29D9A4251BEB}"/>
                </c:ext>
              </c:extLst>
            </c:dLbl>
            <c:dLbl>
              <c:idx val="5"/>
              <c:tx>
                <c:rich>
                  <a:bodyPr/>
                  <a:lstStyle/>
                  <a:p>
                    <a:fld id="{FA343E1E-D989-4308-9B3D-DAFE3199970A}" type="CELLRANGE">
                      <a:rPr lang="en-IN"/>
                      <a:pPr/>
                      <a:t>[CELLRANGE]</a:t>
                    </a:fld>
                    <a:endParaRPr lang="en-IN"/>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B0E-44A8-A939-29D9A4251B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Sheet4!$B$108:$G$108</c:f>
              <c:strCache>
                <c:ptCount val="6"/>
                <c:pt idx="0">
                  <c:v>2020-21</c:v>
                </c:pt>
                <c:pt idx="1">
                  <c:v>2021-22</c:v>
                </c:pt>
                <c:pt idx="2">
                  <c:v>2022-23</c:v>
                </c:pt>
                <c:pt idx="3">
                  <c:v>2023-24</c:v>
                </c:pt>
                <c:pt idx="4">
                  <c:v>2024-25</c:v>
                </c:pt>
                <c:pt idx="5">
                  <c:v>2025-26</c:v>
                </c:pt>
              </c:strCache>
            </c:strRef>
          </c:cat>
          <c:val>
            <c:numRef>
              <c:f>Sheet4!$B$109:$G$109</c:f>
              <c:numCache>
                <c:formatCode>0.0%</c:formatCode>
                <c:ptCount val="6"/>
                <c:pt idx="0">
                  <c:v>9.9282938895832881E-2</c:v>
                </c:pt>
                <c:pt idx="1">
                  <c:v>9.0239352226912803E-2</c:v>
                </c:pt>
                <c:pt idx="2">
                  <c:v>8.6388221945475643E-2</c:v>
                </c:pt>
                <c:pt idx="3">
                  <c:v>8.0600414407434914E-2</c:v>
                </c:pt>
                <c:pt idx="4">
                  <c:v>7.7015417707887751E-2</c:v>
                </c:pt>
                <c:pt idx="5">
                  <c:v>7.2606576612805451E-2</c:v>
                </c:pt>
              </c:numCache>
            </c:numRef>
          </c:val>
          <c:smooth val="0"/>
          <c:extLst>
            <c:ext xmlns:c15="http://schemas.microsoft.com/office/drawing/2012/chart" uri="{02D57815-91ED-43cb-92C2-25804820EDAC}">
              <c15:datalabelsRange>
                <c15:f>Sheet4!$B$109:$G$109</c15:f>
                <c15:dlblRangeCache>
                  <c:ptCount val="6"/>
                  <c:pt idx="0">
                    <c:v>9.9%</c:v>
                  </c:pt>
                  <c:pt idx="1">
                    <c:v>9.0%</c:v>
                  </c:pt>
                  <c:pt idx="2">
                    <c:v>8.6%</c:v>
                  </c:pt>
                  <c:pt idx="3">
                    <c:v>8.1%</c:v>
                  </c:pt>
                  <c:pt idx="4">
                    <c:v>7.7%</c:v>
                  </c:pt>
                  <c:pt idx="5">
                    <c:v>7.3%</c:v>
                  </c:pt>
                </c15:dlblRangeCache>
              </c15:datalabelsRange>
            </c:ext>
            <c:ext xmlns:c16="http://schemas.microsoft.com/office/drawing/2014/chart" uri="{C3380CC4-5D6E-409C-BE32-E72D297353CC}">
              <c16:uniqueId val="{00000001-8C4C-4DA6-816F-983894F79191}"/>
            </c:ext>
          </c:extLst>
        </c:ser>
        <c:ser>
          <c:idx val="2"/>
          <c:order val="1"/>
          <c:tx>
            <c:strRef>
              <c:f>Sheet4!$A$110</c:f>
              <c:strCache>
                <c:ptCount val="1"/>
                <c:pt idx="0">
                  <c:v>Capital Expenditure</c:v>
                </c:pt>
              </c:strCache>
            </c:strRef>
          </c:tx>
          <c:spPr>
            <a:ln w="28575" cap="rnd">
              <a:solidFill>
                <a:schemeClr val="accent3"/>
              </a:solidFill>
              <a:round/>
            </a:ln>
            <a:effectLst/>
          </c:spPr>
          <c:marker>
            <c:symbol val="none"/>
          </c:marker>
          <c:dLbls>
            <c:dLbl>
              <c:idx val="0"/>
              <c:tx>
                <c:rich>
                  <a:bodyPr/>
                  <a:lstStyle/>
                  <a:p>
                    <a:fld id="{F3D75CB4-7D3C-4DBB-8B6B-4BB187E61D9D}"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B0E-44A8-A939-29D9A4251BEB}"/>
                </c:ext>
              </c:extLst>
            </c:dLbl>
            <c:dLbl>
              <c:idx val="1"/>
              <c:tx>
                <c:rich>
                  <a:bodyPr/>
                  <a:lstStyle/>
                  <a:p>
                    <a:fld id="{FFF98187-ECF7-4E19-A3AC-A86E7ACA5036}"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B0E-44A8-A939-29D9A4251BEB}"/>
                </c:ext>
              </c:extLst>
            </c:dLbl>
            <c:dLbl>
              <c:idx val="2"/>
              <c:tx>
                <c:rich>
                  <a:bodyPr/>
                  <a:lstStyle/>
                  <a:p>
                    <a:fld id="{42575D02-CA50-4781-8E3D-6DB63351A2C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B0E-44A8-A939-29D9A4251BEB}"/>
                </c:ext>
              </c:extLst>
            </c:dLbl>
            <c:dLbl>
              <c:idx val="3"/>
              <c:tx>
                <c:rich>
                  <a:bodyPr/>
                  <a:lstStyle/>
                  <a:p>
                    <a:fld id="{32991ABC-FA90-4556-AF1F-99806A24CA5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B0E-44A8-A939-29D9A4251BEB}"/>
                </c:ext>
              </c:extLst>
            </c:dLbl>
            <c:dLbl>
              <c:idx val="4"/>
              <c:tx>
                <c:rich>
                  <a:bodyPr/>
                  <a:lstStyle/>
                  <a:p>
                    <a:fld id="{50719AA4-6E07-4641-AD70-22DB4CDDFA05}"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B0E-44A8-A939-29D9A4251BEB}"/>
                </c:ext>
              </c:extLst>
            </c:dLbl>
            <c:dLbl>
              <c:idx val="5"/>
              <c:tx>
                <c:rich>
                  <a:bodyPr/>
                  <a:lstStyle/>
                  <a:p>
                    <a:fld id="{F706CB6E-D255-4DC2-ABCD-CC057BF12BB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B0E-44A8-A939-29D9A4251B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Sheet4!$B$108:$G$108</c:f>
              <c:strCache>
                <c:ptCount val="6"/>
                <c:pt idx="0">
                  <c:v>2020-21</c:v>
                </c:pt>
                <c:pt idx="1">
                  <c:v>2021-22</c:v>
                </c:pt>
                <c:pt idx="2">
                  <c:v>2022-23</c:v>
                </c:pt>
                <c:pt idx="3">
                  <c:v>2023-24</c:v>
                </c:pt>
                <c:pt idx="4">
                  <c:v>2024-25</c:v>
                </c:pt>
                <c:pt idx="5">
                  <c:v>2025-26</c:v>
                </c:pt>
              </c:strCache>
            </c:strRef>
          </c:cat>
          <c:val>
            <c:numRef>
              <c:f>Sheet4!$B$110:$G$110</c:f>
              <c:numCache>
                <c:formatCode>0.0%</c:formatCode>
                <c:ptCount val="6"/>
                <c:pt idx="0">
                  <c:v>1.5562229577211675E-2</c:v>
                </c:pt>
                <c:pt idx="1">
                  <c:v>1.659691392258952E-2</c:v>
                </c:pt>
                <c:pt idx="2">
                  <c:v>1.8179979061691571E-2</c:v>
                </c:pt>
                <c:pt idx="3">
                  <c:v>2.2807340020457301E-2</c:v>
                </c:pt>
                <c:pt idx="4">
                  <c:v>2.0724990772841959E-2</c:v>
                </c:pt>
                <c:pt idx="5">
                  <c:v>2.2062426922682118E-2</c:v>
                </c:pt>
              </c:numCache>
            </c:numRef>
          </c:val>
          <c:smooth val="0"/>
          <c:extLst>
            <c:ext xmlns:c15="http://schemas.microsoft.com/office/drawing/2012/chart" uri="{02D57815-91ED-43cb-92C2-25804820EDAC}">
              <c15:datalabelsRange>
                <c15:f>Sheet4!$B$110:$G$110</c15:f>
                <c15:dlblRangeCache>
                  <c:ptCount val="6"/>
                  <c:pt idx="0">
                    <c:v>1.6%</c:v>
                  </c:pt>
                  <c:pt idx="1">
                    <c:v>1.7%</c:v>
                  </c:pt>
                  <c:pt idx="2">
                    <c:v>1.8%</c:v>
                  </c:pt>
                  <c:pt idx="3">
                    <c:v>2.3%</c:v>
                  </c:pt>
                  <c:pt idx="4">
                    <c:v>2.1%</c:v>
                  </c:pt>
                  <c:pt idx="5">
                    <c:v>2.2%</c:v>
                  </c:pt>
                </c15:dlblRangeCache>
              </c15:datalabelsRange>
            </c:ext>
            <c:ext xmlns:c16="http://schemas.microsoft.com/office/drawing/2014/chart" uri="{C3380CC4-5D6E-409C-BE32-E72D297353CC}">
              <c16:uniqueId val="{00000002-8C4C-4DA6-816F-983894F79191}"/>
            </c:ext>
          </c:extLst>
        </c:ser>
        <c:ser>
          <c:idx val="0"/>
          <c:order val="2"/>
          <c:tx>
            <c:strRef>
              <c:f>Sheet4!$A$111</c:f>
              <c:strCache>
                <c:ptCount val="1"/>
                <c:pt idx="0">
                  <c:v>Total Expenditure</c:v>
                </c:pt>
              </c:strCache>
            </c:strRef>
          </c:tx>
          <c:spPr>
            <a:ln w="28575" cap="rnd">
              <a:solidFill>
                <a:schemeClr val="accent1"/>
              </a:solidFill>
              <a:round/>
            </a:ln>
            <a:effectLst/>
          </c:spPr>
          <c:marker>
            <c:symbol val="none"/>
          </c:marker>
          <c:dLbls>
            <c:dLbl>
              <c:idx val="0"/>
              <c:tx>
                <c:rich>
                  <a:bodyPr/>
                  <a:lstStyle/>
                  <a:p>
                    <a:fld id="{D29E5F5D-8C28-441B-92F1-5286D0811E9A}"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DB0E-44A8-A939-29D9A4251BEB}"/>
                </c:ext>
              </c:extLst>
            </c:dLbl>
            <c:dLbl>
              <c:idx val="1"/>
              <c:tx>
                <c:rich>
                  <a:bodyPr/>
                  <a:lstStyle/>
                  <a:p>
                    <a:fld id="{B8BCF603-7F71-4B15-B039-4FA4F9F18661}"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DB0E-44A8-A939-29D9A4251BEB}"/>
                </c:ext>
              </c:extLst>
            </c:dLbl>
            <c:dLbl>
              <c:idx val="2"/>
              <c:tx>
                <c:rich>
                  <a:bodyPr/>
                  <a:lstStyle/>
                  <a:p>
                    <a:fld id="{1A4DF267-BCDD-42DC-9855-721F4B5022F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DB0E-44A8-A939-29D9A4251BEB}"/>
                </c:ext>
              </c:extLst>
            </c:dLbl>
            <c:dLbl>
              <c:idx val="3"/>
              <c:tx>
                <c:rich>
                  <a:bodyPr/>
                  <a:lstStyle/>
                  <a:p>
                    <a:fld id="{A7D396BC-5B2F-4D0C-8717-6B52A864B65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DB0E-44A8-A939-29D9A4251BEB}"/>
                </c:ext>
              </c:extLst>
            </c:dLbl>
            <c:dLbl>
              <c:idx val="4"/>
              <c:tx>
                <c:rich>
                  <a:bodyPr/>
                  <a:lstStyle/>
                  <a:p>
                    <a:fld id="{A3CD7AC9-2870-4B3C-B2D3-CE8A7CDD171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DB0E-44A8-A939-29D9A4251BEB}"/>
                </c:ext>
              </c:extLst>
            </c:dLbl>
            <c:dLbl>
              <c:idx val="5"/>
              <c:tx>
                <c:rich>
                  <a:bodyPr/>
                  <a:lstStyle/>
                  <a:p>
                    <a:fld id="{5EEDB3D1-7573-49AA-84BE-89DC0945531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DB0E-44A8-A939-29D9A4251B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Sheet4!$B$108:$G$108</c:f>
              <c:strCache>
                <c:ptCount val="6"/>
                <c:pt idx="0">
                  <c:v>2020-21</c:v>
                </c:pt>
                <c:pt idx="1">
                  <c:v>2021-22</c:v>
                </c:pt>
                <c:pt idx="2">
                  <c:v>2022-23</c:v>
                </c:pt>
                <c:pt idx="3">
                  <c:v>2023-24</c:v>
                </c:pt>
                <c:pt idx="4">
                  <c:v>2024-25</c:v>
                </c:pt>
                <c:pt idx="5">
                  <c:v>2025-26</c:v>
                </c:pt>
              </c:strCache>
            </c:strRef>
          </c:cat>
          <c:val>
            <c:numRef>
              <c:f>Sheet4!$B$111:$G$111</c:f>
              <c:numCache>
                <c:formatCode>0.0%</c:formatCode>
                <c:ptCount val="6"/>
                <c:pt idx="0">
                  <c:v>0.11484516847304456</c:v>
                </c:pt>
                <c:pt idx="1">
                  <c:v>0.10683626614950233</c:v>
                </c:pt>
                <c:pt idx="2">
                  <c:v>0.10456820100716722</c:v>
                </c:pt>
                <c:pt idx="3">
                  <c:v>0.10340775442789221</c:v>
                </c:pt>
                <c:pt idx="4">
                  <c:v>9.7740408480729721E-2</c:v>
                </c:pt>
                <c:pt idx="5">
                  <c:v>9.4669003535487573E-2</c:v>
                </c:pt>
              </c:numCache>
            </c:numRef>
          </c:val>
          <c:smooth val="0"/>
          <c:extLst>
            <c:ext xmlns:c15="http://schemas.microsoft.com/office/drawing/2012/chart" uri="{02D57815-91ED-43cb-92C2-25804820EDAC}">
              <c15:datalabelsRange>
                <c15:f>Sheet4!$B$111:$G$111</c15:f>
                <c15:dlblRangeCache>
                  <c:ptCount val="6"/>
                  <c:pt idx="0">
                    <c:v>11.5%</c:v>
                  </c:pt>
                  <c:pt idx="1">
                    <c:v>10.7%</c:v>
                  </c:pt>
                  <c:pt idx="2">
                    <c:v>10.5%</c:v>
                  </c:pt>
                  <c:pt idx="3">
                    <c:v>10.3%</c:v>
                  </c:pt>
                  <c:pt idx="4">
                    <c:v>9.8%</c:v>
                  </c:pt>
                  <c:pt idx="5">
                    <c:v>9.5%</c:v>
                  </c:pt>
                </c15:dlblRangeCache>
              </c15:datalabelsRange>
            </c:ext>
            <c:ext xmlns:c16="http://schemas.microsoft.com/office/drawing/2014/chart" uri="{C3380CC4-5D6E-409C-BE32-E72D297353CC}">
              <c16:uniqueId val="{00000013-DB0E-44A8-A939-29D9A4251BEB}"/>
            </c:ext>
          </c:extLst>
        </c:ser>
        <c:dLbls>
          <c:showLegendKey val="0"/>
          <c:showVal val="0"/>
          <c:showCatName val="0"/>
          <c:showSerName val="0"/>
          <c:showPercent val="0"/>
          <c:showBubbleSize val="0"/>
        </c:dLbls>
        <c:smooth val="0"/>
        <c:axId val="490614968"/>
        <c:axId val="490613984"/>
      </c:lineChart>
      <c:catAx>
        <c:axId val="490614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13984"/>
        <c:crossesAt val="0"/>
        <c:auto val="1"/>
        <c:lblAlgn val="ctr"/>
        <c:lblOffset val="100"/>
        <c:noMultiLvlLbl val="0"/>
      </c:catAx>
      <c:valAx>
        <c:axId val="4906139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14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Sheet4!$A$60</c:f>
              <c:strCache>
                <c:ptCount val="1"/>
                <c:pt idx="0">
                  <c:v>Net Tax Revenue</c:v>
                </c:pt>
              </c:strCache>
            </c:strRef>
          </c:tx>
          <c:spPr>
            <a:ln w="28575" cap="rnd">
              <a:solidFill>
                <a:schemeClr val="accent1"/>
              </a:solidFill>
              <a:round/>
            </a:ln>
            <a:effectLst/>
          </c:spPr>
          <c:marker>
            <c:symbol val="none"/>
          </c:marker>
          <c:val>
            <c:numRef>
              <c:f>Sheet4!$B$60:$G$60</c:f>
              <c:numCache>
                <c:formatCode>0.0%</c:formatCode>
                <c:ptCount val="6"/>
                <c:pt idx="0">
                  <c:v>4.8473574420109584E-2</c:v>
                </c:pt>
                <c:pt idx="1">
                  <c:v>6.2456417336503908E-2</c:v>
                </c:pt>
                <c:pt idx="2">
                  <c:v>5.7725878848278747E-2</c:v>
                </c:pt>
                <c:pt idx="3">
                  <c:v>5.8570913600833864E-2</c:v>
                </c:pt>
                <c:pt idx="4">
                  <c:v>5.5734998137936073E-2</c:v>
                </c:pt>
                <c:pt idx="5">
                  <c:v>5.4299719722463134E-2</c:v>
                </c:pt>
              </c:numCache>
            </c:numRef>
          </c:val>
          <c:smooth val="0"/>
          <c:extLst>
            <c:ext xmlns:c16="http://schemas.microsoft.com/office/drawing/2014/chart" uri="{C3380CC4-5D6E-409C-BE32-E72D297353CC}">
              <c16:uniqueId val="{00000000-172D-4126-BF6F-F57EA713E722}"/>
            </c:ext>
          </c:extLst>
        </c:ser>
        <c:ser>
          <c:idx val="1"/>
          <c:order val="1"/>
          <c:tx>
            <c:strRef>
              <c:f>Sheet4!$A$61</c:f>
              <c:strCache>
                <c:ptCount val="1"/>
                <c:pt idx="0">
                  <c:v>Non Tax Revenue</c:v>
                </c:pt>
              </c:strCache>
            </c:strRef>
          </c:tx>
          <c:spPr>
            <a:ln w="28575" cap="rnd">
              <a:solidFill>
                <a:schemeClr val="accent2"/>
              </a:solidFill>
              <a:round/>
            </a:ln>
            <a:effectLst/>
          </c:spPr>
          <c:marker>
            <c:symbol val="none"/>
          </c:marker>
          <c:val>
            <c:numRef>
              <c:f>Sheet4!$B$61:$G$61</c:f>
              <c:numCache>
                <c:formatCode>0.0%</c:formatCode>
                <c:ptCount val="6"/>
                <c:pt idx="0">
                  <c:v>6.3554140163319447E-3</c:v>
                </c:pt>
                <c:pt idx="1">
                  <c:v>1.099333023948953E-2</c:v>
                </c:pt>
                <c:pt idx="2">
                  <c:v>7.9519411869083557E-3</c:v>
                </c:pt>
                <c:pt idx="3">
                  <c:v>1.0575620316954413E-2</c:v>
                </c:pt>
                <c:pt idx="4">
                  <c:v>1.3537408887011956E-2</c:v>
                </c:pt>
                <c:pt idx="5">
                  <c:v>1.5116109179493936E-2</c:v>
                </c:pt>
              </c:numCache>
            </c:numRef>
          </c:val>
          <c:smooth val="0"/>
          <c:extLst>
            <c:ext xmlns:c16="http://schemas.microsoft.com/office/drawing/2014/chart" uri="{C3380CC4-5D6E-409C-BE32-E72D297353CC}">
              <c16:uniqueId val="{00000001-172D-4126-BF6F-F57EA713E722}"/>
            </c:ext>
          </c:extLst>
        </c:ser>
        <c:ser>
          <c:idx val="2"/>
          <c:order val="2"/>
          <c:tx>
            <c:strRef>
              <c:f>Sheet4!$A$62</c:f>
              <c:strCache>
                <c:ptCount val="1"/>
                <c:pt idx="0">
                  <c:v>Non Debt Capital Receipts</c:v>
                </c:pt>
              </c:strCache>
            </c:strRef>
          </c:tx>
          <c:spPr>
            <a:ln w="28575" cap="rnd">
              <a:solidFill>
                <a:schemeClr val="accent3"/>
              </a:solidFill>
              <a:round/>
            </a:ln>
            <a:effectLst/>
          </c:spPr>
          <c:marker>
            <c:symbol val="none"/>
          </c:marker>
          <c:val>
            <c:numRef>
              <c:f>Sheet4!$B$62:$G$62</c:f>
              <c:numCache>
                <c:formatCode>0.0%</c:formatCode>
                <c:ptCount val="6"/>
                <c:pt idx="0">
                  <c:v>1.6670615474005969E-3</c:v>
                </c:pt>
                <c:pt idx="1">
                  <c:v>1.2064465240427557E-3</c:v>
                </c:pt>
                <c:pt idx="2">
                  <c:v>2.0447763952075658E-3</c:v>
                </c:pt>
                <c:pt idx="3">
                  <c:v>1.0038710146616969E-3</c:v>
                </c:pt>
                <c:pt idx="4">
                  <c:v>8.2541672658082267E-4</c:v>
                </c:pt>
                <c:pt idx="5">
                  <c:v>1.2893304301861746E-3</c:v>
                </c:pt>
              </c:numCache>
            </c:numRef>
          </c:val>
          <c:smooth val="0"/>
          <c:extLst>
            <c:ext xmlns:c16="http://schemas.microsoft.com/office/drawing/2014/chart" uri="{C3380CC4-5D6E-409C-BE32-E72D297353CC}">
              <c16:uniqueId val="{00000002-172D-4126-BF6F-F57EA713E722}"/>
            </c:ext>
          </c:extLst>
        </c:ser>
        <c:ser>
          <c:idx val="3"/>
          <c:order val="3"/>
          <c:tx>
            <c:strRef>
              <c:f>Sheet4!$A$63</c:f>
              <c:strCache>
                <c:ptCount val="1"/>
                <c:pt idx="0">
                  <c:v>Total Receipts</c:v>
                </c:pt>
              </c:strCache>
            </c:strRef>
          </c:tx>
          <c:spPr>
            <a:ln w="28575" cap="rnd">
              <a:solidFill>
                <a:schemeClr val="accent4"/>
              </a:solidFill>
              <a:round/>
            </a:ln>
            <a:effectLst/>
          </c:spPr>
          <c:marker>
            <c:symbol val="none"/>
          </c:marker>
          <c:val>
            <c:numRef>
              <c:f>Sheet4!$B$63:$G$63</c:f>
              <c:numCache>
                <c:formatCode>0.0%</c:formatCode>
                <c:ptCount val="6"/>
                <c:pt idx="0">
                  <c:v>5.6496049983842125E-2</c:v>
                </c:pt>
                <c:pt idx="1">
                  <c:v>7.4656194100036197E-2</c:v>
                </c:pt>
                <c:pt idx="2">
                  <c:v>6.7722596430394674E-2</c:v>
                </c:pt>
                <c:pt idx="3">
                  <c:v>7.0150404932449978E-2</c:v>
                </c:pt>
                <c:pt idx="4">
                  <c:v>7.0097823751528857E-2</c:v>
                </c:pt>
                <c:pt idx="5">
                  <c:v>7.0705159332143247E-2</c:v>
                </c:pt>
              </c:numCache>
            </c:numRef>
          </c:val>
          <c:smooth val="0"/>
          <c:extLst>
            <c:ext xmlns:c16="http://schemas.microsoft.com/office/drawing/2014/chart" uri="{C3380CC4-5D6E-409C-BE32-E72D297353CC}">
              <c16:uniqueId val="{00000003-172D-4126-BF6F-F57EA713E722}"/>
            </c:ext>
          </c:extLst>
        </c:ser>
        <c:dLbls>
          <c:showLegendKey val="0"/>
          <c:showVal val="0"/>
          <c:showCatName val="0"/>
          <c:showSerName val="0"/>
          <c:showPercent val="0"/>
          <c:showBubbleSize val="0"/>
        </c:dLbls>
        <c:smooth val="0"/>
        <c:axId val="545261760"/>
        <c:axId val="545256840"/>
      </c:lineChart>
      <c:catAx>
        <c:axId val="5452617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256840"/>
        <c:crosses val="autoZero"/>
        <c:auto val="1"/>
        <c:lblAlgn val="ctr"/>
        <c:lblOffset val="100"/>
        <c:noMultiLvlLbl val="0"/>
      </c:catAx>
      <c:valAx>
        <c:axId val="5452568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261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Composition of Revenue Expenditure</a:t>
            </a:r>
          </a:p>
        </c:rich>
      </c:tx>
      <c:layout>
        <c:manualLayout>
          <c:xMode val="edge"/>
          <c:yMode val="edge"/>
          <c:x val="0.30599135772080338"/>
          <c:y val="0.9201072127079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792492910836569E-2"/>
          <c:y val="0.11438426845160492"/>
          <c:w val="0.86795463859289756"/>
          <c:h val="0.65185933301360643"/>
        </c:manualLayout>
      </c:layout>
      <c:barChart>
        <c:barDir val="bar"/>
        <c:grouping val="percentStacked"/>
        <c:varyColors val="0"/>
        <c:ser>
          <c:idx val="0"/>
          <c:order val="0"/>
          <c:tx>
            <c:strRef>
              <c:f>Sheet4!$A$129</c:f>
              <c:strCache>
                <c:ptCount val="1"/>
                <c:pt idx="0">
                  <c:v>Interest Payments</c:v>
                </c:pt>
              </c:strCache>
            </c:strRef>
          </c:tx>
          <c:spPr>
            <a:solidFill>
              <a:schemeClr val="accent1"/>
            </a:solidFill>
            <a:ln>
              <a:noFill/>
            </a:ln>
            <a:effectLst/>
          </c:spPr>
          <c:invertIfNegative val="0"/>
          <c:dLbls>
            <c:dLbl>
              <c:idx val="0"/>
              <c:tx>
                <c:rich>
                  <a:bodyPr/>
                  <a:lstStyle/>
                  <a:p>
                    <a:fld id="{EDE4F509-D20E-44C4-8DFF-AA94B73E7E9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2DD-40C2-B002-2C0A094C5DB9}"/>
                </c:ext>
              </c:extLst>
            </c:dLbl>
            <c:dLbl>
              <c:idx val="1"/>
              <c:tx>
                <c:rich>
                  <a:bodyPr/>
                  <a:lstStyle/>
                  <a:p>
                    <a:fld id="{95300B49-332E-4677-8EE8-CC5ABCAAD00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2DD-40C2-B002-2C0A094C5DB9}"/>
                </c:ext>
              </c:extLst>
            </c:dLbl>
            <c:dLbl>
              <c:idx val="2"/>
              <c:tx>
                <c:rich>
                  <a:bodyPr/>
                  <a:lstStyle/>
                  <a:p>
                    <a:fld id="{DC5DAA72-E383-4C8A-A0E5-F86D3C1FF68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2DD-40C2-B002-2C0A094C5DB9}"/>
                </c:ext>
              </c:extLst>
            </c:dLbl>
            <c:dLbl>
              <c:idx val="3"/>
              <c:tx>
                <c:rich>
                  <a:bodyPr/>
                  <a:lstStyle/>
                  <a:p>
                    <a:fld id="{D9BFE094-FE8D-43E1-BB0F-E7A82A45433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2DD-40C2-B002-2C0A094C5DB9}"/>
                </c:ext>
              </c:extLst>
            </c:dLbl>
            <c:dLbl>
              <c:idx val="4"/>
              <c:tx>
                <c:rich>
                  <a:bodyPr/>
                  <a:lstStyle/>
                  <a:p>
                    <a:fld id="{CB18FA80-A2B3-41DE-8033-39AEE8ACCE7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2DD-40C2-B002-2C0A094C5D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Sheet4!$B$128:$G$128</c15:sqref>
                  </c15:fullRef>
                </c:ext>
              </c:extLst>
              <c:f>Sheet4!$C$128:$G$128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Sheet4!$B$129:$G$129</c15:sqref>
                  </c15:fullRef>
                </c:ext>
              </c:extLst>
              <c:f>Sheet4!$C$129:$G$129</c:f>
              <c:numCache>
                <c:formatCode>General</c:formatCode>
                <c:ptCount val="5"/>
                <c:pt idx="0">
                  <c:v>565864</c:v>
                </c:pt>
                <c:pt idx="1">
                  <c:v>680853</c:v>
                </c:pt>
                <c:pt idx="2">
                  <c:v>748207</c:v>
                </c:pt>
                <c:pt idx="3">
                  <c:v>808313</c:v>
                </c:pt>
                <c:pt idx="4">
                  <c:v>911059</c:v>
                </c:pt>
              </c:numCache>
            </c:numRef>
          </c:val>
          <c:extLst>
            <c:ext xmlns:c15="http://schemas.microsoft.com/office/drawing/2012/chart" uri="{02D57815-91ED-43cb-92C2-25804820EDAC}">
              <c15:datalabelsRange>
                <c15:f>Sheet4!$B$137:$G$137</c15:f>
                <c15:dlblRangeCache>
                  <c:ptCount val="6"/>
                  <c:pt idx="0">
                    <c:v>24%</c:v>
                  </c:pt>
                  <c:pt idx="1">
                    <c:v>27%</c:v>
                  </c:pt>
                  <c:pt idx="2">
                    <c:v>29%</c:v>
                  </c:pt>
                  <c:pt idx="3">
                    <c:v>31%</c:v>
                  </c:pt>
                  <c:pt idx="4">
                    <c:v>32%</c:v>
                  </c:pt>
                  <c:pt idx="5">
                    <c:v>35%</c:v>
                  </c:pt>
                </c15:dlblRangeCache>
              </c15:datalabelsRange>
            </c:ext>
            <c:ext xmlns:c16="http://schemas.microsoft.com/office/drawing/2014/chart" uri="{C3380CC4-5D6E-409C-BE32-E72D297353CC}">
              <c16:uniqueId val="{00000000-82DD-40C2-B002-2C0A094C5DB9}"/>
            </c:ext>
          </c:extLst>
        </c:ser>
        <c:ser>
          <c:idx val="1"/>
          <c:order val="1"/>
          <c:tx>
            <c:strRef>
              <c:f>Sheet4!$A$130</c:f>
              <c:strCache>
                <c:ptCount val="1"/>
                <c:pt idx="0">
                  <c:v>Defence  Services</c:v>
                </c:pt>
              </c:strCache>
            </c:strRef>
          </c:tx>
          <c:spPr>
            <a:solidFill>
              <a:schemeClr val="accent2"/>
            </a:solidFill>
            <a:ln>
              <a:noFill/>
            </a:ln>
            <a:effectLst/>
          </c:spPr>
          <c:invertIfNegative val="0"/>
          <c:dLbls>
            <c:dLbl>
              <c:idx val="0"/>
              <c:tx>
                <c:rich>
                  <a:bodyPr/>
                  <a:lstStyle/>
                  <a:p>
                    <a:fld id="{553B9ADD-E84F-4D5D-8B71-287E1EE830F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2DD-40C2-B002-2C0A094C5DB9}"/>
                </c:ext>
              </c:extLst>
            </c:dLbl>
            <c:dLbl>
              <c:idx val="1"/>
              <c:tx>
                <c:rich>
                  <a:bodyPr/>
                  <a:lstStyle/>
                  <a:p>
                    <a:fld id="{B6033298-1C96-44C0-95FF-6B3E19CC372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2DD-40C2-B002-2C0A094C5DB9}"/>
                </c:ext>
              </c:extLst>
            </c:dLbl>
            <c:dLbl>
              <c:idx val="2"/>
              <c:tx>
                <c:rich>
                  <a:bodyPr/>
                  <a:lstStyle/>
                  <a:p>
                    <a:fld id="{4D706E98-18AA-4198-980C-9E2F10C42F7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2DD-40C2-B002-2C0A094C5DB9}"/>
                </c:ext>
              </c:extLst>
            </c:dLbl>
            <c:dLbl>
              <c:idx val="3"/>
              <c:tx>
                <c:rich>
                  <a:bodyPr/>
                  <a:lstStyle/>
                  <a:p>
                    <a:fld id="{3182D7EE-5491-4996-B703-21CE1266258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2DD-40C2-B002-2C0A094C5DB9}"/>
                </c:ext>
              </c:extLst>
            </c:dLbl>
            <c:dLbl>
              <c:idx val="4"/>
              <c:tx>
                <c:rich>
                  <a:bodyPr/>
                  <a:lstStyle/>
                  <a:p>
                    <a:fld id="{7D915331-6A2C-4B9E-AC14-FCA96F62FE1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2DD-40C2-B002-2C0A094C5D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Sheet4!$B$128:$G$128</c15:sqref>
                  </c15:fullRef>
                </c:ext>
              </c:extLst>
              <c:f>Sheet4!$C$128:$G$128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Sheet4!$B$130:$G$130</c15:sqref>
                  </c15:fullRef>
                </c:ext>
              </c:extLst>
              <c:f>Sheet4!$C$130:$G$130</c:f>
              <c:numCache>
                <c:formatCode>General</c:formatCode>
                <c:ptCount val="5"/>
                <c:pt idx="0">
                  <c:v>179859</c:v>
                </c:pt>
                <c:pt idx="1">
                  <c:v>184962</c:v>
                </c:pt>
                <c:pt idx="2">
                  <c:v>215181</c:v>
                </c:pt>
                <c:pt idx="3">
                  <c:v>215520</c:v>
                </c:pt>
                <c:pt idx="4">
                  <c:v>233023</c:v>
                </c:pt>
              </c:numCache>
            </c:numRef>
          </c:val>
          <c:extLst>
            <c:ext xmlns:c15="http://schemas.microsoft.com/office/drawing/2012/chart" uri="{02D57815-91ED-43cb-92C2-25804820EDAC}">
              <c15:datalabelsRange>
                <c15:f>Sheet4!$B$138:$G$138</c15:f>
                <c15:dlblRangeCache>
                  <c:ptCount val="6"/>
                  <c:pt idx="0">
                    <c:v>8%</c:v>
                  </c:pt>
                  <c:pt idx="1">
                    <c:v>8%</c:v>
                  </c:pt>
                  <c:pt idx="2">
                    <c:v>8%</c:v>
                  </c:pt>
                  <c:pt idx="3">
                    <c:v>9%</c:v>
                  </c:pt>
                  <c:pt idx="4">
                    <c:v>8%</c:v>
                  </c:pt>
                  <c:pt idx="5">
                    <c:v>9%</c:v>
                  </c:pt>
                </c15:dlblRangeCache>
              </c15:datalabelsRange>
            </c:ext>
            <c:ext xmlns:c16="http://schemas.microsoft.com/office/drawing/2014/chart" uri="{C3380CC4-5D6E-409C-BE32-E72D297353CC}">
              <c16:uniqueId val="{00000001-82DD-40C2-B002-2C0A094C5DB9}"/>
            </c:ext>
          </c:extLst>
        </c:ser>
        <c:ser>
          <c:idx val="2"/>
          <c:order val="2"/>
          <c:tx>
            <c:strRef>
              <c:f>Sheet4!$A$131</c:f>
              <c:strCache>
                <c:ptCount val="1"/>
                <c:pt idx="0">
                  <c:v>Grants in Aid  to States &amp; UTs</c:v>
                </c:pt>
              </c:strCache>
            </c:strRef>
          </c:tx>
          <c:spPr>
            <a:solidFill>
              <a:schemeClr val="accent3"/>
            </a:solidFill>
            <a:ln>
              <a:noFill/>
            </a:ln>
            <a:effectLst/>
          </c:spPr>
          <c:invertIfNegative val="0"/>
          <c:dLbls>
            <c:dLbl>
              <c:idx val="0"/>
              <c:tx>
                <c:rich>
                  <a:bodyPr/>
                  <a:lstStyle/>
                  <a:p>
                    <a:fld id="{8D342702-BC56-4885-BB61-AC7F729CA93B}"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2DD-40C2-B002-2C0A094C5DB9}"/>
                </c:ext>
              </c:extLst>
            </c:dLbl>
            <c:dLbl>
              <c:idx val="1"/>
              <c:tx>
                <c:rich>
                  <a:bodyPr/>
                  <a:lstStyle/>
                  <a:p>
                    <a:fld id="{8472D80B-7B67-4938-A325-ECC2931E3BD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82DD-40C2-B002-2C0A094C5DB9}"/>
                </c:ext>
              </c:extLst>
            </c:dLbl>
            <c:dLbl>
              <c:idx val="2"/>
              <c:tx>
                <c:rich>
                  <a:bodyPr/>
                  <a:lstStyle/>
                  <a:p>
                    <a:fld id="{B0DA3B4E-6EB3-432B-A77A-84ADC6DAAC1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82DD-40C2-B002-2C0A094C5DB9}"/>
                </c:ext>
              </c:extLst>
            </c:dLbl>
            <c:dLbl>
              <c:idx val="3"/>
              <c:tx>
                <c:rich>
                  <a:bodyPr/>
                  <a:lstStyle/>
                  <a:p>
                    <a:fld id="{252D9055-3B4D-471A-ACAF-F3E1DC934D8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82DD-40C2-B002-2C0A094C5DB9}"/>
                </c:ext>
              </c:extLst>
            </c:dLbl>
            <c:dLbl>
              <c:idx val="4"/>
              <c:tx>
                <c:rich>
                  <a:bodyPr/>
                  <a:lstStyle/>
                  <a:p>
                    <a:fld id="{3168D91B-F6F2-43FB-A00D-D9D3DBE70D6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2DD-40C2-B002-2C0A094C5D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Sheet4!$B$128:$G$128</c15:sqref>
                  </c15:fullRef>
                </c:ext>
              </c:extLst>
              <c:f>Sheet4!$C$128:$G$128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Sheet4!$B$131:$G$131</c15:sqref>
                  </c15:fullRef>
                </c:ext>
              </c:extLst>
              <c:f>Sheet4!$C$131:$G$131</c:f>
              <c:numCache>
                <c:formatCode>General</c:formatCode>
                <c:ptCount val="5"/>
                <c:pt idx="0">
                  <c:v>426909</c:v>
                </c:pt>
                <c:pt idx="1">
                  <c:v>387918</c:v>
                </c:pt>
                <c:pt idx="2">
                  <c:v>349946</c:v>
                </c:pt>
                <c:pt idx="3">
                  <c:v>348245</c:v>
                </c:pt>
                <c:pt idx="4">
                  <c:v>247273</c:v>
                </c:pt>
              </c:numCache>
            </c:numRef>
          </c:val>
          <c:extLst>
            <c:ext xmlns:c15="http://schemas.microsoft.com/office/drawing/2012/chart" uri="{02D57815-91ED-43cb-92C2-25804820EDAC}">
              <c15:datalabelsRange>
                <c15:f>Sheet4!$B$139:$G$139</c15:f>
                <c15:dlblRangeCache>
                  <c:ptCount val="6"/>
                  <c:pt idx="0">
                    <c:v>22%</c:v>
                  </c:pt>
                  <c:pt idx="1">
                    <c:v>20%</c:v>
                  </c:pt>
                  <c:pt idx="2">
                    <c:v>17%</c:v>
                  </c:pt>
                  <c:pt idx="3">
                    <c:v>15%</c:v>
                  </c:pt>
                  <c:pt idx="4">
                    <c:v>14%</c:v>
                  </c:pt>
                  <c:pt idx="5">
                    <c:v>10%</c:v>
                  </c:pt>
                </c15:dlblRangeCache>
              </c15:datalabelsRange>
            </c:ext>
            <c:ext xmlns:c16="http://schemas.microsoft.com/office/drawing/2014/chart" uri="{C3380CC4-5D6E-409C-BE32-E72D297353CC}">
              <c16:uniqueId val="{00000002-82DD-40C2-B002-2C0A094C5DB9}"/>
            </c:ext>
          </c:extLst>
        </c:ser>
        <c:ser>
          <c:idx val="3"/>
          <c:order val="3"/>
          <c:tx>
            <c:strRef>
              <c:f>Sheet4!$A$132</c:f>
              <c:strCache>
                <c:ptCount val="1"/>
                <c:pt idx="0">
                  <c:v>Pensions</c:v>
                </c:pt>
              </c:strCache>
            </c:strRef>
          </c:tx>
          <c:spPr>
            <a:solidFill>
              <a:schemeClr val="accent4"/>
            </a:solidFill>
            <a:ln>
              <a:noFill/>
            </a:ln>
            <a:effectLst/>
          </c:spPr>
          <c:invertIfNegative val="0"/>
          <c:dLbls>
            <c:dLbl>
              <c:idx val="0"/>
              <c:tx>
                <c:rich>
                  <a:bodyPr/>
                  <a:lstStyle/>
                  <a:p>
                    <a:fld id="{2BB31087-7CD1-4B78-9353-F55A1B67DDE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82DD-40C2-B002-2C0A094C5DB9}"/>
                </c:ext>
              </c:extLst>
            </c:dLbl>
            <c:dLbl>
              <c:idx val="1"/>
              <c:tx>
                <c:rich>
                  <a:bodyPr/>
                  <a:lstStyle/>
                  <a:p>
                    <a:fld id="{6DF23331-08C6-4CCF-B296-79D149EDCCE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82DD-40C2-B002-2C0A094C5DB9}"/>
                </c:ext>
              </c:extLst>
            </c:dLbl>
            <c:dLbl>
              <c:idx val="2"/>
              <c:tx>
                <c:rich>
                  <a:bodyPr/>
                  <a:lstStyle/>
                  <a:p>
                    <a:fld id="{02DB528C-86E0-4672-855A-2884B375397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82DD-40C2-B002-2C0A094C5DB9}"/>
                </c:ext>
              </c:extLst>
            </c:dLbl>
            <c:dLbl>
              <c:idx val="3"/>
              <c:tx>
                <c:rich>
                  <a:bodyPr/>
                  <a:lstStyle/>
                  <a:p>
                    <a:fld id="{6450D912-E3E8-4AB9-A19A-A227C180DAC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82DD-40C2-B002-2C0A094C5DB9}"/>
                </c:ext>
              </c:extLst>
            </c:dLbl>
            <c:dLbl>
              <c:idx val="4"/>
              <c:tx>
                <c:rich>
                  <a:bodyPr/>
                  <a:lstStyle/>
                  <a:p>
                    <a:fld id="{1A638158-B7EA-412E-8285-DA5BACCBAE8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82DD-40C2-B002-2C0A094C5D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Sheet4!$B$128:$G$128</c15:sqref>
                  </c15:fullRef>
                </c:ext>
              </c:extLst>
              <c:f>Sheet4!$C$128:$G$128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Sheet4!$B$132:$G$132</c15:sqref>
                  </c15:fullRef>
                </c:ext>
              </c:extLst>
              <c:f>Sheet4!$C$132:$G$132</c:f>
              <c:numCache>
                <c:formatCode>General</c:formatCode>
                <c:ptCount val="5"/>
                <c:pt idx="0">
                  <c:v>146150</c:v>
                </c:pt>
                <c:pt idx="1">
                  <c:v>168439</c:v>
                </c:pt>
                <c:pt idx="2">
                  <c:v>191905</c:v>
                </c:pt>
                <c:pt idx="3">
                  <c:v>215263</c:v>
                </c:pt>
                <c:pt idx="4">
                  <c:v>226030</c:v>
                </c:pt>
              </c:numCache>
            </c:numRef>
          </c:val>
          <c:extLst>
            <c:ext xmlns:c15="http://schemas.microsoft.com/office/drawing/2012/chart" uri="{02D57815-91ED-43cb-92C2-25804820EDAC}">
              <c15:datalabelsRange>
                <c15:f>Sheet4!$B$140:$G$140</c15:f>
                <c15:dlblRangeCache>
                  <c:ptCount val="6"/>
                  <c:pt idx="0">
                    <c:v>8%</c:v>
                  </c:pt>
                  <c:pt idx="1">
                    <c:v>7%</c:v>
                  </c:pt>
                  <c:pt idx="2">
                    <c:v>7%</c:v>
                  </c:pt>
                  <c:pt idx="3">
                    <c:v>8%</c:v>
                  </c:pt>
                  <c:pt idx="4">
                    <c:v>8%</c:v>
                  </c:pt>
                  <c:pt idx="5">
                    <c:v>9%</c:v>
                  </c:pt>
                </c15:dlblRangeCache>
              </c15:datalabelsRange>
            </c:ext>
            <c:ext xmlns:c16="http://schemas.microsoft.com/office/drawing/2014/chart" uri="{C3380CC4-5D6E-409C-BE32-E72D297353CC}">
              <c16:uniqueId val="{00000003-82DD-40C2-B002-2C0A094C5DB9}"/>
            </c:ext>
          </c:extLst>
        </c:ser>
        <c:ser>
          <c:idx val="4"/>
          <c:order val="4"/>
          <c:tx>
            <c:strRef>
              <c:f>Sheet4!$A$133</c:f>
              <c:strCache>
                <c:ptCount val="1"/>
                <c:pt idx="0">
                  <c:v>Major Subsidies</c:v>
                </c:pt>
              </c:strCache>
            </c:strRef>
          </c:tx>
          <c:spPr>
            <a:solidFill>
              <a:schemeClr val="accent5"/>
            </a:solidFill>
            <a:ln>
              <a:noFill/>
            </a:ln>
            <a:effectLst/>
          </c:spPr>
          <c:invertIfNegative val="0"/>
          <c:dLbls>
            <c:dLbl>
              <c:idx val="0"/>
              <c:tx>
                <c:rich>
                  <a:bodyPr/>
                  <a:lstStyle/>
                  <a:p>
                    <a:fld id="{1A1C00FE-7ACA-4BDF-A2D5-3DE7798A4EF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82DD-40C2-B002-2C0A094C5DB9}"/>
                </c:ext>
              </c:extLst>
            </c:dLbl>
            <c:dLbl>
              <c:idx val="1"/>
              <c:tx>
                <c:rich>
                  <a:bodyPr/>
                  <a:lstStyle/>
                  <a:p>
                    <a:fld id="{715AE530-E1D6-44AE-9358-3535E8FE969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82DD-40C2-B002-2C0A094C5DB9}"/>
                </c:ext>
              </c:extLst>
            </c:dLbl>
            <c:dLbl>
              <c:idx val="2"/>
              <c:tx>
                <c:rich>
                  <a:bodyPr/>
                  <a:lstStyle/>
                  <a:p>
                    <a:fld id="{09EC0F99-D3EA-48BA-BC1B-AEC9C920CAE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82DD-40C2-B002-2C0A094C5DB9}"/>
                </c:ext>
              </c:extLst>
            </c:dLbl>
            <c:dLbl>
              <c:idx val="3"/>
              <c:tx>
                <c:rich>
                  <a:bodyPr/>
                  <a:lstStyle/>
                  <a:p>
                    <a:fld id="{6C014061-B9F2-4F39-997D-9019F5C55A3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82DD-40C2-B002-2C0A094C5DB9}"/>
                </c:ext>
              </c:extLst>
            </c:dLbl>
            <c:dLbl>
              <c:idx val="4"/>
              <c:tx>
                <c:rich>
                  <a:bodyPr/>
                  <a:lstStyle/>
                  <a:p>
                    <a:fld id="{89E76FBD-2948-42E5-872F-938CECF990C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82DD-40C2-B002-2C0A094C5D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Sheet4!$B$128:$G$128</c15:sqref>
                  </c15:fullRef>
                </c:ext>
              </c:extLst>
              <c:f>Sheet4!$C$128:$G$128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Sheet4!$B$133:$G$133</c15:sqref>
                  </c15:fullRef>
                </c:ext>
              </c:extLst>
              <c:f>Sheet4!$C$133:$G$133</c:f>
              <c:numCache>
                <c:formatCode>General</c:formatCode>
                <c:ptCount val="5"/>
                <c:pt idx="0">
                  <c:v>271374</c:v>
                </c:pt>
                <c:pt idx="1">
                  <c:v>350524</c:v>
                </c:pt>
                <c:pt idx="2">
                  <c:v>276804</c:v>
                </c:pt>
                <c:pt idx="3">
                  <c:v>306994</c:v>
                </c:pt>
                <c:pt idx="4">
                  <c:v>317490</c:v>
                </c:pt>
              </c:numCache>
            </c:numRef>
          </c:val>
          <c:extLst>
            <c:ext xmlns:c15="http://schemas.microsoft.com/office/drawing/2012/chart" uri="{02D57815-91ED-43cb-92C2-25804820EDAC}">
              <c15:datalabelsRange>
                <c15:f>Sheet4!$B$141:$G$141</c15:f>
                <c15:dlblRangeCache>
                  <c:ptCount val="6"/>
                  <c:pt idx="0">
                    <c:v>12%</c:v>
                  </c:pt>
                  <c:pt idx="1">
                    <c:v>13%</c:v>
                  </c:pt>
                  <c:pt idx="2">
                    <c:v>15%</c:v>
                  </c:pt>
                  <c:pt idx="3">
                    <c:v>12%</c:v>
                  </c:pt>
                  <c:pt idx="4">
                    <c:v>12%</c:v>
                  </c:pt>
                  <c:pt idx="5">
                    <c:v>12%</c:v>
                  </c:pt>
                </c15:dlblRangeCache>
              </c15:datalabelsRange>
            </c:ext>
            <c:ext xmlns:c16="http://schemas.microsoft.com/office/drawing/2014/chart" uri="{C3380CC4-5D6E-409C-BE32-E72D297353CC}">
              <c16:uniqueId val="{00000004-82DD-40C2-B002-2C0A094C5DB9}"/>
            </c:ext>
          </c:extLst>
        </c:ser>
        <c:ser>
          <c:idx val="5"/>
          <c:order val="5"/>
          <c:tx>
            <c:strRef>
              <c:f>Sheet4!$A$134</c:f>
              <c:strCache>
                <c:ptCount val="1"/>
                <c:pt idx="0">
                  <c:v>Other Revenue Expenditure</c:v>
                </c:pt>
              </c:strCache>
            </c:strRef>
          </c:tx>
          <c:spPr>
            <a:solidFill>
              <a:schemeClr val="accent6"/>
            </a:solidFill>
            <a:ln>
              <a:noFill/>
            </a:ln>
            <a:effectLst/>
          </c:spPr>
          <c:invertIfNegative val="0"/>
          <c:dLbls>
            <c:dLbl>
              <c:idx val="0"/>
              <c:tx>
                <c:rich>
                  <a:bodyPr/>
                  <a:lstStyle/>
                  <a:p>
                    <a:fld id="{111E40FE-EFB6-47B0-AD08-C3439D73644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82DD-40C2-B002-2C0A094C5DB9}"/>
                </c:ext>
              </c:extLst>
            </c:dLbl>
            <c:dLbl>
              <c:idx val="1"/>
              <c:tx>
                <c:rich>
                  <a:bodyPr/>
                  <a:lstStyle/>
                  <a:p>
                    <a:fld id="{6CF22471-400C-4526-B32C-936E40B1C54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82DD-40C2-B002-2C0A094C5DB9}"/>
                </c:ext>
              </c:extLst>
            </c:dLbl>
            <c:dLbl>
              <c:idx val="2"/>
              <c:tx>
                <c:rich>
                  <a:bodyPr/>
                  <a:lstStyle/>
                  <a:p>
                    <a:fld id="{38583DF5-0665-4D7C-AC75-4AA05D26C01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82DD-40C2-B002-2C0A094C5DB9}"/>
                </c:ext>
              </c:extLst>
            </c:dLbl>
            <c:dLbl>
              <c:idx val="3"/>
              <c:tx>
                <c:rich>
                  <a:bodyPr/>
                  <a:lstStyle/>
                  <a:p>
                    <a:fld id="{1683AC90-89F4-45F8-A27C-7135F895051A}"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82DD-40C2-B002-2C0A094C5DB9}"/>
                </c:ext>
              </c:extLst>
            </c:dLbl>
            <c:dLbl>
              <c:idx val="4"/>
              <c:tx>
                <c:rich>
                  <a:bodyPr/>
                  <a:lstStyle/>
                  <a:p>
                    <a:fld id="{8379AED9-3916-48BC-AEF1-B536F696614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82DD-40C2-B002-2C0A094C5DB9}"/>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Sheet4!$B$128:$G$128</c15:sqref>
                  </c15:fullRef>
                </c:ext>
              </c:extLst>
              <c:f>Sheet4!$C$128:$G$128</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Sheet4!$B$134:$G$134</c15:sqref>
                  </c15:fullRef>
                </c:ext>
              </c:extLst>
              <c:f>Sheet4!$C$134:$G$134</c:f>
              <c:numCache>
                <c:formatCode>General</c:formatCode>
                <c:ptCount val="5"/>
                <c:pt idx="0">
                  <c:v>539258</c:v>
                </c:pt>
                <c:pt idx="1">
                  <c:v>555436</c:v>
                </c:pt>
                <c:pt idx="2">
                  <c:v>598544</c:v>
                </c:pt>
                <c:pt idx="3">
                  <c:v>652422</c:v>
                </c:pt>
                <c:pt idx="4">
                  <c:v>658188</c:v>
                </c:pt>
              </c:numCache>
            </c:numRef>
          </c:val>
          <c:extLst>
            <c:ext xmlns:c15="http://schemas.microsoft.com/office/drawing/2012/chart" uri="{02D57815-91ED-43cb-92C2-25804820EDAC}">
              <c15:datalabelsRange>
                <c15:f>Sheet4!$B$142:$G$142</c15:f>
                <c15:dlblRangeCache>
                  <c:ptCount val="6"/>
                  <c:pt idx="0">
                    <c:v>26%</c:v>
                  </c:pt>
                  <c:pt idx="1">
                    <c:v>25%</c:v>
                  </c:pt>
                  <c:pt idx="2">
                    <c:v>24%</c:v>
                  </c:pt>
                  <c:pt idx="3">
                    <c:v>25%</c:v>
                  </c:pt>
                  <c:pt idx="4">
                    <c:v>26%</c:v>
                  </c:pt>
                  <c:pt idx="5">
                    <c:v>25%</c:v>
                  </c:pt>
                </c15:dlblRangeCache>
              </c15:datalabelsRange>
            </c:ext>
            <c:ext xmlns:c16="http://schemas.microsoft.com/office/drawing/2014/chart" uri="{C3380CC4-5D6E-409C-BE32-E72D297353CC}">
              <c16:uniqueId val="{00000005-82DD-40C2-B002-2C0A094C5DB9}"/>
            </c:ext>
          </c:extLst>
        </c:ser>
        <c:dLbls>
          <c:dLblPos val="ctr"/>
          <c:showLegendKey val="0"/>
          <c:showVal val="1"/>
          <c:showCatName val="0"/>
          <c:showSerName val="0"/>
          <c:showPercent val="0"/>
          <c:showBubbleSize val="0"/>
        </c:dLbls>
        <c:gapWidth val="150"/>
        <c:overlap val="100"/>
        <c:axId val="554002776"/>
        <c:axId val="554003104"/>
      </c:barChart>
      <c:catAx>
        <c:axId val="554002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03104"/>
        <c:crossesAt val="0"/>
        <c:auto val="1"/>
        <c:lblAlgn val="ctr"/>
        <c:lblOffset val="100"/>
        <c:noMultiLvlLbl val="0"/>
      </c:catAx>
      <c:valAx>
        <c:axId val="554003104"/>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low"/>
        <c:spPr>
          <a:noFill/>
          <a:ln>
            <a:noFill/>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554002776"/>
        <c:crosses val="max"/>
        <c:crossBetween val="between"/>
      </c:valAx>
      <c:spPr>
        <a:noFill/>
        <a:ln>
          <a:noFill/>
        </a:ln>
        <a:effectLst/>
      </c:spPr>
    </c:plotArea>
    <c:legend>
      <c:legendPos val="b"/>
      <c:layout>
        <c:manualLayout>
          <c:xMode val="edge"/>
          <c:yMode val="edge"/>
          <c:x val="6.2251279270043168E-2"/>
          <c:y val="0.83470731866660131"/>
          <c:w val="0.88948456780945451"/>
          <c:h val="0.13936457771898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Sheet4!$A$148</c:f>
          <c:strCache>
            <c:ptCount val="1"/>
            <c:pt idx="0">
              <c:v>Actuals (Upto Dec)</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Sheet4!$A$148</c:f>
              <c:strCache>
                <c:ptCount val="1"/>
                <c:pt idx="0">
                  <c:v>Actuals (Upto Dec)</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Sheet4!$B$148:$G$148</c15:sqref>
                  </c15:fullRef>
                </c:ext>
              </c:extLst>
              <c:f>Sheet4!$C$148:$G$148</c:f>
              <c:numCache>
                <c:formatCode>General</c:formatCode>
                <c:ptCount val="5"/>
                <c:pt idx="0">
                  <c:v>565864</c:v>
                </c:pt>
                <c:pt idx="1">
                  <c:v>680853</c:v>
                </c:pt>
                <c:pt idx="2">
                  <c:v>748207</c:v>
                </c:pt>
                <c:pt idx="3">
                  <c:v>808313</c:v>
                </c:pt>
                <c:pt idx="4">
                  <c:v>911059</c:v>
                </c:pt>
              </c:numCache>
            </c:numRef>
          </c:val>
          <c:extLst>
            <c:ext xmlns:c16="http://schemas.microsoft.com/office/drawing/2014/chart" uri="{C3380CC4-5D6E-409C-BE32-E72D297353CC}">
              <c16:uniqueId val="{00000000-DA80-4BE3-93A4-5479D3B47060}"/>
            </c:ext>
          </c:extLst>
        </c:ser>
        <c:ser>
          <c:idx val="1"/>
          <c:order val="1"/>
          <c:tx>
            <c:strRef>
              <c:f>Sheet4!$A$149</c:f>
              <c:strCache>
                <c:ptCount val="1"/>
                <c:pt idx="0">
                  <c:v>BE</c:v>
                </c:pt>
              </c:strCache>
            </c:strRef>
          </c:tx>
          <c:spPr>
            <a:noFill/>
            <a:ln>
              <a:solidFill>
                <a:schemeClr val="tx1"/>
              </a:solidFill>
              <a:prstDash val="dash"/>
            </a:ln>
            <a:effectLst/>
          </c:spPr>
          <c:invertIfNegative val="0"/>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Sheet4!$B$149:$G$149</c15:sqref>
                  </c15:fullRef>
                </c:ext>
              </c:extLst>
              <c:f>Sheet4!$C$149:$G$149</c:f>
              <c:numCache>
                <c:formatCode>General</c:formatCode>
                <c:ptCount val="5"/>
                <c:pt idx="0">
                  <c:v>809701</c:v>
                </c:pt>
                <c:pt idx="1">
                  <c:v>940651</c:v>
                </c:pt>
                <c:pt idx="2">
                  <c:v>1079971</c:v>
                </c:pt>
                <c:pt idx="3">
                  <c:v>1162940</c:v>
                </c:pt>
                <c:pt idx="4">
                  <c:v>1276338</c:v>
                </c:pt>
              </c:numCache>
            </c:numRef>
          </c:val>
          <c:extLst>
            <c:ext xmlns:c16="http://schemas.microsoft.com/office/drawing/2014/chart" uri="{C3380CC4-5D6E-409C-BE32-E72D297353CC}">
              <c16:uniqueId val="{00000001-DA80-4BE3-93A4-5479D3B47060}"/>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Sheet4!$A$151</c:f>
          <c:strCache>
            <c:ptCount val="1"/>
            <c:pt idx="0">
              <c:v>Actuals (Upto Dec)</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Sheet4!$A$151</c:f>
              <c:strCache>
                <c:ptCount val="1"/>
                <c:pt idx="0">
                  <c:v>Actuals (Upto Dec)</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Sheet4!$B$151:$G$151</c15:sqref>
                  </c15:fullRef>
                </c:ext>
              </c:extLst>
              <c:f>Sheet4!$C$151:$G$151</c:f>
              <c:numCache>
                <c:formatCode>General</c:formatCode>
                <c:ptCount val="5"/>
                <c:pt idx="0">
                  <c:v>179859</c:v>
                </c:pt>
                <c:pt idx="1">
                  <c:v>184962</c:v>
                </c:pt>
                <c:pt idx="2">
                  <c:v>215181</c:v>
                </c:pt>
                <c:pt idx="3">
                  <c:v>215520</c:v>
                </c:pt>
                <c:pt idx="4">
                  <c:v>233023</c:v>
                </c:pt>
              </c:numCache>
            </c:numRef>
          </c:val>
          <c:extLst>
            <c:ext xmlns:c16="http://schemas.microsoft.com/office/drawing/2014/chart" uri="{C3380CC4-5D6E-409C-BE32-E72D297353CC}">
              <c16:uniqueId val="{00000000-CD12-480A-85E7-80E8095F41A7}"/>
            </c:ext>
          </c:extLst>
        </c:ser>
        <c:ser>
          <c:idx val="1"/>
          <c:order val="1"/>
          <c:tx>
            <c:strRef>
              <c:f>Sheet4!$A$152</c:f>
              <c:strCache>
                <c:ptCount val="1"/>
                <c:pt idx="0">
                  <c:v>BE</c:v>
                </c:pt>
              </c:strCache>
            </c:strRef>
          </c:tx>
          <c:spPr>
            <a:noFill/>
            <a:ln>
              <a:solidFill>
                <a:schemeClr val="tx1"/>
              </a:solidFill>
              <a:prstDash val="dash"/>
            </a:ln>
            <a:effectLst/>
          </c:spPr>
          <c:invertIfNegative val="0"/>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Sheet4!$B$152:$G$152</c15:sqref>
                  </c15:fullRef>
                </c:ext>
              </c:extLst>
              <c:f>Sheet4!$C$152:$G$152</c:f>
              <c:numCache>
                <c:formatCode>General</c:formatCode>
                <c:ptCount val="5"/>
                <c:pt idx="0">
                  <c:v>212028</c:v>
                </c:pt>
                <c:pt idx="1">
                  <c:v>233001</c:v>
                </c:pt>
                <c:pt idx="2">
                  <c:v>270120</c:v>
                </c:pt>
                <c:pt idx="3">
                  <c:v>282773</c:v>
                </c:pt>
                <c:pt idx="4">
                  <c:v>311732</c:v>
                </c:pt>
              </c:numCache>
            </c:numRef>
          </c:val>
          <c:extLst>
            <c:ext xmlns:c16="http://schemas.microsoft.com/office/drawing/2014/chart" uri="{C3380CC4-5D6E-409C-BE32-E72D297353CC}">
              <c16:uniqueId val="{00000001-CD12-480A-85E7-80E8095F41A7}"/>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Sheet4!$A$154</c:f>
          <c:strCache>
            <c:ptCount val="1"/>
            <c:pt idx="0">
              <c:v>Actuals (Upto Dec)</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Sheet4!$A$154</c:f>
              <c:strCache>
                <c:ptCount val="1"/>
                <c:pt idx="0">
                  <c:v>Actuals (Upto Dec)</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Sheet4!$C$147:$G$147</c:f>
              <c:strCache>
                <c:ptCount val="5"/>
                <c:pt idx="0">
                  <c:v>2021-22</c:v>
                </c:pt>
                <c:pt idx="1">
                  <c:v>2022-23</c:v>
                </c:pt>
                <c:pt idx="2">
                  <c:v>2023-24</c:v>
                </c:pt>
                <c:pt idx="3">
                  <c:v>2024-25</c:v>
                </c:pt>
                <c:pt idx="4">
                  <c:v>2025-26</c:v>
                </c:pt>
              </c:strCache>
              <c:extLst/>
            </c:strRef>
          </c:cat>
          <c:val>
            <c:numRef>
              <c:f>Sheet4!$C$154:$G$154</c:f>
              <c:numCache>
                <c:formatCode>General</c:formatCode>
                <c:ptCount val="5"/>
                <c:pt idx="0">
                  <c:v>426909</c:v>
                </c:pt>
                <c:pt idx="1">
                  <c:v>387918</c:v>
                </c:pt>
                <c:pt idx="2">
                  <c:v>349946</c:v>
                </c:pt>
                <c:pt idx="3">
                  <c:v>348245</c:v>
                </c:pt>
                <c:pt idx="4">
                  <c:v>247273</c:v>
                </c:pt>
              </c:numCache>
              <c:extLst/>
            </c:numRef>
          </c:val>
          <c:extLst>
            <c:ext xmlns:c16="http://schemas.microsoft.com/office/drawing/2014/chart" uri="{C3380CC4-5D6E-409C-BE32-E72D297353CC}">
              <c16:uniqueId val="{00000004-C7E9-4000-AEDC-909EE1DDC6F8}"/>
            </c:ext>
          </c:extLst>
        </c:ser>
        <c:ser>
          <c:idx val="1"/>
          <c:order val="1"/>
          <c:tx>
            <c:strRef>
              <c:f>Sheet4!$A$155</c:f>
              <c:strCache>
                <c:ptCount val="1"/>
                <c:pt idx="0">
                  <c:v>BE</c:v>
                </c:pt>
              </c:strCache>
            </c:strRef>
          </c:tx>
          <c:spPr>
            <a:noFill/>
            <a:ln>
              <a:solidFill>
                <a:schemeClr val="tx1"/>
              </a:solidFill>
              <a:prstDash val="dash"/>
            </a:ln>
            <a:effectLst/>
          </c:spPr>
          <c:invertIfNegative val="0"/>
          <c:cat>
            <c:strRef>
              <c:f>Sheet4!$C$147:$G$147</c:f>
              <c:strCache>
                <c:ptCount val="5"/>
                <c:pt idx="0">
                  <c:v>2021-22</c:v>
                </c:pt>
                <c:pt idx="1">
                  <c:v>2022-23</c:v>
                </c:pt>
                <c:pt idx="2">
                  <c:v>2023-24</c:v>
                </c:pt>
                <c:pt idx="3">
                  <c:v>2024-25</c:v>
                </c:pt>
                <c:pt idx="4">
                  <c:v>2025-26</c:v>
                </c:pt>
              </c:strCache>
              <c:extLst/>
            </c:strRef>
          </c:cat>
          <c:val>
            <c:numRef>
              <c:f>Sheet4!$C$155:$G$155</c:f>
              <c:numCache>
                <c:formatCode>General</c:formatCode>
                <c:ptCount val="5"/>
                <c:pt idx="0">
                  <c:v>605812</c:v>
                </c:pt>
                <c:pt idx="1">
                  <c:v>617057</c:v>
                </c:pt>
                <c:pt idx="2">
                  <c:v>659736</c:v>
                </c:pt>
                <c:pt idx="3">
                  <c:v>641460</c:v>
                </c:pt>
                <c:pt idx="4">
                  <c:v>720056</c:v>
                </c:pt>
              </c:numCache>
              <c:extLst/>
            </c:numRef>
          </c:val>
          <c:extLst>
            <c:ext xmlns:c16="http://schemas.microsoft.com/office/drawing/2014/chart" uri="{C3380CC4-5D6E-409C-BE32-E72D297353CC}">
              <c16:uniqueId val="{00000006-C7E9-4000-AEDC-909EE1DDC6F8}"/>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valAx>
    </c:plotArea>
    <c:legend>
      <c:legendPos val="b"/>
      <c:legendEntry>
        <c:idx val="0"/>
        <c:delete val="1"/>
      </c:legendEntry>
      <c:legendEntry>
        <c:idx val="1"/>
        <c:delete val="1"/>
      </c:legendEntry>
      <c:layout>
        <c:manualLayout>
          <c:xMode val="edge"/>
          <c:yMode val="edge"/>
          <c:x val="9.1379387945464949E-2"/>
          <c:y val="0.89346889942979413"/>
          <c:w val="0.83435491552036822"/>
          <c:h val="8.218135384591786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Sheet4!$A$157</c:f>
          <c:strCache>
            <c:ptCount val="1"/>
            <c:pt idx="0">
              <c:v>Actuals (Upto Dec)</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Sheet4!$A$157</c:f>
              <c:strCache>
                <c:ptCount val="1"/>
                <c:pt idx="0">
                  <c:v>Actuals (Upto Dec)</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Sheet4!$B$157:$G$157</c15:sqref>
                  </c15:fullRef>
                </c:ext>
              </c:extLst>
              <c:f>Sheet4!$C$157:$G$157</c:f>
              <c:numCache>
                <c:formatCode>General</c:formatCode>
                <c:ptCount val="5"/>
                <c:pt idx="0">
                  <c:v>146150</c:v>
                </c:pt>
                <c:pt idx="1">
                  <c:v>168439</c:v>
                </c:pt>
                <c:pt idx="2">
                  <c:v>191905</c:v>
                </c:pt>
                <c:pt idx="3">
                  <c:v>215263</c:v>
                </c:pt>
                <c:pt idx="4">
                  <c:v>226030</c:v>
                </c:pt>
              </c:numCache>
            </c:numRef>
          </c:val>
          <c:extLst>
            <c:ext xmlns:c16="http://schemas.microsoft.com/office/drawing/2014/chart" uri="{C3380CC4-5D6E-409C-BE32-E72D297353CC}">
              <c16:uniqueId val="{00000000-110E-4B1F-A6AF-27508EC90BFA}"/>
            </c:ext>
          </c:extLst>
        </c:ser>
        <c:ser>
          <c:idx val="1"/>
          <c:order val="1"/>
          <c:tx>
            <c:strRef>
              <c:f>Sheet4!$A$158</c:f>
              <c:strCache>
                <c:ptCount val="1"/>
                <c:pt idx="0">
                  <c:v>BE</c:v>
                </c:pt>
              </c:strCache>
            </c:strRef>
          </c:tx>
          <c:spPr>
            <a:noFill/>
            <a:ln>
              <a:solidFill>
                <a:schemeClr val="tx1"/>
              </a:solidFill>
              <a:prstDash val="dash"/>
            </a:ln>
            <a:effectLst/>
          </c:spPr>
          <c:invertIfNegative val="0"/>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Sheet4!$B$158:$G$158</c15:sqref>
                  </c15:fullRef>
                </c:ext>
              </c:extLst>
              <c:f>Sheet4!$C$158:$G$158</c:f>
              <c:numCache>
                <c:formatCode>General</c:formatCode>
                <c:ptCount val="5"/>
                <c:pt idx="0">
                  <c:v>190328</c:v>
                </c:pt>
                <c:pt idx="1">
                  <c:v>207132</c:v>
                </c:pt>
                <c:pt idx="2">
                  <c:v>234359</c:v>
                </c:pt>
                <c:pt idx="3">
                  <c:v>243296</c:v>
                </c:pt>
                <c:pt idx="4">
                  <c:v>276618</c:v>
                </c:pt>
              </c:numCache>
            </c:numRef>
          </c:val>
          <c:extLst>
            <c:ext xmlns:c16="http://schemas.microsoft.com/office/drawing/2014/chart" uri="{C3380CC4-5D6E-409C-BE32-E72D297353CC}">
              <c16:uniqueId val="{00000001-110E-4B1F-A6AF-27508EC90BFA}"/>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Sheet4!$A$160</c:f>
          <c:strCache>
            <c:ptCount val="1"/>
            <c:pt idx="0">
              <c:v>Actuals (Upto Dec)</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Sheet4!$A$160</c:f>
              <c:strCache>
                <c:ptCount val="1"/>
                <c:pt idx="0">
                  <c:v>Actuals (Upto Dec)</c:v>
                </c:pt>
              </c:strCache>
            </c:strRef>
          </c:tx>
          <c:spPr>
            <a:solidFill>
              <a:schemeClr val="accent5"/>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Sheet4!$B$160:$G$160</c15:sqref>
                  </c15:fullRef>
                </c:ext>
              </c:extLst>
              <c:f>Sheet4!$C$160:$G$160</c:f>
              <c:numCache>
                <c:formatCode>General</c:formatCode>
                <c:ptCount val="5"/>
                <c:pt idx="0">
                  <c:v>271374</c:v>
                </c:pt>
                <c:pt idx="1">
                  <c:v>350524</c:v>
                </c:pt>
                <c:pt idx="2">
                  <c:v>276804</c:v>
                </c:pt>
                <c:pt idx="3">
                  <c:v>306994</c:v>
                </c:pt>
                <c:pt idx="4">
                  <c:v>317490</c:v>
                </c:pt>
              </c:numCache>
            </c:numRef>
          </c:val>
          <c:extLst>
            <c:ext xmlns:c16="http://schemas.microsoft.com/office/drawing/2014/chart" uri="{C3380CC4-5D6E-409C-BE32-E72D297353CC}">
              <c16:uniqueId val="{00000000-15D5-4445-A1CB-6A179B4D328E}"/>
            </c:ext>
          </c:extLst>
        </c:ser>
        <c:ser>
          <c:idx val="1"/>
          <c:order val="1"/>
          <c:tx>
            <c:strRef>
              <c:f>Sheet4!$A$161</c:f>
              <c:strCache>
                <c:ptCount val="1"/>
                <c:pt idx="0">
                  <c:v>BE</c:v>
                </c:pt>
              </c:strCache>
            </c:strRef>
          </c:tx>
          <c:spPr>
            <a:noFill/>
            <a:ln>
              <a:solidFill>
                <a:schemeClr val="tx1"/>
              </a:solidFill>
              <a:prstDash val="dash"/>
            </a:ln>
            <a:effectLst/>
          </c:spPr>
          <c:invertIfNegative val="0"/>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Sheet4!$B$161:$G$161</c15:sqref>
                  </c15:fullRef>
                </c:ext>
              </c:extLst>
              <c:f>Sheet4!$C$161:$G$161</c:f>
              <c:numCache>
                <c:formatCode>General</c:formatCode>
                <c:ptCount val="5"/>
                <c:pt idx="0">
                  <c:v>336439</c:v>
                </c:pt>
                <c:pt idx="1">
                  <c:v>317866</c:v>
                </c:pt>
                <c:pt idx="2">
                  <c:v>374707</c:v>
                </c:pt>
                <c:pt idx="3">
                  <c:v>381175</c:v>
                </c:pt>
                <c:pt idx="4">
                  <c:v>383407</c:v>
                </c:pt>
              </c:numCache>
            </c:numRef>
          </c:val>
          <c:extLst>
            <c:ext xmlns:c16="http://schemas.microsoft.com/office/drawing/2014/chart" uri="{C3380CC4-5D6E-409C-BE32-E72D297353CC}">
              <c16:uniqueId val="{00000001-15D5-4445-A1CB-6A179B4D328E}"/>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Sheet4!$A$173</c:f>
              <c:strCache>
                <c:ptCount val="1"/>
                <c:pt idx="0">
                  <c:v>Fiscal Deficit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Sheet4!$B$172:$G$172</c:f>
              <c:strCache>
                <c:ptCount val="6"/>
                <c:pt idx="0">
                  <c:v>2020-21</c:v>
                </c:pt>
                <c:pt idx="1">
                  <c:v>2021-22</c:v>
                </c:pt>
                <c:pt idx="2">
                  <c:v>2022-23</c:v>
                </c:pt>
                <c:pt idx="3">
                  <c:v>2023-24</c:v>
                </c:pt>
                <c:pt idx="4">
                  <c:v>2024-25</c:v>
                </c:pt>
                <c:pt idx="5">
                  <c:v>2025-26</c:v>
                </c:pt>
              </c:strCache>
            </c:strRef>
          </c:cat>
          <c:val>
            <c:numRef>
              <c:f>Sheet4!$B$173:$G$173</c:f>
              <c:numCache>
                <c:formatCode>0.0%</c:formatCode>
                <c:ptCount val="6"/>
                <c:pt idx="0">
                  <c:v>5.8349118489202427E-2</c:v>
                </c:pt>
                <c:pt idx="1">
                  <c:v>3.218007204946613E-2</c:v>
                </c:pt>
                <c:pt idx="2">
                  <c:v>3.684560457677255E-2</c:v>
                </c:pt>
                <c:pt idx="3">
                  <c:v>3.3257349495442241E-2</c:v>
                </c:pt>
                <c:pt idx="4">
                  <c:v>2.7642584729200868E-2</c:v>
                </c:pt>
                <c:pt idx="5">
                  <c:v>2.3963844203344326E-2</c:v>
                </c:pt>
              </c:numCache>
            </c:numRef>
          </c:val>
          <c:smooth val="0"/>
          <c:extLst>
            <c:ext xmlns:c16="http://schemas.microsoft.com/office/drawing/2014/chart" uri="{C3380CC4-5D6E-409C-BE32-E72D297353CC}">
              <c16:uniqueId val="{00000000-E1B1-4E39-85B8-8C1F5DAC15E9}"/>
            </c:ext>
          </c:extLst>
        </c:ser>
        <c:ser>
          <c:idx val="1"/>
          <c:order val="1"/>
          <c:tx>
            <c:strRef>
              <c:f>Sheet4!$A$174</c:f>
              <c:strCache>
                <c:ptCount val="1"/>
                <c:pt idx="0">
                  <c:v>Revenue Deficit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Sheet4!$B$172:$G$172</c:f>
              <c:strCache>
                <c:ptCount val="6"/>
                <c:pt idx="0">
                  <c:v>2020-21</c:v>
                </c:pt>
                <c:pt idx="1">
                  <c:v>2021-22</c:v>
                </c:pt>
                <c:pt idx="2">
                  <c:v>2022-23</c:v>
                </c:pt>
                <c:pt idx="3">
                  <c:v>2023-24</c:v>
                </c:pt>
                <c:pt idx="4">
                  <c:v>2024-25</c:v>
                </c:pt>
                <c:pt idx="5">
                  <c:v>2025-26</c:v>
                </c:pt>
              </c:strCache>
            </c:strRef>
          </c:cat>
          <c:val>
            <c:numRef>
              <c:f>Sheet4!$B$174:$G$174</c:f>
              <c:numCache>
                <c:formatCode>0.0%</c:formatCode>
                <c:ptCount val="6"/>
                <c:pt idx="0">
                  <c:v>4.445395045939135E-2</c:v>
                </c:pt>
                <c:pt idx="1">
                  <c:v>1.6789604650919367E-2</c:v>
                </c:pt>
                <c:pt idx="2">
                  <c:v>2.0710401910288542E-2</c:v>
                </c:pt>
                <c:pt idx="3">
                  <c:v>1.1453880489646637E-2</c:v>
                </c:pt>
                <c:pt idx="4">
                  <c:v>7.7430106829397298E-3</c:v>
                </c:pt>
                <c:pt idx="5">
                  <c:v>3.19074771084838E-3</c:v>
                </c:pt>
              </c:numCache>
            </c:numRef>
          </c:val>
          <c:smooth val="0"/>
          <c:extLst>
            <c:ext xmlns:c16="http://schemas.microsoft.com/office/drawing/2014/chart" uri="{C3380CC4-5D6E-409C-BE32-E72D297353CC}">
              <c16:uniqueId val="{00000001-E1B1-4E39-85B8-8C1F5DAC15E9}"/>
            </c:ext>
          </c:extLst>
        </c:ser>
        <c:ser>
          <c:idx val="2"/>
          <c:order val="2"/>
          <c:tx>
            <c:strRef>
              <c:f>Sheet4!$A$175</c:f>
              <c:strCache>
                <c:ptCount val="1"/>
                <c:pt idx="0">
                  <c:v>Primary Deficit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Sheet4!$B$172:$G$172</c:f>
              <c:strCache>
                <c:ptCount val="6"/>
                <c:pt idx="0">
                  <c:v>2020-21</c:v>
                </c:pt>
                <c:pt idx="1">
                  <c:v>2021-22</c:v>
                </c:pt>
                <c:pt idx="2">
                  <c:v>2022-23</c:v>
                </c:pt>
                <c:pt idx="3">
                  <c:v>2023-24</c:v>
                </c:pt>
                <c:pt idx="4">
                  <c:v>2024-25</c:v>
                </c:pt>
                <c:pt idx="5">
                  <c:v>2025-26</c:v>
                </c:pt>
              </c:strCache>
            </c:strRef>
          </c:cat>
          <c:val>
            <c:numRef>
              <c:f>Sheet4!$B$175:$G$175</c:f>
              <c:numCache>
                <c:formatCode>0.0%</c:formatCode>
                <c:ptCount val="6"/>
                <c:pt idx="0">
                  <c:v>3.4567073716174235E-2</c:v>
                </c:pt>
                <c:pt idx="1">
                  <c:v>8.2001410409681171E-3</c:v>
                </c:pt>
                <c:pt idx="2">
                  <c:v>1.158171057237635E-2</c:v>
                </c:pt>
                <c:pt idx="3">
                  <c:v>7.9250284071796986E-3</c:v>
                </c:pt>
                <c:pt idx="4">
                  <c:v>3.1987279600957357E-3</c:v>
                </c:pt>
                <c:pt idx="5">
                  <c:v>-1.546093303876257E-3</c:v>
                </c:pt>
              </c:numCache>
            </c:numRef>
          </c:val>
          <c:smooth val="0"/>
          <c:extLst>
            <c:ext xmlns:c16="http://schemas.microsoft.com/office/drawing/2014/chart" uri="{C3380CC4-5D6E-409C-BE32-E72D297353CC}">
              <c16:uniqueId val="{00000002-E1B1-4E39-85B8-8C1F5DAC15E9}"/>
            </c:ext>
          </c:extLst>
        </c:ser>
        <c:dLbls>
          <c:showLegendKey val="0"/>
          <c:showVal val="0"/>
          <c:showCatName val="0"/>
          <c:showSerName val="0"/>
          <c:showPercent val="0"/>
          <c:showBubbleSize val="0"/>
        </c:dLbls>
        <c:marker val="1"/>
        <c:smooth val="0"/>
        <c:axId val="684162528"/>
        <c:axId val="684162200"/>
      </c:lineChart>
      <c:catAx>
        <c:axId val="68416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162200"/>
        <c:crosses val="autoZero"/>
        <c:auto val="1"/>
        <c:lblAlgn val="ctr"/>
        <c:lblOffset val="100"/>
        <c:noMultiLvlLbl val="0"/>
      </c:catAx>
      <c:valAx>
        <c:axId val="684162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162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Sheet4!$A$163</c:f>
          <c:strCache>
            <c:ptCount val="1"/>
            <c:pt idx="0">
              <c:v>Actuals (Upto Dec)</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Sheet4!$A$163</c:f>
              <c:strCache>
                <c:ptCount val="1"/>
                <c:pt idx="0">
                  <c:v>Actuals (Upto Dec)</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Sheet4!$B$163:$G$163</c15:sqref>
                  </c15:fullRef>
                </c:ext>
              </c:extLst>
              <c:f>Sheet4!$C$163:$G$163</c:f>
              <c:numCache>
                <c:formatCode>General</c:formatCode>
                <c:ptCount val="5"/>
                <c:pt idx="0">
                  <c:v>759366</c:v>
                </c:pt>
                <c:pt idx="1">
                  <c:v>992976</c:v>
                </c:pt>
                <c:pt idx="2">
                  <c:v>982278</c:v>
                </c:pt>
                <c:pt idx="3">
                  <c:v>914089</c:v>
                </c:pt>
                <c:pt idx="4">
                  <c:v>855842</c:v>
                </c:pt>
              </c:numCache>
            </c:numRef>
          </c:val>
          <c:extLst>
            <c:ext xmlns:c16="http://schemas.microsoft.com/office/drawing/2014/chart" uri="{C3380CC4-5D6E-409C-BE32-E72D297353CC}">
              <c16:uniqueId val="{00000000-0CF6-4857-BC7E-BDD3CB7A2A31}"/>
            </c:ext>
          </c:extLst>
        </c:ser>
        <c:ser>
          <c:idx val="1"/>
          <c:order val="1"/>
          <c:tx>
            <c:strRef>
              <c:f>Sheet4!$A$164</c:f>
              <c:strCache>
                <c:ptCount val="1"/>
                <c:pt idx="0">
                  <c:v>BE</c:v>
                </c:pt>
              </c:strCache>
            </c:strRef>
          </c:tx>
          <c:spPr>
            <a:noFill/>
            <a:ln>
              <a:solidFill>
                <a:schemeClr val="tx1"/>
              </a:solidFill>
              <a:prstDash val="dash"/>
            </a:ln>
            <a:effectLst/>
          </c:spPr>
          <c:invertIfNegative val="0"/>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Sheet4!$B$164:$G$164</c15:sqref>
                  </c15:fullRef>
                </c:ext>
              </c:extLst>
              <c:f>Sheet4!$C$164:$G$164</c:f>
              <c:numCache>
                <c:formatCode>General</c:formatCode>
                <c:ptCount val="5"/>
                <c:pt idx="0">
                  <c:v>1506812</c:v>
                </c:pt>
                <c:pt idx="1">
                  <c:v>1661196</c:v>
                </c:pt>
                <c:pt idx="2">
                  <c:v>1786816</c:v>
                </c:pt>
                <c:pt idx="3">
                  <c:v>1613312</c:v>
                </c:pt>
                <c:pt idx="4">
                  <c:v>1568936</c:v>
                </c:pt>
              </c:numCache>
            </c:numRef>
          </c:val>
          <c:extLst>
            <c:ext xmlns:c16="http://schemas.microsoft.com/office/drawing/2014/chart" uri="{C3380CC4-5D6E-409C-BE32-E72D297353CC}">
              <c16:uniqueId val="{00000001-0CF6-4857-BC7E-BDD3CB7A2A31}"/>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Sheet4!$A$166</c:f>
          <c:strCache>
            <c:ptCount val="1"/>
            <c:pt idx="0">
              <c:v>Actuals (Upto Dec)</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Sheet4!$A$166</c:f>
              <c:strCache>
                <c:ptCount val="1"/>
                <c:pt idx="0">
                  <c:v>Actuals (Upto Dec)</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Sheet4!$B$166:$G$166</c15:sqref>
                  </c15:fullRef>
                </c:ext>
              </c:extLst>
              <c:f>Sheet4!$C$166:$G$166</c:f>
              <c:numCache>
                <c:formatCode>General</c:formatCode>
                <c:ptCount val="5"/>
                <c:pt idx="0">
                  <c:v>396191</c:v>
                </c:pt>
                <c:pt idx="1">
                  <c:v>558138</c:v>
                </c:pt>
                <c:pt idx="2">
                  <c:v>338298</c:v>
                </c:pt>
                <c:pt idx="3">
                  <c:v>256047</c:v>
                </c:pt>
                <c:pt idx="4">
                  <c:v>113954</c:v>
                </c:pt>
              </c:numCache>
            </c:numRef>
          </c:val>
          <c:extLst>
            <c:ext xmlns:c16="http://schemas.microsoft.com/office/drawing/2014/chart" uri="{C3380CC4-5D6E-409C-BE32-E72D297353CC}">
              <c16:uniqueId val="{00000000-5EA8-46F3-AB26-8B7ED2D625A9}"/>
            </c:ext>
          </c:extLst>
        </c:ser>
        <c:ser>
          <c:idx val="1"/>
          <c:order val="1"/>
          <c:tx>
            <c:strRef>
              <c:f>Sheet4!$A$167</c:f>
              <c:strCache>
                <c:ptCount val="1"/>
                <c:pt idx="0">
                  <c:v>BE</c:v>
                </c:pt>
              </c:strCache>
            </c:strRef>
          </c:tx>
          <c:spPr>
            <a:noFill/>
            <a:ln>
              <a:solidFill>
                <a:schemeClr val="tx1"/>
              </a:solidFill>
              <a:prstDash val="dash"/>
            </a:ln>
            <a:effectLst/>
          </c:spPr>
          <c:invertIfNegative val="0"/>
          <c:cat>
            <c:strRef>
              <c:extLst>
                <c:ext xmlns:c15="http://schemas.microsoft.com/office/drawing/2012/chart" uri="{02D57815-91ED-43cb-92C2-25804820EDAC}">
                  <c15:fullRef>
                    <c15:sqref>Sheet4!$B$147:$G$147</c15:sqref>
                  </c15:fullRef>
                </c:ext>
              </c:extLst>
              <c:f>Sheet4!$C$147:$G$147</c:f>
              <c:strCache>
                <c:ptCount val="5"/>
                <c:pt idx="0">
                  <c:v>2021-22</c:v>
                </c:pt>
                <c:pt idx="1">
                  <c:v>2022-23</c:v>
                </c:pt>
                <c:pt idx="2">
                  <c:v>2023-24</c:v>
                </c:pt>
                <c:pt idx="3">
                  <c:v>2024-25</c:v>
                </c:pt>
                <c:pt idx="4">
                  <c:v>2025-26</c:v>
                </c:pt>
              </c:strCache>
            </c:strRef>
          </c:cat>
          <c:val>
            <c:numRef>
              <c:extLst>
                <c:ext xmlns:c15="http://schemas.microsoft.com/office/drawing/2012/chart" uri="{02D57815-91ED-43cb-92C2-25804820EDAC}">
                  <c15:fullRef>
                    <c15:sqref>Sheet4!$B$167:$G$167</c15:sqref>
                  </c15:fullRef>
                </c:ext>
              </c:extLst>
              <c:f>Sheet4!$C$167:$G$167</c:f>
              <c:numCache>
                <c:formatCode>General</c:formatCode>
                <c:ptCount val="5"/>
                <c:pt idx="0">
                  <c:v>1140704</c:v>
                </c:pt>
                <c:pt idx="1">
                  <c:v>990835</c:v>
                </c:pt>
                <c:pt idx="2">
                  <c:v>870443</c:v>
                </c:pt>
                <c:pt idx="3">
                  <c:v>580201</c:v>
                </c:pt>
                <c:pt idx="4">
                  <c:v>523846</c:v>
                </c:pt>
              </c:numCache>
            </c:numRef>
          </c:val>
          <c:extLst>
            <c:ext xmlns:c16="http://schemas.microsoft.com/office/drawing/2014/chart" uri="{C3380CC4-5D6E-409C-BE32-E72D297353CC}">
              <c16:uniqueId val="{00000001-5EA8-46F3-AB26-8B7ED2D625A9}"/>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Sheet4!$A$169</c:f>
          <c:strCache>
            <c:ptCount val="1"/>
            <c:pt idx="0">
              <c:v>Actuals (Upto Dec)</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Sheet4!$A$169</c:f>
              <c:strCache>
                <c:ptCount val="1"/>
                <c:pt idx="0">
                  <c:v>Actuals (Upto Dec)</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Sheet4!$C$147:$G$147</c:f>
              <c:strCache>
                <c:ptCount val="5"/>
                <c:pt idx="0">
                  <c:v>2021-22</c:v>
                </c:pt>
                <c:pt idx="1">
                  <c:v>2022-23</c:v>
                </c:pt>
                <c:pt idx="2">
                  <c:v>2023-24</c:v>
                </c:pt>
                <c:pt idx="3">
                  <c:v>2024-25</c:v>
                </c:pt>
                <c:pt idx="4">
                  <c:v>2025-26</c:v>
                </c:pt>
              </c:strCache>
            </c:strRef>
          </c:cat>
          <c:val>
            <c:numRef>
              <c:f>Sheet4!$C$169:$G$169</c:f>
              <c:numCache>
                <c:formatCode>General</c:formatCode>
                <c:ptCount val="5"/>
                <c:pt idx="0">
                  <c:v>193502</c:v>
                </c:pt>
                <c:pt idx="1">
                  <c:v>312123</c:v>
                </c:pt>
                <c:pt idx="2">
                  <c:v>234071</c:v>
                </c:pt>
                <c:pt idx="3">
                  <c:v>105776</c:v>
                </c:pt>
                <c:pt idx="4">
                  <c:v>-55217</c:v>
                </c:pt>
              </c:numCache>
            </c:numRef>
          </c:val>
          <c:extLst>
            <c:ext xmlns:c16="http://schemas.microsoft.com/office/drawing/2014/chart" uri="{C3380CC4-5D6E-409C-BE32-E72D297353CC}">
              <c16:uniqueId val="{00000000-B62F-4D7C-AFAD-BC3552B10FD6}"/>
            </c:ext>
          </c:extLst>
        </c:ser>
        <c:ser>
          <c:idx val="1"/>
          <c:order val="1"/>
          <c:tx>
            <c:strRef>
              <c:f>Sheet4!$A$170</c:f>
              <c:strCache>
                <c:ptCount val="1"/>
                <c:pt idx="0">
                  <c:v>BE</c:v>
                </c:pt>
              </c:strCache>
            </c:strRef>
          </c:tx>
          <c:spPr>
            <a:noFill/>
            <a:ln>
              <a:solidFill>
                <a:schemeClr val="tx1"/>
              </a:solidFill>
              <a:prstDash val="dash"/>
            </a:ln>
            <a:effectLst/>
          </c:spPr>
          <c:invertIfNegative val="0"/>
          <c:cat>
            <c:strRef>
              <c:f>Sheet4!$C$147:$G$147</c:f>
              <c:strCache>
                <c:ptCount val="5"/>
                <c:pt idx="0">
                  <c:v>2021-22</c:v>
                </c:pt>
                <c:pt idx="1">
                  <c:v>2022-23</c:v>
                </c:pt>
                <c:pt idx="2">
                  <c:v>2023-24</c:v>
                </c:pt>
                <c:pt idx="3">
                  <c:v>2024-25</c:v>
                </c:pt>
                <c:pt idx="4">
                  <c:v>2025-26</c:v>
                </c:pt>
              </c:strCache>
            </c:strRef>
          </c:cat>
          <c:val>
            <c:numRef>
              <c:f>Sheet4!$C$170:$G$170</c:f>
              <c:numCache>
                <c:formatCode>General</c:formatCode>
                <c:ptCount val="5"/>
                <c:pt idx="0">
                  <c:v>697111</c:v>
                </c:pt>
                <c:pt idx="1">
                  <c:v>720545</c:v>
                </c:pt>
                <c:pt idx="2">
                  <c:v>706845</c:v>
                </c:pt>
                <c:pt idx="3">
                  <c:v>450372</c:v>
                </c:pt>
                <c:pt idx="4">
                  <c:v>292598</c:v>
                </c:pt>
              </c:numCache>
            </c:numRef>
          </c:val>
          <c:extLst>
            <c:ext xmlns:c16="http://schemas.microsoft.com/office/drawing/2014/chart" uri="{C3380CC4-5D6E-409C-BE32-E72D297353CC}">
              <c16:uniqueId val="{00000001-B62F-4D7C-AFAD-BC3552B10FD6}"/>
            </c:ext>
          </c:extLst>
        </c:ser>
        <c:dLbls>
          <c:showLegendKey val="0"/>
          <c:showVal val="0"/>
          <c:showCatName val="0"/>
          <c:showSerName val="0"/>
          <c:showPercent val="0"/>
          <c:showBubbleSize val="0"/>
        </c:dLbls>
        <c:gapWidth val="100"/>
        <c:overlap val="100"/>
        <c:axId val="317202032"/>
        <c:axId val="317206624"/>
      </c:barChart>
      <c:catAx>
        <c:axId val="3172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6624"/>
        <c:crosses val="autoZero"/>
        <c:auto val="1"/>
        <c:lblAlgn val="ctr"/>
        <c:lblOffset val="100"/>
        <c:noMultiLvlLbl val="0"/>
      </c:catAx>
      <c:valAx>
        <c:axId val="3172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2032"/>
        <c:crosses val="autoZero"/>
        <c:crossBetween val="between"/>
      </c:valAx>
    </c:plotArea>
    <c:legend>
      <c:legendPos val="b"/>
      <c:legendEntry>
        <c:idx val="0"/>
        <c:delete val="1"/>
      </c:legendEntry>
      <c:legendEntry>
        <c:idx val="1"/>
        <c:delete val="1"/>
      </c:legendEntry>
      <c:layout>
        <c:manualLayout>
          <c:xMode val="edge"/>
          <c:yMode val="edge"/>
          <c:x val="9.1379387945464949E-2"/>
          <c:y val="0.89346889942979413"/>
          <c:w val="0.83435491552036822"/>
          <c:h val="8.218135384591786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Sheet5!$AH$22</c:f>
              <c:strCache>
                <c:ptCount val="1"/>
                <c:pt idx="0">
                  <c:v>2025-26</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Sheet5!$AG$23:$AG$34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Sheet5!$AH$23:$AH$34</c:f>
              <c:numCache>
                <c:formatCode>General</c:formatCode>
                <c:ptCount val="12"/>
                <c:pt idx="0">
                  <c:v>279288</c:v>
                </c:pt>
                <c:pt idx="1">
                  <c:v>732963</c:v>
                </c:pt>
                <c:pt idx="2">
                  <c:v>941395</c:v>
                </c:pt>
                <c:pt idx="3">
                  <c:v>1095209</c:v>
                </c:pt>
                <c:pt idx="4">
                  <c:v>1282709</c:v>
                </c:pt>
                <c:pt idx="5">
                  <c:v>1730216</c:v>
                </c:pt>
                <c:pt idx="6">
                  <c:v>1800475</c:v>
                </c:pt>
                <c:pt idx="7">
                  <c:v>1949239</c:v>
                </c:pt>
                <c:pt idx="8">
                  <c:v>2525156</c:v>
                </c:pt>
                <c:pt idx="9">
                  <c:v>#N/A</c:v>
                </c:pt>
                <c:pt idx="10">
                  <c:v>#N/A</c:v>
                </c:pt>
                <c:pt idx="11">
                  <c:v>#N/A</c:v>
                </c:pt>
              </c:numCache>
            </c:numRef>
          </c:val>
          <c:smooth val="0"/>
          <c:extLst>
            <c:ext xmlns:c16="http://schemas.microsoft.com/office/drawing/2014/chart" uri="{C3380CC4-5D6E-409C-BE32-E72D297353CC}">
              <c16:uniqueId val="{00000000-7B36-4DAC-AF32-471D0123B10F}"/>
            </c:ext>
          </c:extLst>
        </c:ser>
        <c:ser>
          <c:idx val="1"/>
          <c:order val="1"/>
          <c:tx>
            <c:strRef>
              <c:f>Sheet5!$AI$22</c:f>
              <c:strCache>
                <c:ptCount val="1"/>
                <c:pt idx="0">
                  <c:v>2024-25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Sheet5!$AG$23:$AG$34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Sheet5!$AI$23:$AI$34</c:f>
              <c:numCache>
                <c:formatCode>General</c:formatCode>
                <c:ptCount val="12"/>
                <c:pt idx="0">
                  <c:v>213334</c:v>
                </c:pt>
                <c:pt idx="1">
                  <c:v>572845</c:v>
                </c:pt>
                <c:pt idx="2">
                  <c:v>834197</c:v>
                </c:pt>
                <c:pt idx="3">
                  <c:v>1023406</c:v>
                </c:pt>
                <c:pt idx="4">
                  <c:v>1217178</c:v>
                </c:pt>
                <c:pt idx="5">
                  <c:v>1636974</c:v>
                </c:pt>
                <c:pt idx="6">
                  <c:v>1723074</c:v>
                </c:pt>
                <c:pt idx="7">
                  <c:v>1894408</c:v>
                </c:pt>
                <c:pt idx="8">
                  <c:v>2318005</c:v>
                </c:pt>
                <c:pt idx="9">
                  <c:v>2400412</c:v>
                </c:pt>
                <c:pt idx="10">
                  <c:v>2546317</c:v>
                </c:pt>
                <c:pt idx="11">
                  <c:v>3078247</c:v>
                </c:pt>
              </c:numCache>
            </c:numRef>
          </c:val>
          <c:smooth val="0"/>
          <c:extLst>
            <c:ext xmlns:c16="http://schemas.microsoft.com/office/drawing/2014/chart" uri="{C3380CC4-5D6E-409C-BE32-E72D297353CC}">
              <c16:uniqueId val="{00000001-7B36-4DAC-AF32-471D0123B10F}"/>
            </c:ext>
          </c:extLst>
        </c:ser>
        <c:dLbls>
          <c:showLegendKey val="0"/>
          <c:showVal val="0"/>
          <c:showCatName val="0"/>
          <c:showSerName val="0"/>
          <c:showPercent val="0"/>
          <c:showBubbleSize val="0"/>
        </c:dLbls>
        <c:marker val="1"/>
        <c:smooth val="0"/>
        <c:axId val="167484032"/>
        <c:axId val="167633664"/>
      </c:lineChart>
      <c:catAx>
        <c:axId val="16748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33664"/>
        <c:crosses val="autoZero"/>
        <c:auto val="1"/>
        <c:lblAlgn val="ctr"/>
        <c:lblOffset val="100"/>
        <c:noMultiLvlLbl val="0"/>
      </c:catAx>
      <c:valAx>
        <c:axId val="16763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8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366" l="0.70000000000000062" r="0.70000000000000062" t="0.75000000000000366"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Sheet1!$E$4</c:f>
              <c:strCache>
                <c:ptCount val="1"/>
                <c:pt idx="0">
                  <c:v>Dec-25</c:v>
                </c:pt>
              </c:strCache>
            </c:strRef>
          </c:tx>
          <c:spPr>
            <a:solidFill>
              <a:schemeClr val="accent2"/>
            </a:solidFill>
            <a:ln>
              <a:noFill/>
            </a:ln>
            <a:effectLst/>
          </c:spPr>
          <c:invertIfNegative val="0"/>
          <c:cat>
            <c:strRef>
              <c:f>Sheet1!$C$5:$C$14</c:f>
              <c:strCache>
                <c:ptCount val="10"/>
                <c:pt idx="0">
                  <c:v>Corp. Tax</c:v>
                </c:pt>
                <c:pt idx="1">
                  <c:v>Income Tax</c:v>
                </c:pt>
                <c:pt idx="2">
                  <c:v>Sec. Tr. Tax</c:v>
                </c:pt>
                <c:pt idx="3">
                  <c:v>CGST</c:v>
                </c:pt>
                <c:pt idx="4">
                  <c:v>IGST</c:v>
                </c:pt>
                <c:pt idx="5">
                  <c:v>UTGST</c:v>
                </c:pt>
                <c:pt idx="6">
                  <c:v>Comp. Cess</c:v>
                </c:pt>
                <c:pt idx="7">
                  <c:v>Customs</c:v>
                </c:pt>
                <c:pt idx="8">
                  <c:v>Union Excise</c:v>
                </c:pt>
                <c:pt idx="9">
                  <c:v>Service Tax</c:v>
                </c:pt>
              </c:strCache>
            </c:strRef>
          </c:cat>
          <c:val>
            <c:numRef>
              <c:f>Sheet1!$E$5:$E$14</c:f>
              <c:numCache>
                <c:formatCode>General</c:formatCode>
                <c:ptCount val="10"/>
                <c:pt idx="0">
                  <c:v>832766</c:v>
                </c:pt>
                <c:pt idx="1">
                  <c:v>872696</c:v>
                </c:pt>
                <c:pt idx="2">
                  <c:v>40220</c:v>
                </c:pt>
                <c:pt idx="3">
                  <c:v>710615</c:v>
                </c:pt>
                <c:pt idx="4">
                  <c:v>15641</c:v>
                </c:pt>
                <c:pt idx="5">
                  <c:v>4698</c:v>
                </c:pt>
                <c:pt idx="6">
                  <c:v>89777</c:v>
                </c:pt>
                <c:pt idx="7">
                  <c:v>195719</c:v>
                </c:pt>
                <c:pt idx="8">
                  <c:v>219410</c:v>
                </c:pt>
                <c:pt idx="9">
                  <c:v>-1186</c:v>
                </c:pt>
              </c:numCache>
            </c:numRef>
          </c:val>
          <c:extLst>
            <c:ext xmlns:c16="http://schemas.microsoft.com/office/drawing/2014/chart" uri="{C3380CC4-5D6E-409C-BE32-E72D297353CC}">
              <c16:uniqueId val="{00000001-BECE-4F89-B381-8D867BBF2EDD}"/>
            </c:ext>
          </c:extLst>
        </c:ser>
        <c:ser>
          <c:idx val="3"/>
          <c:order val="3"/>
          <c:tx>
            <c:strRef>
              <c:f>Sheet1!$G$4</c:f>
              <c:strCache>
                <c:ptCount val="1"/>
                <c:pt idx="0">
                  <c:v>Dec-24</c:v>
                </c:pt>
              </c:strCache>
            </c:strRef>
          </c:tx>
          <c:spPr>
            <a:solidFill>
              <a:schemeClr val="accent4"/>
            </a:solidFill>
            <a:ln>
              <a:noFill/>
            </a:ln>
            <a:effectLst/>
          </c:spPr>
          <c:invertIfNegative val="0"/>
          <c:cat>
            <c:strRef>
              <c:f>Sheet1!$C$5:$C$14</c:f>
              <c:strCache>
                <c:ptCount val="10"/>
                <c:pt idx="0">
                  <c:v>Corp. Tax</c:v>
                </c:pt>
                <c:pt idx="1">
                  <c:v>Income Tax</c:v>
                </c:pt>
                <c:pt idx="2">
                  <c:v>Sec. Tr. Tax</c:v>
                </c:pt>
                <c:pt idx="3">
                  <c:v>CGST</c:v>
                </c:pt>
                <c:pt idx="4">
                  <c:v>IGST</c:v>
                </c:pt>
                <c:pt idx="5">
                  <c:v>UTGST</c:v>
                </c:pt>
                <c:pt idx="6">
                  <c:v>Comp. Cess</c:v>
                </c:pt>
                <c:pt idx="7">
                  <c:v>Customs</c:v>
                </c:pt>
                <c:pt idx="8">
                  <c:v>Union Excise</c:v>
                </c:pt>
                <c:pt idx="9">
                  <c:v>Service Tax</c:v>
                </c:pt>
              </c:strCache>
            </c:strRef>
          </c:cat>
          <c:val>
            <c:numRef>
              <c:f>Sheet1!$G$5:$G$14</c:f>
              <c:numCache>
                <c:formatCode>General</c:formatCode>
                <c:ptCount val="10"/>
                <c:pt idx="0">
                  <c:v>740926</c:v>
                </c:pt>
                <c:pt idx="1">
                  <c:v>837817</c:v>
                </c:pt>
                <c:pt idx="2">
                  <c:v>40136</c:v>
                </c:pt>
                <c:pt idx="3">
                  <c:v>673256</c:v>
                </c:pt>
                <c:pt idx="4">
                  <c:v>-31590</c:v>
                </c:pt>
                <c:pt idx="5">
                  <c:v>2696</c:v>
                </c:pt>
                <c:pt idx="6">
                  <c:v>111556</c:v>
                </c:pt>
                <c:pt idx="7">
                  <c:v>170175</c:v>
                </c:pt>
                <c:pt idx="8">
                  <c:v>199630</c:v>
                </c:pt>
                <c:pt idx="9">
                  <c:v>36</c:v>
                </c:pt>
              </c:numCache>
            </c:numRef>
          </c:val>
          <c:extLst>
            <c:ext xmlns:c16="http://schemas.microsoft.com/office/drawing/2014/chart" uri="{C3380CC4-5D6E-409C-BE32-E72D297353CC}">
              <c16:uniqueId val="{00000003-BECE-4F89-B381-8D867BBF2EDD}"/>
            </c:ext>
          </c:extLst>
        </c:ser>
        <c:dLbls>
          <c:showLegendKey val="0"/>
          <c:showVal val="0"/>
          <c:showCatName val="0"/>
          <c:showSerName val="0"/>
          <c:showPercent val="0"/>
          <c:showBubbleSize val="0"/>
        </c:dLbls>
        <c:gapWidth val="219"/>
        <c:overlap val="-27"/>
        <c:axId val="168059264"/>
        <c:axId val="168060800"/>
      </c:barChart>
      <c:barChart>
        <c:barDir val="col"/>
        <c:grouping val="clustered"/>
        <c:varyColors val="0"/>
        <c:ser>
          <c:idx val="0"/>
          <c:order val="0"/>
          <c:tx>
            <c:strRef>
              <c:f>Sheet1!$D$4</c:f>
              <c:strCache>
                <c:ptCount val="1"/>
                <c:pt idx="0">
                  <c:v>BE</c:v>
                </c:pt>
              </c:strCache>
            </c:strRef>
          </c:tx>
          <c:spPr>
            <a:noFill/>
            <a:ln w="12700">
              <a:solidFill>
                <a:schemeClr val="tx1"/>
              </a:solidFill>
              <a:prstDash val="dash"/>
            </a:ln>
            <a:effectLst/>
          </c:spPr>
          <c:invertIfNegative val="0"/>
          <c:cat>
            <c:strRef>
              <c:f>Sheet1!$C$5:$C$14</c:f>
              <c:strCache>
                <c:ptCount val="10"/>
                <c:pt idx="0">
                  <c:v>Corp. Tax</c:v>
                </c:pt>
                <c:pt idx="1">
                  <c:v>Income Tax</c:v>
                </c:pt>
                <c:pt idx="2">
                  <c:v>Sec. Tr. Tax</c:v>
                </c:pt>
                <c:pt idx="3">
                  <c:v>CGST</c:v>
                </c:pt>
                <c:pt idx="4">
                  <c:v>IGST</c:v>
                </c:pt>
                <c:pt idx="5">
                  <c:v>UTGST</c:v>
                </c:pt>
                <c:pt idx="6">
                  <c:v>Comp. Cess</c:v>
                </c:pt>
                <c:pt idx="7">
                  <c:v>Customs</c:v>
                </c:pt>
                <c:pt idx="8">
                  <c:v>Union Excise</c:v>
                </c:pt>
                <c:pt idx="9">
                  <c:v>Service Tax</c:v>
                </c:pt>
              </c:strCache>
            </c:strRef>
          </c:cat>
          <c:val>
            <c:numRef>
              <c:f>Sheet1!$D$5:$D$14</c:f>
              <c:numCache>
                <c:formatCode>General</c:formatCode>
                <c:ptCount val="10"/>
                <c:pt idx="0">
                  <c:v>1082000</c:v>
                </c:pt>
                <c:pt idx="1">
                  <c:v>1357000</c:v>
                </c:pt>
                <c:pt idx="2">
                  <c:v>78000</c:v>
                </c:pt>
                <c:pt idx="3">
                  <c:v>1010890</c:v>
                </c:pt>
                <c:pt idx="4">
                  <c:v>0</c:v>
                </c:pt>
                <c:pt idx="5">
                  <c:v>5355</c:v>
                </c:pt>
                <c:pt idx="6">
                  <c:v>167110</c:v>
                </c:pt>
                <c:pt idx="7">
                  <c:v>240000</c:v>
                </c:pt>
                <c:pt idx="8">
                  <c:v>317000</c:v>
                </c:pt>
                <c:pt idx="9">
                  <c:v>100</c:v>
                </c:pt>
              </c:numCache>
            </c:numRef>
          </c:val>
          <c:extLst>
            <c:ext xmlns:c16="http://schemas.microsoft.com/office/drawing/2014/chart" uri="{C3380CC4-5D6E-409C-BE32-E72D297353CC}">
              <c16:uniqueId val="{00000000-BECE-4F89-B381-8D867BBF2EDD}"/>
            </c:ext>
          </c:extLst>
        </c:ser>
        <c:ser>
          <c:idx val="2"/>
          <c:order val="2"/>
          <c:tx>
            <c:strRef>
              <c:f>Sheet1!$F$4</c:f>
              <c:strCache>
                <c:ptCount val="1"/>
                <c:pt idx="0">
                  <c:v>BE</c:v>
                </c:pt>
              </c:strCache>
            </c:strRef>
          </c:tx>
          <c:spPr>
            <a:noFill/>
            <a:ln w="12700">
              <a:solidFill>
                <a:schemeClr val="tx1"/>
              </a:solidFill>
              <a:prstDash val="dash"/>
            </a:ln>
            <a:effectLst/>
          </c:spPr>
          <c:invertIfNegative val="0"/>
          <c:cat>
            <c:strRef>
              <c:f>Sheet1!$C$5:$C$14</c:f>
              <c:strCache>
                <c:ptCount val="10"/>
                <c:pt idx="0">
                  <c:v>Corp. Tax</c:v>
                </c:pt>
                <c:pt idx="1">
                  <c:v>Income Tax</c:v>
                </c:pt>
                <c:pt idx="2">
                  <c:v>Sec. Tr. Tax</c:v>
                </c:pt>
                <c:pt idx="3">
                  <c:v>CGST</c:v>
                </c:pt>
                <c:pt idx="4">
                  <c:v>IGST</c:v>
                </c:pt>
                <c:pt idx="5">
                  <c:v>UTGST</c:v>
                </c:pt>
                <c:pt idx="6">
                  <c:v>Comp. Cess</c:v>
                </c:pt>
                <c:pt idx="7">
                  <c:v>Customs</c:v>
                </c:pt>
                <c:pt idx="8">
                  <c:v>Union Excise</c:v>
                </c:pt>
                <c:pt idx="9">
                  <c:v>Service Tax</c:v>
                </c:pt>
              </c:strCache>
            </c:strRef>
          </c:cat>
          <c:val>
            <c:numRef>
              <c:f>Sheet1!$F$5:$F$14</c:f>
              <c:numCache>
                <c:formatCode>General</c:formatCode>
                <c:ptCount val="10"/>
                <c:pt idx="0">
                  <c:v>1020000</c:v>
                </c:pt>
                <c:pt idx="1">
                  <c:v>1150000</c:v>
                </c:pt>
                <c:pt idx="2">
                  <c:v>37000</c:v>
                </c:pt>
                <c:pt idx="3">
                  <c:v>910890</c:v>
                </c:pt>
                <c:pt idx="4">
                  <c:v>0</c:v>
                </c:pt>
                <c:pt idx="5">
                  <c:v>4900</c:v>
                </c:pt>
                <c:pt idx="6">
                  <c:v>151009</c:v>
                </c:pt>
                <c:pt idx="7">
                  <c:v>237745</c:v>
                </c:pt>
                <c:pt idx="8">
                  <c:v>319000</c:v>
                </c:pt>
                <c:pt idx="9">
                  <c:v>100</c:v>
                </c:pt>
              </c:numCache>
            </c:numRef>
          </c:val>
          <c:extLst>
            <c:ext xmlns:c16="http://schemas.microsoft.com/office/drawing/2014/chart" uri="{C3380CC4-5D6E-409C-BE32-E72D297353CC}">
              <c16:uniqueId val="{00000002-BECE-4F89-B381-8D867BBF2EDD}"/>
            </c:ext>
          </c:extLst>
        </c:ser>
        <c:dLbls>
          <c:showLegendKey val="0"/>
          <c:showVal val="0"/>
          <c:showCatName val="0"/>
          <c:showSerName val="0"/>
          <c:showPercent val="0"/>
          <c:showBubbleSize val="0"/>
        </c:dLbls>
        <c:gapWidth val="219"/>
        <c:overlap val="-27"/>
        <c:axId val="168072320"/>
        <c:axId val="168062336"/>
      </c:barChart>
      <c:catAx>
        <c:axId val="16805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60800"/>
        <c:crosses val="autoZero"/>
        <c:auto val="1"/>
        <c:lblAlgn val="ctr"/>
        <c:lblOffset val="100"/>
        <c:noMultiLvlLbl val="0"/>
      </c:catAx>
      <c:valAx>
        <c:axId val="168060800"/>
        <c:scaling>
          <c:orientation val="minMax"/>
          <c:max val="8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59264"/>
        <c:crosses val="autoZero"/>
        <c:crossBetween val="between"/>
      </c:valAx>
      <c:valAx>
        <c:axId val="168062336"/>
        <c:scaling>
          <c:orientation val="minMax"/>
          <c:max val="800000"/>
        </c:scaling>
        <c:delete val="1"/>
        <c:axPos val="r"/>
        <c:numFmt formatCode="General" sourceLinked="1"/>
        <c:majorTickMark val="out"/>
        <c:minorTickMark val="none"/>
        <c:tickLblPos val="nextTo"/>
        <c:crossAx val="168072320"/>
        <c:crosses val="max"/>
        <c:crossBetween val="between"/>
      </c:valAx>
      <c:catAx>
        <c:axId val="168072320"/>
        <c:scaling>
          <c:orientation val="minMax"/>
        </c:scaling>
        <c:delete val="1"/>
        <c:axPos val="b"/>
        <c:numFmt formatCode="General" sourceLinked="1"/>
        <c:majorTickMark val="out"/>
        <c:minorTickMark val="none"/>
        <c:tickLblPos val="nextTo"/>
        <c:crossAx val="168062336"/>
        <c:crosses val="autoZero"/>
        <c:auto val="1"/>
        <c:lblAlgn val="ctr"/>
        <c:lblOffset val="100"/>
        <c:noMultiLvlLbl val="0"/>
      </c:catAx>
      <c:spPr>
        <a:noFill/>
        <a:ln>
          <a:noFill/>
        </a:ln>
        <a:effectLst/>
      </c:spPr>
    </c:plotArea>
    <c:legend>
      <c:legendPos val="b"/>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233" l="0.70000000000000062" r="0.70000000000000062" t="0.75000000000000233"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Sheet1!$D$28</c:f>
              <c:strCache>
                <c:ptCount val="1"/>
                <c:pt idx="0">
                  <c:v>2025-26</c:v>
                </c:pt>
              </c:strCache>
            </c:strRef>
          </c:tx>
          <c:marker>
            <c:symbol val="none"/>
          </c:marker>
          <c:cat>
            <c:strRef>
              <c:f>Sheet1!$C$29:$C$40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Sheet1!$D$29:$D$40</c:f>
              <c:numCache>
                <c:formatCode>General</c:formatCode>
                <c:ptCount val="12"/>
                <c:pt idx="0">
                  <c:v>93460</c:v>
                </c:pt>
                <c:pt idx="1">
                  <c:v>147788</c:v>
                </c:pt>
                <c:pt idx="2">
                  <c:v>386037</c:v>
                </c:pt>
                <c:pt idx="3">
                  <c:v>446690</c:v>
                </c:pt>
                <c:pt idx="4">
                  <c:v>528668</c:v>
                </c:pt>
                <c:pt idx="5">
                  <c:v>578182</c:v>
                </c:pt>
                <c:pt idx="6">
                  <c:v>673715</c:v>
                </c:pt>
                <c:pt idx="7">
                  <c:v>745765</c:v>
                </c:pt>
                <c:pt idx="8">
                  <c:v>911059</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Sheet1!$E$28</c:f>
              <c:strCache>
                <c:ptCount val="1"/>
                <c:pt idx="0">
                  <c:v>2024-25</c:v>
                </c:pt>
              </c:strCache>
            </c:strRef>
          </c:tx>
          <c:marker>
            <c:symbol val="none"/>
          </c:marker>
          <c:cat>
            <c:strRef>
              <c:f>Sheet1!$C$29:$C$40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Sheet1!$E$29:$E$40</c:f>
              <c:numCache>
                <c:formatCode>General</c:formatCode>
                <c:ptCount val="12"/>
                <c:pt idx="0">
                  <c:v>128263</c:v>
                </c:pt>
                <c:pt idx="1">
                  <c:v>123810</c:v>
                </c:pt>
                <c:pt idx="2">
                  <c:v>264052</c:v>
                </c:pt>
                <c:pt idx="3">
                  <c:v>327887</c:v>
                </c:pt>
                <c:pt idx="4">
                  <c:v>400160</c:v>
                </c:pt>
                <c:pt idx="5">
                  <c:v>515010</c:v>
                </c:pt>
                <c:pt idx="6">
                  <c:v>596347</c:v>
                </c:pt>
                <c:pt idx="7">
                  <c:v>658494</c:v>
                </c:pt>
                <c:pt idx="8">
                  <c:v>808313</c:v>
                </c:pt>
                <c:pt idx="9">
                  <c:v>875461</c:v>
                </c:pt>
                <c:pt idx="10">
                  <c:v>952844</c:v>
                </c:pt>
                <c:pt idx="11">
                  <c:v>1116343</c:v>
                </c:pt>
              </c:numCache>
            </c:numRef>
          </c:val>
          <c:smooth val="0"/>
          <c:extLst>
            <c:ext xmlns:c16="http://schemas.microsoft.com/office/drawing/2014/chart" uri="{C3380CC4-5D6E-409C-BE32-E72D297353CC}">
              <c16:uniqueId val="{00000001-92A3-4DBE-A170-6762DA871250}"/>
            </c:ext>
          </c:extLst>
        </c:ser>
        <c:ser>
          <c:idx val="2"/>
          <c:order val="2"/>
          <c:tx>
            <c:strRef>
              <c:f>Sheet1!$F$28</c:f>
              <c:strCache>
                <c:ptCount val="1"/>
                <c:pt idx="0">
                  <c:v>2023-24</c:v>
                </c:pt>
              </c:strCache>
            </c:strRef>
          </c:tx>
          <c:marker>
            <c:symbol val="none"/>
          </c:marker>
          <c:cat>
            <c:strRef>
              <c:f>Sheet1!$C$29:$C$40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Sheet1!$F$29:$F$40</c:f>
              <c:numCache>
                <c:formatCode>General</c:formatCode>
                <c:ptCount val="12"/>
                <c:pt idx="0">
                  <c:v>47929</c:v>
                </c:pt>
                <c:pt idx="1">
                  <c:v>110663</c:v>
                </c:pt>
                <c:pt idx="2">
                  <c:v>243705</c:v>
                </c:pt>
                <c:pt idx="3">
                  <c:v>299889</c:v>
                </c:pt>
                <c:pt idx="4">
                  <c:v>367539</c:v>
                </c:pt>
                <c:pt idx="5">
                  <c:v>484329</c:v>
                </c:pt>
                <c:pt idx="6">
                  <c:v>545086</c:v>
                </c:pt>
                <c:pt idx="7">
                  <c:v>607963</c:v>
                </c:pt>
                <c:pt idx="8">
                  <c:v>748207</c:v>
                </c:pt>
                <c:pt idx="9">
                  <c:v>821731</c:v>
                </c:pt>
                <c:pt idx="10">
                  <c:v>880788</c:v>
                </c:pt>
                <c:pt idx="11">
                  <c:v>1063872</c:v>
                </c:pt>
              </c:numCache>
            </c:numRef>
          </c:val>
          <c:smooth val="0"/>
          <c:extLst>
            <c:ext xmlns:c16="http://schemas.microsoft.com/office/drawing/2014/chart" uri="{C3380CC4-5D6E-409C-BE32-E72D297353CC}">
              <c16:uniqueId val="{00000000-AD75-4859-8E3C-5EFC17EDB29A}"/>
            </c:ext>
          </c:extLst>
        </c:ser>
        <c:ser>
          <c:idx val="3"/>
          <c:order val="3"/>
          <c:tx>
            <c:strRef>
              <c:f>Sheet1!$G$28</c:f>
              <c:strCache>
                <c:ptCount val="1"/>
                <c:pt idx="0">
                  <c:v>2022-23</c:v>
                </c:pt>
              </c:strCache>
            </c:strRef>
          </c:tx>
          <c:marker>
            <c:symbol val="none"/>
          </c:marker>
          <c:cat>
            <c:strRef>
              <c:f>Sheet1!$C$29:$C$40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Sheet1!$G$29:$G$40</c:f>
              <c:numCache>
                <c:formatCode>General</c:formatCode>
                <c:ptCount val="12"/>
                <c:pt idx="0">
                  <c:v>41288</c:v>
                </c:pt>
                <c:pt idx="1">
                  <c:v>105422</c:v>
                </c:pt>
                <c:pt idx="2">
                  <c:v>228595</c:v>
                </c:pt>
                <c:pt idx="3">
                  <c:v>283870</c:v>
                </c:pt>
                <c:pt idx="4">
                  <c:v>338637</c:v>
                </c:pt>
                <c:pt idx="5">
                  <c:v>436682</c:v>
                </c:pt>
                <c:pt idx="6">
                  <c:v>481172</c:v>
                </c:pt>
                <c:pt idx="7">
                  <c:v>545199</c:v>
                </c:pt>
                <c:pt idx="8">
                  <c:v>680853</c:v>
                </c:pt>
                <c:pt idx="9">
                  <c:v>738658</c:v>
                </c:pt>
                <c:pt idx="10">
                  <c:v>798957</c:v>
                </c:pt>
                <c:pt idx="11">
                  <c:v>928517</c:v>
                </c:pt>
              </c:numCache>
            </c:numRef>
          </c:val>
          <c:smooth val="0"/>
          <c:extLst>
            <c:ext xmlns:c16="http://schemas.microsoft.com/office/drawing/2014/chart" uri="{C3380CC4-5D6E-409C-BE32-E72D297353CC}">
              <c16:uniqueId val="{00000001-AD75-4859-8E3C-5EFC17EDB29A}"/>
            </c:ext>
          </c:extLst>
        </c:ser>
        <c:ser>
          <c:idx val="4"/>
          <c:order val="4"/>
          <c:tx>
            <c:strRef>
              <c:f>Sheet1!$H$28</c:f>
              <c:strCache>
                <c:ptCount val="1"/>
                <c:pt idx="0">
                  <c:v>2021-22</c:v>
                </c:pt>
              </c:strCache>
            </c:strRef>
          </c:tx>
          <c:marker>
            <c:symbol val="none"/>
          </c:marker>
          <c:cat>
            <c:strRef>
              <c:f>Sheet1!$C$29:$C$40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Sheet1!$H$29:$H$40</c:f>
              <c:numCache>
                <c:formatCode>General</c:formatCode>
                <c:ptCount val="12"/>
                <c:pt idx="0">
                  <c:v>29671</c:v>
                </c:pt>
                <c:pt idx="1">
                  <c:v>88573</c:v>
                </c:pt>
                <c:pt idx="2">
                  <c:v>184295</c:v>
                </c:pt>
                <c:pt idx="3">
                  <c:v>225817</c:v>
                </c:pt>
                <c:pt idx="4">
                  <c:v>278371</c:v>
                </c:pt>
                <c:pt idx="5">
                  <c:v>365207</c:v>
                </c:pt>
                <c:pt idx="6">
                  <c:v>401187</c:v>
                </c:pt>
                <c:pt idx="7">
                  <c:v>461773</c:v>
                </c:pt>
                <c:pt idx="8">
                  <c:v>565864</c:v>
                </c:pt>
                <c:pt idx="9">
                  <c:v>616076</c:v>
                </c:pt>
                <c:pt idx="10">
                  <c:v>671951</c:v>
                </c:pt>
                <c:pt idx="11">
                  <c:v>805499</c:v>
                </c:pt>
              </c:numCache>
            </c:numRef>
          </c:val>
          <c:smooth val="0"/>
          <c:extLst>
            <c:ext xmlns:c16="http://schemas.microsoft.com/office/drawing/2014/chart" uri="{C3380CC4-5D6E-409C-BE32-E72D297353CC}">
              <c16:uniqueId val="{00000002-AD75-4859-8E3C-5EFC17EDB29A}"/>
            </c:ext>
          </c:extLst>
        </c:ser>
        <c:dLbls>
          <c:showLegendKey val="0"/>
          <c:showVal val="0"/>
          <c:showCatName val="0"/>
          <c:showSerName val="0"/>
          <c:showPercent val="0"/>
          <c:showBubbleSize val="0"/>
        </c:dLbls>
        <c:smooth val="0"/>
        <c:axId val="168089088"/>
        <c:axId val="168090624"/>
      </c:lineChart>
      <c:catAx>
        <c:axId val="168089088"/>
        <c:scaling>
          <c:orientation val="minMax"/>
        </c:scaling>
        <c:delete val="0"/>
        <c:axPos val="b"/>
        <c:numFmt formatCode="General" sourceLinked="0"/>
        <c:majorTickMark val="out"/>
        <c:minorTickMark val="none"/>
        <c:tickLblPos val="nextTo"/>
        <c:txPr>
          <a:bodyPr/>
          <a:lstStyle/>
          <a:p>
            <a:pPr>
              <a:defRPr sz="700"/>
            </a:pPr>
            <a:endParaRPr lang="en-US"/>
          </a:p>
        </c:txPr>
        <c:crossAx val="168090624"/>
        <c:crosses val="autoZero"/>
        <c:auto val="1"/>
        <c:lblAlgn val="ctr"/>
        <c:lblOffset val="100"/>
        <c:noMultiLvlLbl val="0"/>
      </c:catAx>
      <c:valAx>
        <c:axId val="168090624"/>
        <c:scaling>
          <c:orientation val="minMax"/>
        </c:scaling>
        <c:delete val="0"/>
        <c:axPos val="l"/>
        <c:majorGridlines/>
        <c:numFmt formatCode="0.0" sourceLinked="0"/>
        <c:majorTickMark val="out"/>
        <c:minorTickMark val="none"/>
        <c:tickLblPos val="nextTo"/>
        <c:crossAx val="168089088"/>
        <c:crosses val="autoZero"/>
        <c:crossBetween val="between"/>
        <c:dispUnits>
          <c:builtInUnit val="hundredThousands"/>
        </c:dispUnits>
      </c:valAx>
    </c:plotArea>
    <c:legend>
      <c:legendPos val="b"/>
      <c:layout>
        <c:manualLayout>
          <c:xMode val="edge"/>
          <c:yMode val="edge"/>
          <c:x val="0.17908686192986939"/>
          <c:y val="0.10310655612492883"/>
          <c:w val="0.64802705749718148"/>
          <c:h val="0.2041568125539078"/>
        </c:manualLayout>
      </c:layout>
      <c:overlay val="1"/>
    </c:legend>
    <c:plotVisOnly val="1"/>
    <c:dispBlanksAs val="gap"/>
    <c:showDLblsOverMax val="0"/>
  </c:chart>
  <c:printSettings>
    <c:headerFooter/>
    <c:pageMargins b="0.75000000000000289" l="0.70000000000000062" r="0.70000000000000062" t="0.75000000000000289"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Sheet1!$D$28</c:f>
              <c:strCache>
                <c:ptCount val="1"/>
                <c:pt idx="0">
                  <c:v>2025-26</c:v>
                </c:pt>
              </c:strCache>
            </c:strRef>
          </c:tx>
          <c:marker>
            <c:symbol val="none"/>
          </c:marker>
          <c:cat>
            <c:strRef>
              <c:f>Sheet1!$C$43:$C$54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Sheet1!$D$43:$D$54</c:f>
              <c:numCache>
                <c:formatCode>General</c:formatCode>
                <c:ptCount val="12"/>
                <c:pt idx="0">
                  <c:v>109626</c:v>
                </c:pt>
                <c:pt idx="1">
                  <c:v>191816</c:v>
                </c:pt>
                <c:pt idx="2">
                  <c:v>285829</c:v>
                </c:pt>
                <c:pt idx="3">
                  <c:v>355315</c:v>
                </c:pt>
                <c:pt idx="4">
                  <c:v>441013</c:v>
                </c:pt>
                <c:pt idx="5">
                  <c:v>591014</c:v>
                </c:pt>
                <c:pt idx="6">
                  <c:v>669631</c:v>
                </c:pt>
                <c:pt idx="7">
                  <c:v>748299</c:v>
                </c:pt>
                <c:pt idx="8">
                  <c:v>872696</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Sheet1!$E$28</c:f>
              <c:strCache>
                <c:ptCount val="1"/>
                <c:pt idx="0">
                  <c:v>2024-25</c:v>
                </c:pt>
              </c:strCache>
            </c:strRef>
          </c:tx>
          <c:marker>
            <c:symbol val="none"/>
          </c:marker>
          <c:cat>
            <c:strRef>
              <c:f>Sheet1!$C$43:$C$54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Sheet1!$E$43:$E$54</c:f>
              <c:numCache>
                <c:formatCode>General</c:formatCode>
                <c:ptCount val="12"/>
                <c:pt idx="0">
                  <c:v>98951</c:v>
                </c:pt>
                <c:pt idx="1">
                  <c:v>180291</c:v>
                </c:pt>
                <c:pt idx="2">
                  <c:v>287336</c:v>
                </c:pt>
                <c:pt idx="3">
                  <c:v>394488</c:v>
                </c:pt>
                <c:pt idx="4">
                  <c:v>452286</c:v>
                </c:pt>
                <c:pt idx="5">
                  <c:v>564517</c:v>
                </c:pt>
                <c:pt idx="6">
                  <c:v>626454</c:v>
                </c:pt>
                <c:pt idx="7">
                  <c:v>700775</c:v>
                </c:pt>
                <c:pt idx="8">
                  <c:v>837817</c:v>
                </c:pt>
                <c:pt idx="9">
                  <c:v>912792</c:v>
                </c:pt>
                <c:pt idx="10">
                  <c:v>991489</c:v>
                </c:pt>
                <c:pt idx="11">
                  <c:v>1182964</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7845248"/>
        <c:axId val="167859328"/>
      </c:lineChart>
      <c:catAx>
        <c:axId val="167845248"/>
        <c:scaling>
          <c:orientation val="minMax"/>
        </c:scaling>
        <c:delete val="0"/>
        <c:axPos val="b"/>
        <c:numFmt formatCode="General" sourceLinked="0"/>
        <c:majorTickMark val="out"/>
        <c:minorTickMark val="none"/>
        <c:tickLblPos val="nextTo"/>
        <c:txPr>
          <a:bodyPr/>
          <a:lstStyle/>
          <a:p>
            <a:pPr>
              <a:defRPr sz="700"/>
            </a:pPr>
            <a:endParaRPr lang="en-US"/>
          </a:p>
        </c:txPr>
        <c:crossAx val="167859328"/>
        <c:crosses val="autoZero"/>
        <c:auto val="1"/>
        <c:lblAlgn val="ctr"/>
        <c:lblOffset val="100"/>
        <c:noMultiLvlLbl val="0"/>
      </c:catAx>
      <c:valAx>
        <c:axId val="167859328"/>
        <c:scaling>
          <c:orientation val="minMax"/>
        </c:scaling>
        <c:delete val="0"/>
        <c:axPos val="l"/>
        <c:majorGridlines/>
        <c:numFmt formatCode="0.0" sourceLinked="0"/>
        <c:majorTickMark val="out"/>
        <c:minorTickMark val="none"/>
        <c:tickLblPos val="nextTo"/>
        <c:crossAx val="167845248"/>
        <c:crosses val="autoZero"/>
        <c:crossBetween val="between"/>
        <c:dispUnits>
          <c:builtInUnit val="hundredThousands"/>
        </c:dispUnits>
      </c:valAx>
    </c:plotArea>
    <c:legend>
      <c:legendPos val="b"/>
      <c:layout>
        <c:manualLayout>
          <c:xMode val="edge"/>
          <c:yMode val="edge"/>
          <c:x val="0.17908686192986939"/>
          <c:y val="0.10310655612492883"/>
          <c:w val="0.31063541836031561"/>
          <c:h val="0.2547491958764857"/>
        </c:manualLayout>
      </c:layout>
      <c:overlay val="1"/>
    </c:legend>
    <c:plotVisOnly val="1"/>
    <c:dispBlanksAs val="gap"/>
    <c:showDLblsOverMax val="0"/>
  </c:chart>
  <c:printSettings>
    <c:headerFooter/>
    <c:pageMargins b="0.75000000000000311" l="0.70000000000000062" r="0.70000000000000062" t="0.75000000000000311" header="0.30000000000000032" footer="0.3000000000000003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Sheet1!$D$28</c:f>
              <c:strCache>
                <c:ptCount val="1"/>
                <c:pt idx="0">
                  <c:v>2025-26</c:v>
                </c:pt>
              </c:strCache>
            </c:strRef>
          </c:tx>
          <c:marker>
            <c:symbol val="none"/>
          </c:marker>
          <c:cat>
            <c:strRef>
              <c:f>Sheet1!$C$57:$C$68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Sheet1!$D$57:$D$68</c:f>
              <c:numCache>
                <c:formatCode>General</c:formatCode>
                <c:ptCount val="12"/>
                <c:pt idx="0">
                  <c:v>3786</c:v>
                </c:pt>
                <c:pt idx="1">
                  <c:v>8086</c:v>
                </c:pt>
                <c:pt idx="2">
                  <c:v>13015</c:v>
                </c:pt>
                <c:pt idx="3">
                  <c:v>17882</c:v>
                </c:pt>
                <c:pt idx="4">
                  <c:v>22379</c:v>
                </c:pt>
                <c:pt idx="5">
                  <c:v>26309</c:v>
                </c:pt>
                <c:pt idx="6">
                  <c:v>30935</c:v>
                </c:pt>
                <c:pt idx="7">
                  <c:v>35718</c:v>
                </c:pt>
                <c:pt idx="8">
                  <c:v>40220</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Sheet1!$E$28</c:f>
              <c:strCache>
                <c:ptCount val="1"/>
                <c:pt idx="0">
                  <c:v>2024-25</c:v>
                </c:pt>
              </c:strCache>
            </c:strRef>
          </c:tx>
          <c:marker>
            <c:symbol val="none"/>
          </c:marker>
          <c:cat>
            <c:strRef>
              <c:f>Sheet1!$C$57:$C$68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Sheet1!$E$57:$E$68</c:f>
              <c:numCache>
                <c:formatCode>General</c:formatCode>
                <c:ptCount val="12"/>
                <c:pt idx="0">
                  <c:v>3504</c:v>
                </c:pt>
                <c:pt idx="1">
                  <c:v>7235</c:v>
                </c:pt>
                <c:pt idx="2">
                  <c:v>11606</c:v>
                </c:pt>
                <c:pt idx="3">
                  <c:v>16635</c:v>
                </c:pt>
                <c:pt idx="4">
                  <c:v>21607</c:v>
                </c:pt>
                <c:pt idx="5">
                  <c:v>26156</c:v>
                </c:pt>
                <c:pt idx="6">
                  <c:v>30687</c:v>
                </c:pt>
                <c:pt idx="7">
                  <c:v>35932</c:v>
                </c:pt>
                <c:pt idx="8">
                  <c:v>40136</c:v>
                </c:pt>
                <c:pt idx="9">
                  <c:v>44541</c:v>
                </c:pt>
                <c:pt idx="10">
                  <c:v>49227</c:v>
                </c:pt>
                <c:pt idx="11">
                  <c:v>52197</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7884288"/>
        <c:axId val="167885824"/>
      </c:lineChart>
      <c:catAx>
        <c:axId val="167884288"/>
        <c:scaling>
          <c:orientation val="minMax"/>
        </c:scaling>
        <c:delete val="0"/>
        <c:axPos val="b"/>
        <c:numFmt formatCode="General" sourceLinked="0"/>
        <c:majorTickMark val="out"/>
        <c:minorTickMark val="none"/>
        <c:tickLblPos val="nextTo"/>
        <c:txPr>
          <a:bodyPr/>
          <a:lstStyle/>
          <a:p>
            <a:pPr>
              <a:defRPr sz="700"/>
            </a:pPr>
            <a:endParaRPr lang="en-US"/>
          </a:p>
        </c:txPr>
        <c:crossAx val="167885824"/>
        <c:crosses val="autoZero"/>
        <c:auto val="1"/>
        <c:lblAlgn val="ctr"/>
        <c:lblOffset val="100"/>
        <c:noMultiLvlLbl val="0"/>
      </c:catAx>
      <c:valAx>
        <c:axId val="167885824"/>
        <c:scaling>
          <c:orientation val="minMax"/>
        </c:scaling>
        <c:delete val="0"/>
        <c:axPos val="l"/>
        <c:majorGridlines/>
        <c:numFmt formatCode="0.0" sourceLinked="0"/>
        <c:majorTickMark val="out"/>
        <c:minorTickMark val="none"/>
        <c:tickLblPos val="nextTo"/>
        <c:crossAx val="167884288"/>
        <c:crosses val="autoZero"/>
        <c:crossBetween val="between"/>
        <c:dispUnits>
          <c:builtInUnit val="hundredThousands"/>
        </c:dispUnits>
      </c:valAx>
    </c:plotArea>
    <c:legend>
      <c:legendPos val="b"/>
      <c:layout>
        <c:manualLayout>
          <c:xMode val="edge"/>
          <c:yMode val="edge"/>
          <c:x val="0.17908686192986939"/>
          <c:y val="0.10310655612492883"/>
          <c:w val="0.31063541836031561"/>
          <c:h val="0.2547491958764857"/>
        </c:manualLayout>
      </c:layout>
      <c:overlay val="1"/>
    </c:legend>
    <c:plotVisOnly val="1"/>
    <c:dispBlanksAs val="gap"/>
    <c:showDLblsOverMax val="0"/>
  </c:chart>
  <c:printSettings>
    <c:headerFooter/>
    <c:pageMargins b="0.75000000000000333" l="0.70000000000000062" r="0.70000000000000062" t="0.75000000000000333" header="0.30000000000000032" footer="0.3000000000000003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Sheet1!$D$28</c:f>
              <c:strCache>
                <c:ptCount val="1"/>
                <c:pt idx="0">
                  <c:v>2025-26</c:v>
                </c:pt>
              </c:strCache>
            </c:strRef>
          </c:tx>
          <c:marker>
            <c:symbol val="none"/>
          </c:marker>
          <c:cat>
            <c:strRef>
              <c:f>Sheet1!$C$71:$C$82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Sheet1!$D$71:$D$82</c:f>
              <c:numCache>
                <c:formatCode>General</c:formatCode>
                <c:ptCount val="12"/>
                <c:pt idx="0">
                  <c:v>78240</c:v>
                </c:pt>
                <c:pt idx="1">
                  <c:v>154984</c:v>
                </c:pt>
                <c:pt idx="2">
                  <c:v>231723</c:v>
                </c:pt>
                <c:pt idx="3">
                  <c:v>311625</c:v>
                </c:pt>
                <c:pt idx="4">
                  <c:v>390502</c:v>
                </c:pt>
                <c:pt idx="5">
                  <c:v>466736</c:v>
                </c:pt>
                <c:pt idx="6">
                  <c:v>553607</c:v>
                </c:pt>
                <c:pt idx="7">
                  <c:v>636473</c:v>
                </c:pt>
                <c:pt idx="8">
                  <c:v>710615</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Sheet1!$E$28</c:f>
              <c:strCache>
                <c:ptCount val="1"/>
                <c:pt idx="0">
                  <c:v>2024-25</c:v>
                </c:pt>
              </c:strCache>
            </c:strRef>
          </c:tx>
          <c:marker>
            <c:symbol val="none"/>
          </c:marker>
          <c:cat>
            <c:strRef>
              <c:f>Sheet1!$C$71:$C$82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Sheet1!$E$71:$E$82</c:f>
              <c:numCache>
                <c:formatCode>General</c:formatCode>
                <c:ptCount val="12"/>
                <c:pt idx="0">
                  <c:v>91188</c:v>
                </c:pt>
                <c:pt idx="1">
                  <c:v>158841</c:v>
                </c:pt>
                <c:pt idx="2">
                  <c:v>228328</c:v>
                </c:pt>
                <c:pt idx="3">
                  <c:v>300616</c:v>
                </c:pt>
                <c:pt idx="4">
                  <c:v>371222</c:v>
                </c:pt>
                <c:pt idx="5">
                  <c:v>441220</c:v>
                </c:pt>
                <c:pt idx="6">
                  <c:v>521599</c:v>
                </c:pt>
                <c:pt idx="7">
                  <c:v>603873</c:v>
                </c:pt>
                <c:pt idx="8">
                  <c:v>673256</c:v>
                </c:pt>
                <c:pt idx="9">
                  <c:v>752514</c:v>
                </c:pt>
                <c:pt idx="10">
                  <c:v>830137</c:v>
                </c:pt>
                <c:pt idx="11">
                  <c:v>908980</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8115584"/>
        <c:axId val="168125568"/>
      </c:lineChart>
      <c:catAx>
        <c:axId val="168115584"/>
        <c:scaling>
          <c:orientation val="minMax"/>
        </c:scaling>
        <c:delete val="0"/>
        <c:axPos val="b"/>
        <c:numFmt formatCode="General" sourceLinked="0"/>
        <c:majorTickMark val="out"/>
        <c:minorTickMark val="none"/>
        <c:tickLblPos val="nextTo"/>
        <c:txPr>
          <a:bodyPr/>
          <a:lstStyle/>
          <a:p>
            <a:pPr>
              <a:defRPr sz="700"/>
            </a:pPr>
            <a:endParaRPr lang="en-US"/>
          </a:p>
        </c:txPr>
        <c:crossAx val="168125568"/>
        <c:crosses val="autoZero"/>
        <c:auto val="1"/>
        <c:lblAlgn val="ctr"/>
        <c:lblOffset val="100"/>
        <c:noMultiLvlLbl val="0"/>
      </c:catAx>
      <c:valAx>
        <c:axId val="168125568"/>
        <c:scaling>
          <c:orientation val="minMax"/>
        </c:scaling>
        <c:delete val="0"/>
        <c:axPos val="l"/>
        <c:majorGridlines/>
        <c:numFmt formatCode="0.0" sourceLinked="0"/>
        <c:majorTickMark val="out"/>
        <c:minorTickMark val="none"/>
        <c:tickLblPos val="nextTo"/>
        <c:crossAx val="168115584"/>
        <c:crosses val="autoZero"/>
        <c:crossBetween val="between"/>
        <c:dispUnits>
          <c:builtInUnit val="hundredThousands"/>
        </c:dispUnits>
      </c:valAx>
    </c:plotArea>
    <c:legend>
      <c:legendPos val="b"/>
      <c:layout>
        <c:manualLayout>
          <c:xMode val="edge"/>
          <c:yMode val="edge"/>
          <c:x val="0.17908686192986939"/>
          <c:y val="0.10310655612492883"/>
          <c:w val="0.31063541836031561"/>
          <c:h val="0.2547491958764857"/>
        </c:manualLayout>
      </c:layout>
      <c:overlay val="1"/>
    </c:legend>
    <c:plotVisOnly val="1"/>
    <c:dispBlanksAs val="gap"/>
    <c:showDLblsOverMax val="0"/>
  </c:chart>
  <c:printSettings>
    <c:headerFooter/>
    <c:pageMargins b="0.75000000000000355" l="0.70000000000000062" r="0.70000000000000062" t="0.75000000000000355" header="0.30000000000000032" footer="0.3000000000000003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Sheet1!$D$28</c:f>
              <c:strCache>
                <c:ptCount val="1"/>
                <c:pt idx="0">
                  <c:v>2025-26</c:v>
                </c:pt>
              </c:strCache>
            </c:strRef>
          </c:tx>
          <c:marker>
            <c:symbol val="none"/>
          </c:marker>
          <c:cat>
            <c:strRef>
              <c:f>Sheet1!$C$85:$C$96</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Sheet1!$D$85:$D$96</c:f>
              <c:numCache>
                <c:formatCode>General</c:formatCode>
                <c:ptCount val="12"/>
                <c:pt idx="0">
                  <c:v>31097</c:v>
                </c:pt>
                <c:pt idx="1">
                  <c:v>33430</c:v>
                </c:pt>
                <c:pt idx="2">
                  <c:v>27312</c:v>
                </c:pt>
                <c:pt idx="3">
                  <c:v>11907</c:v>
                </c:pt>
                <c:pt idx="4">
                  <c:v>370</c:v>
                </c:pt>
                <c:pt idx="5">
                  <c:v>-8838</c:v>
                </c:pt>
                <c:pt idx="6">
                  <c:v>-29806</c:v>
                </c:pt>
                <c:pt idx="7">
                  <c:v>-60520</c:v>
                </c:pt>
                <c:pt idx="8">
                  <c:v>15641</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Sheet1!$E$28</c:f>
              <c:strCache>
                <c:ptCount val="1"/>
                <c:pt idx="0">
                  <c:v>2024-25</c:v>
                </c:pt>
              </c:strCache>
            </c:strRef>
          </c:tx>
          <c:marker>
            <c:symbol val="none"/>
          </c:marker>
          <c:cat>
            <c:strRef>
              <c:f>Sheet1!$C$85:$C$96</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Sheet1!$E$85:$E$96</c:f>
              <c:numCache>
                <c:formatCode>General</c:formatCode>
                <c:ptCount val="12"/>
                <c:pt idx="0">
                  <c:v>-2645</c:v>
                </c:pt>
                <c:pt idx="1">
                  <c:v>-10883</c:v>
                </c:pt>
                <c:pt idx="2">
                  <c:v>-10176</c:v>
                </c:pt>
                <c:pt idx="3">
                  <c:v>-10659</c:v>
                </c:pt>
                <c:pt idx="4">
                  <c:v>-2446</c:v>
                </c:pt>
                <c:pt idx="5">
                  <c:v>-846</c:v>
                </c:pt>
                <c:pt idx="6">
                  <c:v>-10448</c:v>
                </c:pt>
                <c:pt idx="7">
                  <c:v>-27854</c:v>
                </c:pt>
                <c:pt idx="8">
                  <c:v>-31590</c:v>
                </c:pt>
                <c:pt idx="9">
                  <c:v>-27610</c:v>
                </c:pt>
                <c:pt idx="10">
                  <c:v>-37608</c:v>
                </c:pt>
                <c:pt idx="11">
                  <c:v>-32995</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8158720"/>
        <c:axId val="168160256"/>
      </c:lineChart>
      <c:catAx>
        <c:axId val="168158720"/>
        <c:scaling>
          <c:orientation val="minMax"/>
        </c:scaling>
        <c:delete val="0"/>
        <c:axPos val="b"/>
        <c:numFmt formatCode="General" sourceLinked="0"/>
        <c:majorTickMark val="out"/>
        <c:minorTickMark val="none"/>
        <c:tickLblPos val="nextTo"/>
        <c:txPr>
          <a:bodyPr/>
          <a:lstStyle/>
          <a:p>
            <a:pPr>
              <a:defRPr sz="700"/>
            </a:pPr>
            <a:endParaRPr lang="en-US"/>
          </a:p>
        </c:txPr>
        <c:crossAx val="168160256"/>
        <c:crosses val="autoZero"/>
        <c:auto val="1"/>
        <c:lblAlgn val="ctr"/>
        <c:lblOffset val="100"/>
        <c:noMultiLvlLbl val="0"/>
      </c:catAx>
      <c:valAx>
        <c:axId val="168160256"/>
        <c:scaling>
          <c:orientation val="minMax"/>
        </c:scaling>
        <c:delete val="0"/>
        <c:axPos val="l"/>
        <c:majorGridlines/>
        <c:numFmt formatCode="0.0" sourceLinked="0"/>
        <c:majorTickMark val="out"/>
        <c:minorTickMark val="none"/>
        <c:tickLblPos val="nextTo"/>
        <c:crossAx val="168158720"/>
        <c:crosses val="autoZero"/>
        <c:crossBetween val="between"/>
        <c:dispUnits>
          <c:builtInUnit val="hundredThousands"/>
        </c:dispUnits>
      </c:valAx>
    </c:plotArea>
    <c:legend>
      <c:legendPos val="b"/>
      <c:layout>
        <c:manualLayout>
          <c:xMode val="edge"/>
          <c:yMode val="edge"/>
          <c:x val="0.17908686192986939"/>
          <c:y val="0.10310655612492883"/>
          <c:w val="0.31063541836031561"/>
          <c:h val="0.2547491958764857"/>
        </c:manualLayout>
      </c:layout>
      <c:overlay val="1"/>
    </c:legend>
    <c:plotVisOnly val="1"/>
    <c:dispBlanksAs val="gap"/>
    <c:showDLblsOverMax val="0"/>
  </c:chart>
  <c:printSettings>
    <c:headerFooter/>
    <c:pageMargins b="0.75000000000000377" l="0.70000000000000062" r="0.70000000000000062" t="0.75000000000000377" header="0.30000000000000032" footer="0.30000000000000032"/>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Sheet1!$D$28</c:f>
              <c:strCache>
                <c:ptCount val="1"/>
                <c:pt idx="0">
                  <c:v>2025-26</c:v>
                </c:pt>
              </c:strCache>
            </c:strRef>
          </c:tx>
          <c:marker>
            <c:symbol val="none"/>
          </c:marker>
          <c:cat>
            <c:strRef>
              <c:f>Sheet1!$C$99:$C$110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Sheet1!$D$99:$D$110</c:f>
              <c:numCache>
                <c:formatCode>General</c:formatCode>
                <c:ptCount val="12"/>
                <c:pt idx="0">
                  <c:v>119</c:v>
                </c:pt>
                <c:pt idx="1">
                  <c:v>491</c:v>
                </c:pt>
                <c:pt idx="2">
                  <c:v>779</c:v>
                </c:pt>
                <c:pt idx="3">
                  <c:v>1115</c:v>
                </c:pt>
                <c:pt idx="4">
                  <c:v>1487</c:v>
                </c:pt>
                <c:pt idx="5">
                  <c:v>2016</c:v>
                </c:pt>
                <c:pt idx="6">
                  <c:v>2538</c:v>
                </c:pt>
                <c:pt idx="7">
                  <c:v>4235</c:v>
                </c:pt>
                <c:pt idx="8">
                  <c:v>4698</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Sheet1!$E$28</c:f>
              <c:strCache>
                <c:ptCount val="1"/>
                <c:pt idx="0">
                  <c:v>2024-25</c:v>
                </c:pt>
              </c:strCache>
            </c:strRef>
          </c:tx>
          <c:marker>
            <c:symbol val="none"/>
          </c:marker>
          <c:cat>
            <c:strRef>
              <c:f>Sheet1!$C$99:$C$110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Sheet1!$E$99:$E$110</c:f>
              <c:numCache>
                <c:formatCode>General</c:formatCode>
                <c:ptCount val="12"/>
                <c:pt idx="0">
                  <c:v>292</c:v>
                </c:pt>
                <c:pt idx="1">
                  <c:v>598</c:v>
                </c:pt>
                <c:pt idx="2">
                  <c:v>877</c:v>
                </c:pt>
                <c:pt idx="3">
                  <c:v>934</c:v>
                </c:pt>
                <c:pt idx="4">
                  <c:v>1286</c:v>
                </c:pt>
                <c:pt idx="5">
                  <c:v>1624</c:v>
                </c:pt>
                <c:pt idx="6">
                  <c:v>1947</c:v>
                </c:pt>
                <c:pt idx="7">
                  <c:v>2427</c:v>
                </c:pt>
                <c:pt idx="8">
                  <c:v>2696</c:v>
                </c:pt>
                <c:pt idx="9">
                  <c:v>3560</c:v>
                </c:pt>
                <c:pt idx="10">
                  <c:v>3864</c:v>
                </c:pt>
                <c:pt idx="11">
                  <c:v>5094</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8209792"/>
        <c:axId val="168219776"/>
      </c:lineChart>
      <c:catAx>
        <c:axId val="168209792"/>
        <c:scaling>
          <c:orientation val="minMax"/>
        </c:scaling>
        <c:delete val="0"/>
        <c:axPos val="b"/>
        <c:numFmt formatCode="General" sourceLinked="0"/>
        <c:majorTickMark val="out"/>
        <c:minorTickMark val="none"/>
        <c:tickLblPos val="nextTo"/>
        <c:txPr>
          <a:bodyPr/>
          <a:lstStyle/>
          <a:p>
            <a:pPr>
              <a:defRPr sz="700"/>
            </a:pPr>
            <a:endParaRPr lang="en-US"/>
          </a:p>
        </c:txPr>
        <c:crossAx val="168219776"/>
        <c:crosses val="autoZero"/>
        <c:auto val="1"/>
        <c:lblAlgn val="ctr"/>
        <c:lblOffset val="100"/>
        <c:noMultiLvlLbl val="0"/>
      </c:catAx>
      <c:valAx>
        <c:axId val="168219776"/>
        <c:scaling>
          <c:orientation val="minMax"/>
        </c:scaling>
        <c:delete val="0"/>
        <c:axPos val="l"/>
        <c:majorGridlines/>
        <c:numFmt formatCode="0.0" sourceLinked="0"/>
        <c:majorTickMark val="out"/>
        <c:minorTickMark val="none"/>
        <c:tickLblPos val="nextTo"/>
        <c:crossAx val="168209792"/>
        <c:crosses val="autoZero"/>
        <c:crossBetween val="between"/>
        <c:dispUnits>
          <c:builtInUnit val="hundredThousands"/>
        </c:dispUnits>
      </c:valAx>
    </c:plotArea>
    <c:legend>
      <c:legendPos val="b"/>
      <c:layout>
        <c:manualLayout>
          <c:xMode val="edge"/>
          <c:yMode val="edge"/>
          <c:x val="0.17908686192986939"/>
          <c:y val="0.10310655612492883"/>
          <c:w val="0.31063541836031561"/>
          <c:h val="0.2547491958764857"/>
        </c:manualLayout>
      </c:layout>
      <c:overlay val="1"/>
    </c:legend>
    <c:plotVisOnly val="1"/>
    <c:dispBlanksAs val="gap"/>
    <c:showDLblsOverMax val="0"/>
  </c:chart>
  <c:printSettings>
    <c:headerFooter/>
    <c:pageMargins b="0.750000000000004" l="0.70000000000000062" r="0.70000000000000062" t="0.750000000000004" header="0.30000000000000032" footer="0.30000000000000032"/>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Sheet1!$D$28</c:f>
              <c:strCache>
                <c:ptCount val="1"/>
                <c:pt idx="0">
                  <c:v>2025-26</c:v>
                </c:pt>
              </c:strCache>
            </c:strRef>
          </c:tx>
          <c:marker>
            <c:symbol val="none"/>
          </c:marker>
          <c:cat>
            <c:strRef>
              <c:f>Sheet1!$C$113:$C$124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Sheet1!$D$113:$D$124</c:f>
              <c:numCache>
                <c:formatCode>General</c:formatCode>
                <c:ptCount val="12"/>
                <c:pt idx="0">
                  <c:v>12696</c:v>
                </c:pt>
                <c:pt idx="1">
                  <c:v>25006</c:v>
                </c:pt>
                <c:pt idx="2">
                  <c:v>38325</c:v>
                </c:pt>
                <c:pt idx="3">
                  <c:v>50305</c:v>
                </c:pt>
                <c:pt idx="4">
                  <c:v>61960</c:v>
                </c:pt>
                <c:pt idx="5">
                  <c:v>73172</c:v>
                </c:pt>
                <c:pt idx="6">
                  <c:v>80503</c:v>
                </c:pt>
                <c:pt idx="7">
                  <c:v>84404</c:v>
                </c:pt>
                <c:pt idx="8">
                  <c:v>89777</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Sheet1!$E$28</c:f>
              <c:strCache>
                <c:ptCount val="1"/>
                <c:pt idx="0">
                  <c:v>2024-25</c:v>
                </c:pt>
              </c:strCache>
            </c:strRef>
          </c:tx>
          <c:marker>
            <c:symbol val="none"/>
          </c:marker>
          <c:cat>
            <c:strRef>
              <c:f>Sheet1!$C$113:$C$124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Sheet1!$E$113:$E$124</c:f>
              <c:numCache>
                <c:formatCode>General</c:formatCode>
                <c:ptCount val="12"/>
                <c:pt idx="0">
                  <c:v>13042</c:v>
                </c:pt>
                <c:pt idx="1">
                  <c:v>24828</c:v>
                </c:pt>
                <c:pt idx="2">
                  <c:v>37768</c:v>
                </c:pt>
                <c:pt idx="3">
                  <c:v>50547</c:v>
                </c:pt>
                <c:pt idx="4">
                  <c:v>62462</c:v>
                </c:pt>
                <c:pt idx="5">
                  <c:v>74323</c:v>
                </c:pt>
                <c:pt idx="6">
                  <c:v>86482</c:v>
                </c:pt>
                <c:pt idx="7">
                  <c:v>99598</c:v>
                </c:pt>
                <c:pt idx="8">
                  <c:v>111556</c:v>
                </c:pt>
                <c:pt idx="9">
                  <c:v>124971</c:v>
                </c:pt>
                <c:pt idx="10">
                  <c:v>138327</c:v>
                </c:pt>
                <c:pt idx="11">
                  <c:v>150506</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8232448"/>
        <c:axId val="168233984"/>
      </c:lineChart>
      <c:catAx>
        <c:axId val="168232448"/>
        <c:scaling>
          <c:orientation val="minMax"/>
        </c:scaling>
        <c:delete val="0"/>
        <c:axPos val="b"/>
        <c:numFmt formatCode="General" sourceLinked="0"/>
        <c:majorTickMark val="out"/>
        <c:minorTickMark val="none"/>
        <c:tickLblPos val="nextTo"/>
        <c:txPr>
          <a:bodyPr/>
          <a:lstStyle/>
          <a:p>
            <a:pPr>
              <a:defRPr sz="700"/>
            </a:pPr>
            <a:endParaRPr lang="en-US"/>
          </a:p>
        </c:txPr>
        <c:crossAx val="168233984"/>
        <c:crosses val="autoZero"/>
        <c:auto val="1"/>
        <c:lblAlgn val="ctr"/>
        <c:lblOffset val="100"/>
        <c:noMultiLvlLbl val="0"/>
      </c:catAx>
      <c:valAx>
        <c:axId val="168233984"/>
        <c:scaling>
          <c:orientation val="minMax"/>
        </c:scaling>
        <c:delete val="0"/>
        <c:axPos val="l"/>
        <c:majorGridlines/>
        <c:numFmt formatCode="0.0" sourceLinked="0"/>
        <c:majorTickMark val="out"/>
        <c:minorTickMark val="none"/>
        <c:tickLblPos val="nextTo"/>
        <c:crossAx val="168232448"/>
        <c:crosses val="autoZero"/>
        <c:crossBetween val="between"/>
        <c:dispUnits>
          <c:builtInUnit val="hundredThousands"/>
        </c:dispUnits>
      </c:valAx>
    </c:plotArea>
    <c:legend>
      <c:legendPos val="b"/>
      <c:layout>
        <c:manualLayout>
          <c:xMode val="edge"/>
          <c:yMode val="edge"/>
          <c:x val="0.17908686192986939"/>
          <c:y val="0.10310655612492883"/>
          <c:w val="0.31063541836031561"/>
          <c:h val="0.2547491958764857"/>
        </c:manualLayout>
      </c:layout>
      <c:overlay val="1"/>
    </c:legend>
    <c:plotVisOnly val="1"/>
    <c:dispBlanksAs val="gap"/>
    <c:showDLblsOverMax val="0"/>
  </c:chart>
  <c:printSettings>
    <c:headerFooter/>
    <c:pageMargins b="0.75000000000000422" l="0.70000000000000062" r="0.70000000000000062" t="0.75000000000000422" header="0.30000000000000032" footer="0.30000000000000032"/>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Sheet1!$D$28</c:f>
              <c:strCache>
                <c:ptCount val="1"/>
                <c:pt idx="0">
                  <c:v>2025-26</c:v>
                </c:pt>
              </c:strCache>
            </c:strRef>
          </c:tx>
          <c:marker>
            <c:symbol val="none"/>
          </c:marker>
          <c:cat>
            <c:strRef>
              <c:f>Sheet1!$C$127:$C$138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Sheet1!$D$127:$D$138</c:f>
              <c:numCache>
                <c:formatCode>General</c:formatCode>
                <c:ptCount val="12"/>
                <c:pt idx="0">
                  <c:v>13934</c:v>
                </c:pt>
                <c:pt idx="1">
                  <c:v>29254</c:v>
                </c:pt>
                <c:pt idx="2">
                  <c:v>42414</c:v>
                </c:pt>
                <c:pt idx="3">
                  <c:v>60530</c:v>
                </c:pt>
                <c:pt idx="4">
                  <c:v>83062</c:v>
                </c:pt>
                <c:pt idx="5">
                  <c:v>107100</c:v>
                </c:pt>
                <c:pt idx="6">
                  <c:v>128821</c:v>
                </c:pt>
                <c:pt idx="7">
                  <c:v>142864</c:v>
                </c:pt>
                <c:pt idx="8">
                  <c:v>195719</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Sheet1!$E$28</c:f>
              <c:strCache>
                <c:ptCount val="1"/>
                <c:pt idx="0">
                  <c:v>2024-25</c:v>
                </c:pt>
              </c:strCache>
            </c:strRef>
          </c:tx>
          <c:marker>
            <c:symbol val="none"/>
          </c:marker>
          <c:cat>
            <c:strRef>
              <c:f>Sheet1!$C$127:$C$138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Sheet1!$E$127:$E$138</c:f>
              <c:numCache>
                <c:formatCode>General</c:formatCode>
                <c:ptCount val="12"/>
                <c:pt idx="0">
                  <c:v>13956</c:v>
                </c:pt>
                <c:pt idx="1">
                  <c:v>28090</c:v>
                </c:pt>
                <c:pt idx="2">
                  <c:v>47065</c:v>
                </c:pt>
                <c:pt idx="3">
                  <c:v>67522</c:v>
                </c:pt>
                <c:pt idx="4">
                  <c:v>94329</c:v>
                </c:pt>
                <c:pt idx="5">
                  <c:v>112959</c:v>
                </c:pt>
                <c:pt idx="6">
                  <c:v>132112</c:v>
                </c:pt>
                <c:pt idx="7">
                  <c:v>154142</c:v>
                </c:pt>
                <c:pt idx="8">
                  <c:v>170175</c:v>
                </c:pt>
                <c:pt idx="9">
                  <c:v>190176</c:v>
                </c:pt>
                <c:pt idx="10">
                  <c:v>204612</c:v>
                </c:pt>
                <c:pt idx="11">
                  <c:v>232896</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8258944"/>
        <c:axId val="168273024"/>
      </c:lineChart>
      <c:catAx>
        <c:axId val="168258944"/>
        <c:scaling>
          <c:orientation val="minMax"/>
        </c:scaling>
        <c:delete val="0"/>
        <c:axPos val="b"/>
        <c:numFmt formatCode="General" sourceLinked="0"/>
        <c:majorTickMark val="out"/>
        <c:minorTickMark val="none"/>
        <c:tickLblPos val="nextTo"/>
        <c:txPr>
          <a:bodyPr/>
          <a:lstStyle/>
          <a:p>
            <a:pPr>
              <a:defRPr sz="700"/>
            </a:pPr>
            <a:endParaRPr lang="en-US"/>
          </a:p>
        </c:txPr>
        <c:crossAx val="168273024"/>
        <c:crosses val="autoZero"/>
        <c:auto val="1"/>
        <c:lblAlgn val="ctr"/>
        <c:lblOffset val="100"/>
        <c:noMultiLvlLbl val="0"/>
      </c:catAx>
      <c:valAx>
        <c:axId val="168273024"/>
        <c:scaling>
          <c:orientation val="minMax"/>
        </c:scaling>
        <c:delete val="0"/>
        <c:axPos val="l"/>
        <c:majorGridlines/>
        <c:numFmt formatCode="0.0" sourceLinked="0"/>
        <c:majorTickMark val="out"/>
        <c:minorTickMark val="none"/>
        <c:tickLblPos val="nextTo"/>
        <c:crossAx val="168258944"/>
        <c:crosses val="autoZero"/>
        <c:crossBetween val="between"/>
        <c:dispUnits>
          <c:builtInUnit val="hundredThousands"/>
        </c:dispUnits>
      </c:valAx>
    </c:plotArea>
    <c:legend>
      <c:legendPos val="b"/>
      <c:layout>
        <c:manualLayout>
          <c:xMode val="edge"/>
          <c:yMode val="edge"/>
          <c:x val="0.17908686192986939"/>
          <c:y val="0.10310655612492883"/>
          <c:w val="0.31063541836031561"/>
          <c:h val="0.2547491958764857"/>
        </c:manualLayout>
      </c:layout>
      <c:overlay val="1"/>
    </c:legend>
    <c:plotVisOnly val="1"/>
    <c:dispBlanksAs val="gap"/>
    <c:showDLblsOverMax val="0"/>
  </c:chart>
  <c:printSettings>
    <c:headerFooter/>
    <c:pageMargins b="0.75000000000000444" l="0.70000000000000062" r="0.70000000000000062" t="0.75000000000000444" header="0.30000000000000032" footer="0.30000000000000032"/>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Sheet1!$D$28</c:f>
              <c:strCache>
                <c:ptCount val="1"/>
                <c:pt idx="0">
                  <c:v>2025-26</c:v>
                </c:pt>
              </c:strCache>
            </c:strRef>
          </c:tx>
          <c:marker>
            <c:symbol val="none"/>
          </c:marker>
          <c:cat>
            <c:strRef>
              <c:f>Sheet1!$C$141:$C$152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Sheet1!$D$141:$D$152</c:f>
              <c:numCache>
                <c:formatCode>General</c:formatCode>
                <c:ptCount val="12"/>
                <c:pt idx="0">
                  <c:v>-39</c:v>
                </c:pt>
                <c:pt idx="1">
                  <c:v>26399</c:v>
                </c:pt>
                <c:pt idx="2">
                  <c:v>55605</c:v>
                </c:pt>
                <c:pt idx="3">
                  <c:v>83963</c:v>
                </c:pt>
                <c:pt idx="4">
                  <c:v>111927</c:v>
                </c:pt>
                <c:pt idx="5">
                  <c:v>138918</c:v>
                </c:pt>
                <c:pt idx="6">
                  <c:v>163206</c:v>
                </c:pt>
                <c:pt idx="7">
                  <c:v>191297</c:v>
                </c:pt>
                <c:pt idx="8">
                  <c:v>219410</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Sheet1!$E$28</c:f>
              <c:strCache>
                <c:ptCount val="1"/>
                <c:pt idx="0">
                  <c:v>2024-25</c:v>
                </c:pt>
              </c:strCache>
            </c:strRef>
          </c:tx>
          <c:marker>
            <c:symbol val="none"/>
          </c:marker>
          <c:cat>
            <c:strRef>
              <c:f>Sheet1!$C$141:$C$152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Sheet1!$E$141:$E$152</c:f>
              <c:numCache>
                <c:formatCode>General</c:formatCode>
                <c:ptCount val="12"/>
                <c:pt idx="0">
                  <c:v>70</c:v>
                </c:pt>
                <c:pt idx="1">
                  <c:v>24317</c:v>
                </c:pt>
                <c:pt idx="2">
                  <c:v>51357</c:v>
                </c:pt>
                <c:pt idx="3">
                  <c:v>76812</c:v>
                </c:pt>
                <c:pt idx="4">
                  <c:v>104006</c:v>
                </c:pt>
                <c:pt idx="5">
                  <c:v>128466</c:v>
                </c:pt>
                <c:pt idx="6">
                  <c:v>151190</c:v>
                </c:pt>
                <c:pt idx="7">
                  <c:v>175100</c:v>
                </c:pt>
                <c:pt idx="8">
                  <c:v>199630</c:v>
                </c:pt>
                <c:pt idx="9">
                  <c:v>225902</c:v>
                </c:pt>
                <c:pt idx="10">
                  <c:v>250194</c:v>
                </c:pt>
                <c:pt idx="11">
                  <c:v>300253</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8375808"/>
        <c:axId val="168377344"/>
      </c:lineChart>
      <c:catAx>
        <c:axId val="168375808"/>
        <c:scaling>
          <c:orientation val="minMax"/>
        </c:scaling>
        <c:delete val="0"/>
        <c:axPos val="b"/>
        <c:numFmt formatCode="General" sourceLinked="0"/>
        <c:majorTickMark val="out"/>
        <c:minorTickMark val="none"/>
        <c:tickLblPos val="nextTo"/>
        <c:txPr>
          <a:bodyPr/>
          <a:lstStyle/>
          <a:p>
            <a:pPr>
              <a:defRPr sz="700"/>
            </a:pPr>
            <a:endParaRPr lang="en-US"/>
          </a:p>
        </c:txPr>
        <c:crossAx val="168377344"/>
        <c:crosses val="autoZero"/>
        <c:auto val="1"/>
        <c:lblAlgn val="ctr"/>
        <c:lblOffset val="100"/>
        <c:noMultiLvlLbl val="0"/>
      </c:catAx>
      <c:valAx>
        <c:axId val="168377344"/>
        <c:scaling>
          <c:orientation val="minMax"/>
        </c:scaling>
        <c:delete val="0"/>
        <c:axPos val="l"/>
        <c:majorGridlines/>
        <c:numFmt formatCode="0.0" sourceLinked="0"/>
        <c:majorTickMark val="out"/>
        <c:minorTickMark val="none"/>
        <c:tickLblPos val="nextTo"/>
        <c:crossAx val="168375808"/>
        <c:crosses val="autoZero"/>
        <c:crossBetween val="between"/>
        <c:dispUnits>
          <c:builtInUnit val="hundredThousands"/>
        </c:dispUnits>
      </c:valAx>
    </c:plotArea>
    <c:legend>
      <c:legendPos val="b"/>
      <c:layout>
        <c:manualLayout>
          <c:xMode val="edge"/>
          <c:yMode val="edge"/>
          <c:x val="0.17908686192986939"/>
          <c:y val="0.10310655612492883"/>
          <c:w val="0.31063541836031561"/>
          <c:h val="0.2547491958764857"/>
        </c:manualLayout>
      </c:layout>
      <c:overlay val="1"/>
    </c:legend>
    <c:plotVisOnly val="1"/>
    <c:dispBlanksAs val="gap"/>
    <c:showDLblsOverMax val="0"/>
  </c:chart>
  <c:printSettings>
    <c:headerFooter/>
    <c:pageMargins b="0.75000000000000466" l="0.70000000000000062" r="0.70000000000000062" t="0.75000000000000466" header="0.30000000000000032" footer="0.30000000000000032"/>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Sheet1!$D$28</c:f>
              <c:strCache>
                <c:ptCount val="1"/>
                <c:pt idx="0">
                  <c:v>2025-26</c:v>
                </c:pt>
              </c:strCache>
            </c:strRef>
          </c:tx>
          <c:marker>
            <c:symbol val="none"/>
          </c:marker>
          <c:cat>
            <c:strRef>
              <c:f>Sheet1!$C$155:$C$166</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Sheet1!$D$155:$D$166</c:f>
              <c:numCache>
                <c:formatCode>General</c:formatCode>
                <c:ptCount val="12"/>
                <c:pt idx="0">
                  <c:v>-39</c:v>
                </c:pt>
                <c:pt idx="1">
                  <c:v>-168</c:v>
                </c:pt>
                <c:pt idx="2">
                  <c:v>-152</c:v>
                </c:pt>
                <c:pt idx="3">
                  <c:v>-168</c:v>
                </c:pt>
                <c:pt idx="4">
                  <c:v>-241</c:v>
                </c:pt>
                <c:pt idx="5">
                  <c:v>-269</c:v>
                </c:pt>
                <c:pt idx="6">
                  <c:v>-1137</c:v>
                </c:pt>
                <c:pt idx="7">
                  <c:v>-1157</c:v>
                </c:pt>
                <c:pt idx="8">
                  <c:v>-1186</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Sheet1!$E$28</c:f>
              <c:strCache>
                <c:ptCount val="1"/>
                <c:pt idx="0">
                  <c:v>2024-25</c:v>
                </c:pt>
              </c:strCache>
            </c:strRef>
          </c:tx>
          <c:marker>
            <c:symbol val="none"/>
          </c:marker>
          <c:cat>
            <c:strRef>
              <c:f>Sheet1!$C$155:$C$166</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Sheet1!$E$155:$E$166</c:f>
              <c:numCache>
                <c:formatCode>General</c:formatCode>
                <c:ptCount val="12"/>
                <c:pt idx="0">
                  <c:v>-97</c:v>
                </c:pt>
                <c:pt idx="1">
                  <c:v>-87</c:v>
                </c:pt>
                <c:pt idx="2">
                  <c:v>-38</c:v>
                </c:pt>
                <c:pt idx="3">
                  <c:v>13</c:v>
                </c:pt>
                <c:pt idx="4">
                  <c:v>32</c:v>
                </c:pt>
                <c:pt idx="5">
                  <c:v>94</c:v>
                </c:pt>
                <c:pt idx="6">
                  <c:v>87</c:v>
                </c:pt>
                <c:pt idx="7">
                  <c:v>96</c:v>
                </c:pt>
                <c:pt idx="8">
                  <c:v>36</c:v>
                </c:pt>
                <c:pt idx="9">
                  <c:v>7</c:v>
                </c:pt>
                <c:pt idx="10">
                  <c:v>9</c:v>
                </c:pt>
                <c:pt idx="11">
                  <c:v>-16</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8390016"/>
        <c:axId val="168412288"/>
      </c:lineChart>
      <c:catAx>
        <c:axId val="168390016"/>
        <c:scaling>
          <c:orientation val="minMax"/>
        </c:scaling>
        <c:delete val="0"/>
        <c:axPos val="b"/>
        <c:numFmt formatCode="General" sourceLinked="0"/>
        <c:majorTickMark val="out"/>
        <c:minorTickMark val="none"/>
        <c:tickLblPos val="nextTo"/>
        <c:txPr>
          <a:bodyPr/>
          <a:lstStyle/>
          <a:p>
            <a:pPr>
              <a:defRPr sz="700"/>
            </a:pPr>
            <a:endParaRPr lang="en-US"/>
          </a:p>
        </c:txPr>
        <c:crossAx val="168412288"/>
        <c:crosses val="autoZero"/>
        <c:auto val="1"/>
        <c:lblAlgn val="ctr"/>
        <c:lblOffset val="100"/>
        <c:noMultiLvlLbl val="0"/>
      </c:catAx>
      <c:valAx>
        <c:axId val="168412288"/>
        <c:scaling>
          <c:orientation val="minMax"/>
        </c:scaling>
        <c:delete val="0"/>
        <c:axPos val="l"/>
        <c:majorGridlines/>
        <c:numFmt formatCode="0.0" sourceLinked="0"/>
        <c:majorTickMark val="out"/>
        <c:minorTickMark val="none"/>
        <c:tickLblPos val="nextTo"/>
        <c:crossAx val="168390016"/>
        <c:crosses val="autoZero"/>
        <c:crossBetween val="between"/>
        <c:dispUnits>
          <c:builtInUnit val="hundredThousands"/>
        </c:dispUnits>
      </c:valAx>
    </c:plotArea>
    <c:legend>
      <c:legendPos val="b"/>
      <c:layout>
        <c:manualLayout>
          <c:xMode val="edge"/>
          <c:yMode val="edge"/>
          <c:x val="0.17908686192986939"/>
          <c:y val="0.10310655612492883"/>
          <c:w val="0.31063541836031561"/>
          <c:h val="0.2547491958764857"/>
        </c:manualLayout>
      </c:layout>
      <c:overlay val="1"/>
    </c:legend>
    <c:plotVisOnly val="1"/>
    <c:dispBlanksAs val="gap"/>
    <c:showDLblsOverMax val="0"/>
  </c:chart>
  <c:printSettings>
    <c:headerFooter/>
    <c:pageMargins b="0.75000000000000488" l="0.70000000000000062" r="0.70000000000000062" t="0.75000000000000488" header="0.30000000000000032" footer="0.30000000000000032"/>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noFill/>
              <a:ln w="22225">
                <a:solidFill>
                  <a:schemeClr val="accent5">
                    <a:lumMod val="75000"/>
                  </a:schemeClr>
                </a:solidFill>
                <a:prstDash val="dash"/>
              </a:ln>
              <a:effectLst/>
            </c:spPr>
            <c:extLst>
              <c:ext xmlns:c16="http://schemas.microsoft.com/office/drawing/2014/chart" uri="{C3380CC4-5D6E-409C-BE32-E72D297353CC}">
                <c16:uniqueId val="{00000002-4662-4FEE-922D-1624795B1A9D}"/>
              </c:ext>
            </c:extLst>
          </c:dPt>
          <c:cat>
            <c:strRef>
              <c:f>Sheet2!$C$5</c:f>
              <c:strCache>
                <c:ptCount val="1"/>
                <c:pt idx="0">
                  <c:v>Total Receipts</c:v>
                </c:pt>
              </c:strCache>
            </c:strRef>
          </c:cat>
          <c:val>
            <c:numRef>
              <c:f>Sheet2!$D$5</c:f>
              <c:numCache>
                <c:formatCode>General</c:formatCode>
                <c:ptCount val="1"/>
                <c:pt idx="0">
                  <c:v>3496409</c:v>
                </c:pt>
              </c:numCache>
            </c:numRef>
          </c:val>
          <c:extLst>
            <c:ext xmlns:c16="http://schemas.microsoft.com/office/drawing/2014/chart" uri="{C3380CC4-5D6E-409C-BE32-E72D297353CC}">
              <c16:uniqueId val="{00000000-4662-4FEE-922D-1624795B1A9D}"/>
            </c:ext>
          </c:extLst>
        </c:ser>
        <c:ser>
          <c:idx val="1"/>
          <c:order val="1"/>
          <c:spPr>
            <a:solidFill>
              <a:schemeClr val="accent2"/>
            </a:solidFill>
            <a:ln>
              <a:noFill/>
            </a:ln>
            <a:effectLst/>
          </c:spPr>
          <c:invertIfNegative val="0"/>
          <c:cat>
            <c:strRef>
              <c:f>Sheet2!$C$5</c:f>
              <c:strCache>
                <c:ptCount val="1"/>
                <c:pt idx="0">
                  <c:v>Total Receipts</c:v>
                </c:pt>
              </c:strCache>
            </c:strRef>
          </c:cat>
          <c:val>
            <c:numRef>
              <c:f>Sheet2!$E$5</c:f>
              <c:numCache>
                <c:formatCode>General</c:formatCode>
                <c:ptCount val="1"/>
                <c:pt idx="0">
                  <c:v>2525156</c:v>
                </c:pt>
              </c:numCache>
            </c:numRef>
          </c:val>
          <c:extLst>
            <c:ext xmlns:c16="http://schemas.microsoft.com/office/drawing/2014/chart" uri="{C3380CC4-5D6E-409C-BE32-E72D297353CC}">
              <c16:uniqueId val="{00000005-4662-4FEE-922D-1624795B1A9D}"/>
            </c:ext>
          </c:extLst>
        </c:ser>
        <c:dLbls>
          <c:showLegendKey val="0"/>
          <c:showVal val="0"/>
          <c:showCatName val="0"/>
          <c:showSerName val="0"/>
          <c:showPercent val="0"/>
          <c:showBubbleSize val="0"/>
        </c:dLbls>
        <c:gapWidth val="28"/>
        <c:overlap val="100"/>
        <c:axId val="166238464"/>
        <c:axId val="166236928"/>
      </c:barChart>
      <c:valAx>
        <c:axId val="166236928"/>
        <c:scaling>
          <c:orientation val="minMax"/>
        </c:scaling>
        <c:delete val="1"/>
        <c:axPos val="r"/>
        <c:numFmt formatCode="General" sourceLinked="1"/>
        <c:majorTickMark val="out"/>
        <c:minorTickMark val="none"/>
        <c:tickLblPos val="nextTo"/>
        <c:crossAx val="166238464"/>
        <c:crosses val="max"/>
        <c:crossBetween val="between"/>
        <c:majorUnit val="100"/>
        <c:minorUnit val="50"/>
      </c:valAx>
      <c:catAx>
        <c:axId val="166238464"/>
        <c:scaling>
          <c:orientation val="minMax"/>
        </c:scaling>
        <c:delete val="1"/>
        <c:axPos val="b"/>
        <c:numFmt formatCode="General" sourceLinked="1"/>
        <c:majorTickMark val="out"/>
        <c:minorTickMark val="none"/>
        <c:tickLblPos val="nextTo"/>
        <c:crossAx val="1662369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322" l="0.70000000000000062" r="0.70000000000000062" t="0.75000000000000322" header="0.30000000000000032" footer="0.30000000000000032"/>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73557409801387"/>
          <c:y val="5.8902275769745702E-2"/>
          <c:w val="0.70530536294903434"/>
          <c:h val="0.759123844459205"/>
        </c:manualLayout>
      </c:layout>
      <c:doughnutChart>
        <c:varyColors val="1"/>
        <c:ser>
          <c:idx val="0"/>
          <c:order val="0"/>
          <c:cat>
            <c:strRef>
              <c:f>Sheet2!$C$23:$C$26</c:f>
              <c:strCache>
                <c:ptCount val="4"/>
                <c:pt idx="0">
                  <c:v>Net Tax Revenue</c:v>
                </c:pt>
                <c:pt idx="1">
                  <c:v>Non Tax Revenue</c:v>
                </c:pt>
                <c:pt idx="2">
                  <c:v>Non Debt Capital Receipts</c:v>
                </c:pt>
                <c:pt idx="3">
                  <c:v>Fiscal Deficit</c:v>
                </c:pt>
              </c:strCache>
            </c:strRef>
          </c:cat>
          <c:val>
            <c:numRef>
              <c:f>Sheet2!$D$23:$D$26</c:f>
              <c:numCache>
                <c:formatCode>General</c:formatCode>
                <c:ptCount val="4"/>
                <c:pt idx="0">
                  <c:v>1939254</c:v>
                </c:pt>
                <c:pt idx="1">
                  <c:v>539855</c:v>
                </c:pt>
                <c:pt idx="2">
                  <c:v>46047</c:v>
                </c:pt>
                <c:pt idx="3">
                  <c:v>855842</c:v>
                </c:pt>
              </c:numCache>
            </c:numRef>
          </c:val>
          <c:extLst>
            <c:ext xmlns:c16="http://schemas.microsoft.com/office/drawing/2014/chart" uri="{C3380CC4-5D6E-409C-BE32-E72D297353CC}">
              <c16:uniqueId val="{00000000-5232-4787-8C30-A194C50B04BA}"/>
            </c:ext>
          </c:extLst>
        </c:ser>
        <c:dLbls>
          <c:showLegendKey val="0"/>
          <c:showVal val="0"/>
          <c:showCatName val="0"/>
          <c:showSerName val="0"/>
          <c:showPercent val="0"/>
          <c:showBubbleSize val="0"/>
          <c:showLeaderLines val="1"/>
        </c:dLbls>
        <c:firstSliceAng val="0"/>
        <c:holeSize val="50"/>
      </c:doughnutChart>
    </c:plotArea>
    <c:legend>
      <c:legendPos val="b"/>
      <c:layout>
        <c:manualLayout>
          <c:xMode val="edge"/>
          <c:yMode val="edge"/>
          <c:x val="0.14467426646296094"/>
          <c:y val="0.82110447037493861"/>
          <c:w val="0.78898382105221576"/>
          <c:h val="0.16292445372039452"/>
        </c:manualLayout>
      </c:layout>
      <c:overlay val="0"/>
      <c:txPr>
        <a:bodyPr/>
        <a:lstStyle/>
        <a:p>
          <a:pPr>
            <a:defRPr sz="700">
              <a:latin typeface="Arial" pitchFamily="34" charset="0"/>
              <a:cs typeface="Arial" pitchFamily="34" charset="0"/>
            </a:defRPr>
          </a:pPr>
          <a:endParaRPr lang="en-US"/>
        </a:p>
      </c:txPr>
    </c:legend>
    <c:plotVisOnly val="1"/>
    <c:dispBlanksAs val="zero"/>
    <c:showDLblsOverMax val="0"/>
  </c:chart>
  <c:printSettings>
    <c:headerFooter/>
    <c:pageMargins b="0.75000000000000311" l="0.70000000000000062" r="0.70000000000000062" t="0.75000000000000311" header="0.30000000000000032" footer="0.30000000000000032"/>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1"/>
          <c:order val="1"/>
          <c:spPr>
            <a:ln>
              <a:noFill/>
            </a:ln>
          </c:spPr>
          <c:dPt>
            <c:idx val="0"/>
            <c:bubble3D val="0"/>
            <c:spPr>
              <a:solidFill>
                <a:schemeClr val="accent3">
                  <a:lumMod val="75000"/>
                </a:schemeClr>
              </a:solidFill>
              <a:ln>
                <a:noFill/>
              </a:ln>
            </c:spPr>
            <c:extLst>
              <c:ext xmlns:c16="http://schemas.microsoft.com/office/drawing/2014/chart" uri="{C3380CC4-5D6E-409C-BE32-E72D297353CC}">
                <c16:uniqueId val="{00000000-AE34-442B-86AD-A522832020ED}"/>
              </c:ext>
            </c:extLst>
          </c:dPt>
          <c:dPt>
            <c:idx val="1"/>
            <c:bubble3D val="0"/>
            <c:spPr>
              <a:solidFill>
                <a:schemeClr val="accent2">
                  <a:lumMod val="75000"/>
                </a:schemeClr>
              </a:solidFill>
              <a:ln>
                <a:noFill/>
              </a:ln>
            </c:spPr>
            <c:extLst>
              <c:ext xmlns:c16="http://schemas.microsoft.com/office/drawing/2014/chart" uri="{C3380CC4-5D6E-409C-BE32-E72D297353CC}">
                <c16:uniqueId val="{00000001-AE34-442B-86AD-A522832020ED}"/>
              </c:ext>
            </c:extLst>
          </c:dPt>
          <c:dLbls>
            <c:dLbl>
              <c:idx val="0"/>
              <c:layout>
                <c:manualLayout>
                  <c:x val="6.4908708286891381E-2"/>
                  <c:y val="-0.2279202279202279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AE34-442B-86AD-A522832020ED}"/>
                </c:ext>
              </c:extLst>
            </c:dLbl>
            <c:dLbl>
              <c:idx val="1"/>
              <c:layout>
                <c:manualLayout>
                  <c:x val="8.1135885358614313E-3"/>
                  <c:y val="1.51943827534378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E34-442B-86AD-A522832020ED}"/>
                </c:ext>
              </c:extLst>
            </c:dLbl>
            <c:dLbl>
              <c:idx val="2"/>
              <c:layout>
                <c:manualLayout>
                  <c:x val="-0.47329266459191627"/>
                  <c:y val="-0.2545109211775881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E72-4274-B5E0-00558E61D20F}"/>
                </c:ext>
              </c:extLst>
            </c:dLbl>
            <c:dLbl>
              <c:idx val="3"/>
              <c:layout>
                <c:manualLayout>
                  <c:x val="-0.47329266459191627"/>
                  <c:y val="-0.25451092117758811"/>
                </c:manualLayout>
              </c:layout>
              <c:spPr/>
              <c:txPr>
                <a:bodyPr/>
                <a:lstStyle/>
                <a:p>
                  <a:pPr>
                    <a:defRPr sz="900">
                      <a:solidFill>
                        <a:schemeClr val="bg1"/>
                      </a:solidFill>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E72-4274-B5E0-00558E61D20F}"/>
                </c:ext>
              </c:extLst>
            </c:dLbl>
            <c:dLbl>
              <c:idx val="4"/>
              <c:layout>
                <c:manualLayout>
                  <c:x val="-0.47329266459191627"/>
                  <c:y val="-0.2051282051282052"/>
                </c:manualLayout>
              </c:layout>
              <c:spPr/>
              <c:txPr>
                <a:bodyPr/>
                <a:lstStyle/>
                <a:p>
                  <a:pPr>
                    <a:defRPr sz="900">
                      <a:solidFill>
                        <a:schemeClr val="bg1"/>
                      </a:solidFill>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E72-4274-B5E0-00558E61D20F}"/>
                </c:ext>
              </c:extLst>
            </c:dLbl>
            <c:dLbl>
              <c:idx val="5"/>
              <c:layout>
                <c:manualLayout>
                  <c:x val="-0.47058813507996294"/>
                  <c:y val="-0.16714150047483381"/>
                </c:manualLayout>
              </c:layout>
              <c:spPr/>
              <c:txPr>
                <a:bodyPr/>
                <a:lstStyle/>
                <a:p>
                  <a:pPr>
                    <a:defRPr sz="900">
                      <a:solidFill>
                        <a:schemeClr val="bg1"/>
                      </a:solidFill>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E72-4274-B5E0-00558E61D20F}"/>
                </c:ext>
              </c:extLst>
            </c:dLbl>
            <c:dLbl>
              <c:idx val="6"/>
              <c:layout>
                <c:manualLayout>
                  <c:x val="0.12111543315276158"/>
                  <c:y val="9.8765132990854931E-2"/>
                </c:manualLayout>
              </c:layout>
              <c:tx>
                <c:rich>
                  <a:bodyPr/>
                  <a:lstStyle/>
                  <a:p>
                    <a:r>
                      <a:rPr lang="en-US" sz="900"/>
                      <a:t>Revenue Expenditure</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6-5E72-4274-B5E0-00558E61D20F}"/>
                </c:ext>
              </c:extLst>
            </c:dLbl>
            <c:spPr>
              <a:noFill/>
              <a:ln>
                <a:noFill/>
              </a:ln>
              <a:effectLst/>
            </c:spPr>
            <c:txPr>
              <a:bodyPr/>
              <a:lstStyle/>
              <a:p>
                <a:pPr>
                  <a:defRPr sz="900"/>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Sheet2!$B$30:$B$36</c:f>
              <c:strCache>
                <c:ptCount val="2"/>
                <c:pt idx="0">
                  <c:v>Revenue Exp</c:v>
                </c:pt>
                <c:pt idx="1">
                  <c:v>Capital Exp</c:v>
                </c:pt>
              </c:strCache>
            </c:strRef>
          </c:cat>
          <c:val>
            <c:numRef>
              <c:f>Sheet2!$F$30:$F$36</c:f>
              <c:numCache>
                <c:formatCode>General</c:formatCode>
                <c:ptCount val="7"/>
                <c:pt idx="0">
                  <c:v>2593063</c:v>
                </c:pt>
                <c:pt idx="1">
                  <c:v>787935</c:v>
                </c:pt>
              </c:numCache>
            </c:numRef>
          </c:val>
          <c:extLst>
            <c:ext xmlns:c16="http://schemas.microsoft.com/office/drawing/2014/chart" uri="{C3380CC4-5D6E-409C-BE32-E72D297353CC}">
              <c16:uniqueId val="{00000002-AE34-442B-86AD-A522832020ED}"/>
            </c:ext>
          </c:extLst>
        </c:ser>
        <c:ser>
          <c:idx val="0"/>
          <c:order val="0"/>
          <c:spPr>
            <a:ln>
              <a:noFill/>
            </a:ln>
          </c:spPr>
          <c:dPt>
            <c:idx val="0"/>
            <c:bubble3D val="0"/>
            <c:spPr>
              <a:solidFill>
                <a:schemeClr val="tx2">
                  <a:lumMod val="60000"/>
                  <a:lumOff val="40000"/>
                </a:schemeClr>
              </a:solidFill>
              <a:ln>
                <a:noFill/>
              </a:ln>
            </c:spPr>
            <c:extLst>
              <c:ext xmlns:c16="http://schemas.microsoft.com/office/drawing/2014/chart" uri="{C3380CC4-5D6E-409C-BE32-E72D297353CC}">
                <c16:uniqueId val="{00000003-AE34-442B-86AD-A522832020ED}"/>
              </c:ext>
            </c:extLst>
          </c:dPt>
          <c:dPt>
            <c:idx val="1"/>
            <c:bubble3D val="0"/>
            <c:spPr>
              <a:solidFill>
                <a:schemeClr val="accent4">
                  <a:lumMod val="60000"/>
                  <a:lumOff val="40000"/>
                </a:schemeClr>
              </a:solidFill>
              <a:ln>
                <a:noFill/>
              </a:ln>
            </c:spPr>
            <c:extLst>
              <c:ext xmlns:c16="http://schemas.microsoft.com/office/drawing/2014/chart" uri="{C3380CC4-5D6E-409C-BE32-E72D297353CC}">
                <c16:uniqueId val="{00000004-AE34-442B-86AD-A522832020ED}"/>
              </c:ext>
            </c:extLst>
          </c:dPt>
          <c:dPt>
            <c:idx val="2"/>
            <c:bubble3D val="0"/>
            <c:spPr>
              <a:solidFill>
                <a:schemeClr val="accent5">
                  <a:lumMod val="60000"/>
                  <a:lumOff val="40000"/>
                </a:schemeClr>
              </a:solidFill>
              <a:ln>
                <a:noFill/>
              </a:ln>
            </c:spPr>
            <c:extLst>
              <c:ext xmlns:c16="http://schemas.microsoft.com/office/drawing/2014/chart" uri="{C3380CC4-5D6E-409C-BE32-E72D297353CC}">
                <c16:uniqueId val="{00000005-AE34-442B-86AD-A522832020ED}"/>
              </c:ext>
            </c:extLst>
          </c:dPt>
          <c:dPt>
            <c:idx val="3"/>
            <c:bubble3D val="0"/>
            <c:spPr>
              <a:solidFill>
                <a:schemeClr val="bg2">
                  <a:lumMod val="50000"/>
                </a:schemeClr>
              </a:solidFill>
              <a:ln>
                <a:noFill/>
              </a:ln>
            </c:spPr>
            <c:extLst>
              <c:ext xmlns:c16="http://schemas.microsoft.com/office/drawing/2014/chart" uri="{C3380CC4-5D6E-409C-BE32-E72D297353CC}">
                <c16:uniqueId val="{00000006-AE34-442B-86AD-A522832020ED}"/>
              </c:ext>
            </c:extLst>
          </c:dPt>
          <c:dPt>
            <c:idx val="4"/>
            <c:bubble3D val="0"/>
            <c:spPr>
              <a:solidFill>
                <a:srgbClr val="92D050"/>
              </a:solidFill>
              <a:ln>
                <a:noFill/>
              </a:ln>
            </c:spPr>
            <c:extLst>
              <c:ext xmlns:c16="http://schemas.microsoft.com/office/drawing/2014/chart" uri="{C3380CC4-5D6E-409C-BE32-E72D297353CC}">
                <c16:uniqueId val="{00000007-AE34-442B-86AD-A522832020ED}"/>
              </c:ext>
            </c:extLst>
          </c:dPt>
          <c:dPt>
            <c:idx val="5"/>
            <c:bubble3D val="0"/>
            <c:spPr>
              <a:solidFill>
                <a:schemeClr val="accent6">
                  <a:lumMod val="75000"/>
                </a:schemeClr>
              </a:solidFill>
              <a:ln>
                <a:noFill/>
              </a:ln>
            </c:spPr>
            <c:extLst>
              <c:ext xmlns:c16="http://schemas.microsoft.com/office/drawing/2014/chart" uri="{C3380CC4-5D6E-409C-BE32-E72D297353CC}">
                <c16:uniqueId val="{00000008-AE34-442B-86AD-A522832020ED}"/>
              </c:ext>
            </c:extLst>
          </c:dPt>
          <c:dPt>
            <c:idx val="6"/>
            <c:bubble3D val="0"/>
            <c:spPr>
              <a:solidFill>
                <a:srgbClr val="C0504D">
                  <a:lumMod val="75000"/>
                </a:srgbClr>
              </a:solidFill>
              <a:ln>
                <a:noFill/>
              </a:ln>
            </c:spPr>
            <c:extLst>
              <c:ext xmlns:c16="http://schemas.microsoft.com/office/drawing/2014/chart" uri="{C3380CC4-5D6E-409C-BE32-E72D297353CC}">
                <c16:uniqueId val="{00000009-AE34-442B-86AD-A522832020ED}"/>
              </c:ext>
            </c:extLst>
          </c:dPt>
          <c:dLbls>
            <c:dLbl>
              <c:idx val="0"/>
              <c:layout>
                <c:manualLayout>
                  <c:x val="4.8681531215168536E-2"/>
                  <c:y val="-3.418803418803420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E34-442B-86AD-A522832020ED}"/>
                </c:ext>
              </c:extLst>
            </c:dLbl>
            <c:dLbl>
              <c:idx val="1"/>
              <c:layout>
                <c:manualLayout>
                  <c:x val="3.2454354143445691E-2"/>
                  <c:y val="-3.7986704653371478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E34-442B-86AD-A522832020ED}"/>
                </c:ext>
              </c:extLst>
            </c:dLbl>
            <c:dLbl>
              <c:idx val="2"/>
              <c:layout>
                <c:manualLayout>
                  <c:x val="5.6795119751029959E-2"/>
                  <c:y val="1.13960113960114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E34-442B-86AD-A522832020ED}"/>
                </c:ext>
              </c:extLst>
            </c:dLbl>
            <c:dLbl>
              <c:idx val="6"/>
              <c:layout>
                <c:manualLayout>
                  <c:x val="1.6227177071722845E-2"/>
                  <c:y val="4.55840455840456E-2"/>
                </c:manualLayout>
              </c:layout>
              <c:tx>
                <c:rich>
                  <a:bodyPr/>
                  <a:lstStyle/>
                  <a:p>
                    <a:r>
                      <a:rPr lang="en-US" sz="900"/>
                      <a:t>Capital Expenditure</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9-AE34-442B-86AD-A522832020ED}"/>
                </c:ext>
              </c:extLst>
            </c:dLbl>
            <c:spPr>
              <a:noFill/>
              <a:ln>
                <a:noFill/>
              </a:ln>
              <a:effectLst/>
            </c:spPr>
            <c:txPr>
              <a:bodyPr/>
              <a:lstStyle/>
              <a:p>
                <a:pPr>
                  <a:defRPr sz="900"/>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Sheet2!$C$30:$C$36</c:f>
              <c:strCache>
                <c:ptCount val="7"/>
                <c:pt idx="0">
                  <c:v>Interest Payments</c:v>
                </c:pt>
                <c:pt idx="1">
                  <c:v>Defence  Services</c:v>
                </c:pt>
                <c:pt idx="2">
                  <c:v>Grants in Aid  to States &amp; UTs</c:v>
                </c:pt>
                <c:pt idx="3">
                  <c:v>Pensions</c:v>
                </c:pt>
                <c:pt idx="4">
                  <c:v>Major Subsidies</c:v>
                </c:pt>
                <c:pt idx="5">
                  <c:v>Other Revenue Expenditure</c:v>
                </c:pt>
                <c:pt idx="6">
                  <c:v>Capital Expenditure</c:v>
                </c:pt>
              </c:strCache>
            </c:strRef>
          </c:cat>
          <c:val>
            <c:numRef>
              <c:f>Sheet2!$D$30:$D$36</c:f>
              <c:numCache>
                <c:formatCode>General</c:formatCode>
                <c:ptCount val="7"/>
                <c:pt idx="0">
                  <c:v>911059</c:v>
                </c:pt>
                <c:pt idx="1">
                  <c:v>233023</c:v>
                </c:pt>
                <c:pt idx="2">
                  <c:v>247273</c:v>
                </c:pt>
                <c:pt idx="3">
                  <c:v>226030</c:v>
                </c:pt>
                <c:pt idx="4">
                  <c:v>317490</c:v>
                </c:pt>
                <c:pt idx="5">
                  <c:v>658188</c:v>
                </c:pt>
                <c:pt idx="6">
                  <c:v>787935</c:v>
                </c:pt>
              </c:numCache>
            </c:numRef>
          </c:val>
          <c:extLst>
            <c:ext xmlns:c16="http://schemas.microsoft.com/office/drawing/2014/chart" uri="{C3380CC4-5D6E-409C-BE32-E72D297353CC}">
              <c16:uniqueId val="{0000000A-AE34-442B-86AD-A522832020ED}"/>
            </c:ext>
          </c:extLst>
        </c:ser>
        <c:dLbls>
          <c:showLegendKey val="0"/>
          <c:showVal val="1"/>
          <c:showCatName val="1"/>
          <c:showSerName val="0"/>
          <c:showPercent val="0"/>
          <c:showBubbleSize val="0"/>
          <c:showLeaderLines val="1"/>
        </c:dLbls>
        <c:firstSliceAng val="0"/>
        <c:holeSize val="39"/>
      </c:doughnutChart>
    </c:plotArea>
    <c:plotVisOnly val="1"/>
    <c:dispBlanksAs val="zero"/>
    <c:showDLblsOverMax val="0"/>
  </c:chart>
  <c:printSettings>
    <c:headerFooter/>
    <c:pageMargins b="0.75000000000000333" l="0.70000000000000062" r="0.70000000000000062" t="0.75000000000000333" header="0.30000000000000032" footer="0.30000000000000032"/>
    <c:pageSetup/>
  </c:printSettings>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strRef>
              <c:f>Sheet2!$D$4</c:f>
              <c:strCache>
                <c:ptCount val="1"/>
                <c:pt idx="0">
                  <c:v>BE</c:v>
                </c:pt>
              </c:strCache>
            </c:strRef>
          </c:tx>
          <c:spPr>
            <a:noFill/>
            <a:ln>
              <a:solidFill>
                <a:srgbClr val="FF0000"/>
              </a:solidFill>
              <a:prstDash val="dash"/>
              <a:round/>
            </a:ln>
          </c:spPr>
          <c:invertIfNegative val="0"/>
          <c:val>
            <c:numRef>
              <c:f>Sheet2!$D$5</c:f>
              <c:numCache>
                <c:formatCode>General</c:formatCode>
                <c:ptCount val="1"/>
                <c:pt idx="0">
                  <c:v>3496409</c:v>
                </c:pt>
              </c:numCache>
            </c:numRef>
          </c:val>
          <c:extLst>
            <c:ext xmlns:c16="http://schemas.microsoft.com/office/drawing/2014/chart" uri="{C3380CC4-5D6E-409C-BE32-E72D297353CC}">
              <c16:uniqueId val="{00000000-259F-47B1-A6AA-DA2CB00B38D0}"/>
            </c:ext>
          </c:extLst>
        </c:ser>
        <c:ser>
          <c:idx val="1"/>
          <c:order val="1"/>
          <c:tx>
            <c:strRef>
              <c:f>Sheet2!$E$4</c:f>
              <c:strCache>
                <c:ptCount val="1"/>
                <c:pt idx="0">
                  <c:v>Actual</c:v>
                </c:pt>
              </c:strCache>
            </c:strRef>
          </c:tx>
          <c:invertIfNegative val="0"/>
          <c:val>
            <c:numRef>
              <c:f>Sheet2!$E$5</c:f>
              <c:numCache>
                <c:formatCode>General</c:formatCode>
                <c:ptCount val="1"/>
                <c:pt idx="0">
                  <c:v>2525156</c:v>
                </c:pt>
              </c:numCache>
            </c:numRef>
          </c:val>
          <c:extLst>
            <c:ext xmlns:c16="http://schemas.microsoft.com/office/drawing/2014/chart" uri="{C3380CC4-5D6E-409C-BE32-E72D297353CC}">
              <c16:uniqueId val="{00000001-259F-47B1-A6AA-DA2CB00B38D0}"/>
            </c:ext>
          </c:extLst>
        </c:ser>
        <c:dLbls>
          <c:showLegendKey val="0"/>
          <c:showVal val="0"/>
          <c:showCatName val="0"/>
          <c:showSerName val="0"/>
          <c:showPercent val="0"/>
          <c:showBubbleSize val="0"/>
        </c:dLbls>
        <c:gapWidth val="10"/>
        <c:overlap val="100"/>
        <c:axId val="167013760"/>
        <c:axId val="167023744"/>
      </c:barChart>
      <c:catAx>
        <c:axId val="167013760"/>
        <c:scaling>
          <c:orientation val="minMax"/>
        </c:scaling>
        <c:delete val="1"/>
        <c:axPos val="l"/>
        <c:majorTickMark val="out"/>
        <c:minorTickMark val="none"/>
        <c:tickLblPos val="nextTo"/>
        <c:crossAx val="167023744"/>
        <c:crosses val="autoZero"/>
        <c:auto val="1"/>
        <c:lblAlgn val="ctr"/>
        <c:lblOffset val="100"/>
        <c:noMultiLvlLbl val="0"/>
      </c:catAx>
      <c:valAx>
        <c:axId val="167023744"/>
        <c:scaling>
          <c:orientation val="minMax"/>
        </c:scaling>
        <c:delete val="1"/>
        <c:axPos val="b"/>
        <c:numFmt formatCode="General" sourceLinked="1"/>
        <c:majorTickMark val="out"/>
        <c:minorTickMark val="none"/>
        <c:tickLblPos val="nextTo"/>
        <c:crossAx val="167013760"/>
        <c:crosses val="autoZero"/>
        <c:crossBetween val="between"/>
        <c:majorUnit val="500"/>
      </c:valAx>
    </c:plotArea>
    <c:legend>
      <c:legendPos val="r"/>
      <c:overlay val="0"/>
    </c:legend>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strRef>
              <c:f>Sheet2!$D$4</c:f>
              <c:strCache>
                <c:ptCount val="1"/>
                <c:pt idx="0">
                  <c:v>BE</c:v>
                </c:pt>
              </c:strCache>
            </c:strRef>
          </c:tx>
          <c:spPr>
            <a:noFill/>
            <a:ln>
              <a:solidFill>
                <a:srgbClr val="FF0000"/>
              </a:solidFill>
              <a:prstDash val="dash"/>
              <a:round/>
            </a:ln>
          </c:spPr>
          <c:invertIfNegative val="0"/>
          <c:val>
            <c:numRef>
              <c:f>Sheet2!$D$5</c:f>
              <c:numCache>
                <c:formatCode>General</c:formatCode>
                <c:ptCount val="1"/>
                <c:pt idx="0">
                  <c:v>3496409</c:v>
                </c:pt>
              </c:numCache>
            </c:numRef>
          </c:val>
          <c:extLst>
            <c:ext xmlns:c16="http://schemas.microsoft.com/office/drawing/2014/chart" uri="{C3380CC4-5D6E-409C-BE32-E72D297353CC}">
              <c16:uniqueId val="{00000000-0A86-4D91-B8D1-D212C37DD12B}"/>
            </c:ext>
          </c:extLst>
        </c:ser>
        <c:ser>
          <c:idx val="1"/>
          <c:order val="1"/>
          <c:tx>
            <c:strRef>
              <c:f>Sheet2!$E$4</c:f>
              <c:strCache>
                <c:ptCount val="1"/>
                <c:pt idx="0">
                  <c:v>Actual</c:v>
                </c:pt>
              </c:strCache>
            </c:strRef>
          </c:tx>
          <c:invertIfNegative val="0"/>
          <c:val>
            <c:numRef>
              <c:f>Sheet2!$E$5</c:f>
              <c:numCache>
                <c:formatCode>General</c:formatCode>
                <c:ptCount val="1"/>
                <c:pt idx="0">
                  <c:v>2525156</c:v>
                </c:pt>
              </c:numCache>
            </c:numRef>
          </c:val>
          <c:extLst>
            <c:ext xmlns:c16="http://schemas.microsoft.com/office/drawing/2014/chart" uri="{C3380CC4-5D6E-409C-BE32-E72D297353CC}">
              <c16:uniqueId val="{00000001-0A86-4D91-B8D1-D212C37DD12B}"/>
            </c:ext>
          </c:extLst>
        </c:ser>
        <c:dLbls>
          <c:showLegendKey val="0"/>
          <c:showVal val="0"/>
          <c:showCatName val="0"/>
          <c:showSerName val="0"/>
          <c:showPercent val="0"/>
          <c:showBubbleSize val="0"/>
        </c:dLbls>
        <c:gapWidth val="10"/>
        <c:overlap val="100"/>
        <c:axId val="167193984"/>
        <c:axId val="167203968"/>
      </c:barChart>
      <c:lineChart>
        <c:grouping val="percentStacked"/>
        <c:varyColors val="0"/>
        <c:ser>
          <c:idx val="2"/>
          <c:order val="2"/>
          <c:tx>
            <c:strRef>
              <c:f>Sheet2!$F$4</c:f>
              <c:strCache>
                <c:ptCount val="1"/>
                <c:pt idx="0">
                  <c:v>%</c:v>
                </c:pt>
              </c:strCache>
            </c:strRef>
          </c:tx>
          <c:marker>
            <c:symbol val="none"/>
          </c:marker>
          <c:val>
            <c:numRef>
              <c:f>Sheet2!$F$5</c:f>
              <c:numCache>
                <c:formatCode>0%</c:formatCode>
                <c:ptCount val="1"/>
                <c:pt idx="0">
                  <c:v>0.72221413455920058</c:v>
                </c:pt>
              </c:numCache>
            </c:numRef>
          </c:val>
          <c:smooth val="0"/>
          <c:extLst>
            <c:ext xmlns:c16="http://schemas.microsoft.com/office/drawing/2014/chart" uri="{C3380CC4-5D6E-409C-BE32-E72D297353CC}">
              <c16:uniqueId val="{00000002-0A86-4D91-B8D1-D212C37DD12B}"/>
            </c:ext>
          </c:extLst>
        </c:ser>
        <c:dLbls>
          <c:showLegendKey val="0"/>
          <c:showVal val="0"/>
          <c:showCatName val="0"/>
          <c:showSerName val="0"/>
          <c:showPercent val="0"/>
          <c:showBubbleSize val="0"/>
        </c:dLbls>
        <c:marker val="1"/>
        <c:smooth val="0"/>
        <c:axId val="167207296"/>
        <c:axId val="167205504"/>
      </c:lineChart>
      <c:catAx>
        <c:axId val="167193984"/>
        <c:scaling>
          <c:orientation val="minMax"/>
        </c:scaling>
        <c:delete val="1"/>
        <c:axPos val="l"/>
        <c:majorTickMark val="out"/>
        <c:minorTickMark val="none"/>
        <c:tickLblPos val="nextTo"/>
        <c:crossAx val="167203968"/>
        <c:crosses val="autoZero"/>
        <c:auto val="1"/>
        <c:lblAlgn val="ctr"/>
        <c:lblOffset val="100"/>
        <c:noMultiLvlLbl val="0"/>
      </c:catAx>
      <c:valAx>
        <c:axId val="167203968"/>
        <c:scaling>
          <c:orientation val="minMax"/>
        </c:scaling>
        <c:delete val="1"/>
        <c:axPos val="b"/>
        <c:numFmt formatCode="General" sourceLinked="1"/>
        <c:majorTickMark val="out"/>
        <c:minorTickMark val="none"/>
        <c:tickLblPos val="nextTo"/>
        <c:crossAx val="167193984"/>
        <c:crosses val="autoZero"/>
        <c:crossBetween val="between"/>
        <c:majorUnit val="500"/>
      </c:valAx>
      <c:valAx>
        <c:axId val="167205504"/>
        <c:scaling>
          <c:orientation val="minMax"/>
        </c:scaling>
        <c:delete val="0"/>
        <c:axPos val="r"/>
        <c:numFmt formatCode="0%" sourceLinked="1"/>
        <c:majorTickMark val="out"/>
        <c:minorTickMark val="none"/>
        <c:tickLblPos val="nextTo"/>
        <c:crossAx val="167207296"/>
        <c:crosses val="max"/>
        <c:crossBetween val="between"/>
      </c:valAx>
      <c:catAx>
        <c:axId val="167207296"/>
        <c:scaling>
          <c:orientation val="minMax"/>
        </c:scaling>
        <c:delete val="1"/>
        <c:axPos val="b"/>
        <c:majorTickMark val="out"/>
        <c:minorTickMark val="none"/>
        <c:tickLblPos val="nextTo"/>
        <c:crossAx val="167205504"/>
        <c:crosses val="autoZero"/>
        <c:auto val="1"/>
        <c:lblAlgn val="ctr"/>
        <c:lblOffset val="100"/>
        <c:noMultiLvlLbl val="0"/>
      </c:catAx>
    </c:plotArea>
    <c:legend>
      <c:legendPos val="r"/>
      <c:legendEntry>
        <c:idx val="2"/>
        <c:delete val="1"/>
      </c:legendEntry>
      <c:overlay val="0"/>
    </c:legend>
    <c:plotVisOnly val="1"/>
    <c:dispBlanksAs val="zero"/>
    <c:showDLblsOverMax val="0"/>
  </c:chart>
  <c:printSettings>
    <c:headerFooter/>
    <c:pageMargins b="0.75000000000000266" l="0.70000000000000062" r="0.70000000000000062" t="0.75000000000000266" header="0.30000000000000032" footer="0.30000000000000032"/>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Sheet2!$E$42</c:f>
              <c:strCache>
                <c:ptCount val="1"/>
                <c:pt idx="0">
                  <c:v>2025-26</c:v>
                </c:pt>
              </c:strCache>
            </c:strRef>
          </c:tx>
          <c:marker>
            <c:symbol val="none"/>
          </c:marker>
          <c:cat>
            <c:strRef>
              <c:f>Sheet2!$D$43:$D$54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Sheet2!$E$43:$E$54</c:f>
              <c:numCache>
                <c:formatCode>General</c:formatCode>
                <c:ptCount val="12"/>
                <c:pt idx="0">
                  <c:v>189669</c:v>
                </c:pt>
                <c:pt idx="1">
                  <c:v>350862</c:v>
                </c:pt>
                <c:pt idx="2">
                  <c:v>540316</c:v>
                </c:pt>
                <c:pt idx="3">
                  <c:v>661812</c:v>
                </c:pt>
                <c:pt idx="4">
                  <c:v>810407</c:v>
                </c:pt>
                <c:pt idx="5">
                  <c:v>1229370</c:v>
                </c:pt>
                <c:pt idx="6">
                  <c:v>1274301</c:v>
                </c:pt>
                <c:pt idx="7">
                  <c:v>1393946</c:v>
                </c:pt>
                <c:pt idx="8">
                  <c:v>1939254</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Sheet2!$F$42</c:f>
              <c:strCache>
                <c:ptCount val="1"/>
                <c:pt idx="0">
                  <c:v>2024-25</c:v>
                </c:pt>
              </c:strCache>
            </c:strRef>
          </c:tx>
          <c:marker>
            <c:symbol val="none"/>
          </c:marker>
          <c:cat>
            <c:strRef>
              <c:f>Sheet2!$D$43:$D$54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Sheet2!$F$43:$F$54</c:f>
              <c:numCache>
                <c:formatCode>General</c:formatCode>
                <c:ptCount val="12"/>
                <c:pt idx="0">
                  <c:v>184998</c:v>
                </c:pt>
                <c:pt idx="1">
                  <c:v>319036</c:v>
                </c:pt>
                <c:pt idx="2">
                  <c:v>549633</c:v>
                </c:pt>
                <c:pt idx="3">
                  <c:v>715224</c:v>
                </c:pt>
                <c:pt idx="4">
                  <c:v>873845</c:v>
                </c:pt>
                <c:pt idx="5">
                  <c:v>1265159</c:v>
                </c:pt>
                <c:pt idx="6">
                  <c:v>1304973</c:v>
                </c:pt>
                <c:pt idx="7">
                  <c:v>1443435</c:v>
                </c:pt>
                <c:pt idx="8">
                  <c:v>1843053</c:v>
                </c:pt>
                <c:pt idx="9">
                  <c:v>1903558</c:v>
                </c:pt>
                <c:pt idx="10">
                  <c:v>2015634</c:v>
                </c:pt>
                <c:pt idx="11">
                  <c:v>2498885</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7245696"/>
        <c:axId val="167247232"/>
      </c:lineChart>
      <c:catAx>
        <c:axId val="167245696"/>
        <c:scaling>
          <c:orientation val="minMax"/>
        </c:scaling>
        <c:delete val="0"/>
        <c:axPos val="b"/>
        <c:numFmt formatCode="General" sourceLinked="0"/>
        <c:majorTickMark val="out"/>
        <c:minorTickMark val="none"/>
        <c:tickLblPos val="nextTo"/>
        <c:txPr>
          <a:bodyPr/>
          <a:lstStyle/>
          <a:p>
            <a:pPr>
              <a:defRPr sz="700"/>
            </a:pPr>
            <a:endParaRPr lang="en-US"/>
          </a:p>
        </c:txPr>
        <c:crossAx val="167247232"/>
        <c:crosses val="autoZero"/>
        <c:auto val="1"/>
        <c:lblAlgn val="ctr"/>
        <c:lblOffset val="100"/>
        <c:noMultiLvlLbl val="0"/>
      </c:catAx>
      <c:valAx>
        <c:axId val="167247232"/>
        <c:scaling>
          <c:orientation val="minMax"/>
        </c:scaling>
        <c:delete val="0"/>
        <c:axPos val="l"/>
        <c:majorGridlines/>
        <c:numFmt formatCode="General" sourceLinked="1"/>
        <c:majorTickMark val="out"/>
        <c:minorTickMark val="none"/>
        <c:tickLblPos val="nextTo"/>
        <c:crossAx val="167245696"/>
        <c:crosses val="autoZero"/>
        <c:crossBetween val="between"/>
        <c:dispUnits>
          <c:builtInUnit val="hundredThousands"/>
        </c:dispUnits>
      </c:valAx>
    </c:plotArea>
    <c:legend>
      <c:legendPos val="b"/>
      <c:layout>
        <c:manualLayout>
          <c:xMode val="edge"/>
          <c:yMode val="edge"/>
          <c:x val="0.17908686192986939"/>
          <c:y val="0.10310655612492883"/>
          <c:w val="0.31063541836031561"/>
          <c:h val="0.15615214764821064"/>
        </c:manualLayout>
      </c:layout>
      <c:overlay val="1"/>
    </c:legend>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Sheet2!$E$42</c:f>
              <c:strCache>
                <c:ptCount val="1"/>
                <c:pt idx="0">
                  <c:v>2025-26</c:v>
                </c:pt>
              </c:strCache>
            </c:strRef>
          </c:tx>
          <c:marker>
            <c:symbol val="none"/>
          </c:marker>
          <c:cat>
            <c:strRef>
              <c:f>Sheet2!$D$59:$D$70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Sheet2!$E$59:$E$70</c:f>
              <c:numCache>
                <c:formatCode>General</c:formatCode>
                <c:ptCount val="12"/>
                <c:pt idx="0">
                  <c:v>67160</c:v>
                </c:pt>
                <c:pt idx="1">
                  <c:v>356877</c:v>
                </c:pt>
                <c:pt idx="2">
                  <c:v>373061</c:v>
                </c:pt>
                <c:pt idx="3">
                  <c:v>403608</c:v>
                </c:pt>
                <c:pt idx="4">
                  <c:v>440332</c:v>
                </c:pt>
                <c:pt idx="5">
                  <c:v>466076</c:v>
                </c:pt>
                <c:pt idx="6">
                  <c:v>489079</c:v>
                </c:pt>
                <c:pt idx="7">
                  <c:v>516366</c:v>
                </c:pt>
                <c:pt idx="8">
                  <c:v>539855</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Sheet2!$F$42</c:f>
              <c:strCache>
                <c:ptCount val="1"/>
                <c:pt idx="0">
                  <c:v>2024-25</c:v>
                </c:pt>
              </c:strCache>
            </c:strRef>
          </c:tx>
          <c:marker>
            <c:symbol val="none"/>
          </c:marker>
          <c:cat>
            <c:strRef>
              <c:f>Sheet2!$D$59:$D$70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Sheet2!$F$59:$F$70</c:f>
              <c:numCache>
                <c:formatCode>General</c:formatCode>
                <c:ptCount val="12"/>
                <c:pt idx="0">
                  <c:v>27295</c:v>
                </c:pt>
                <c:pt idx="1">
                  <c:v>251722</c:v>
                </c:pt>
                <c:pt idx="2">
                  <c:v>280044</c:v>
                </c:pt>
                <c:pt idx="3">
                  <c:v>301796</c:v>
                </c:pt>
                <c:pt idx="4">
                  <c:v>334467</c:v>
                </c:pt>
                <c:pt idx="5">
                  <c:v>357214</c:v>
                </c:pt>
                <c:pt idx="6">
                  <c:v>399294</c:v>
                </c:pt>
                <c:pt idx="7">
                  <c:v>427020</c:v>
                </c:pt>
                <c:pt idx="8">
                  <c:v>447657</c:v>
                </c:pt>
                <c:pt idx="9">
                  <c:v>467630</c:v>
                </c:pt>
                <c:pt idx="10">
                  <c:v>493319</c:v>
                </c:pt>
                <c:pt idx="11">
                  <c:v>537544</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7149568"/>
        <c:axId val="167151104"/>
      </c:lineChart>
      <c:catAx>
        <c:axId val="167149568"/>
        <c:scaling>
          <c:orientation val="minMax"/>
        </c:scaling>
        <c:delete val="0"/>
        <c:axPos val="b"/>
        <c:numFmt formatCode="General" sourceLinked="0"/>
        <c:majorTickMark val="out"/>
        <c:minorTickMark val="none"/>
        <c:tickLblPos val="nextTo"/>
        <c:txPr>
          <a:bodyPr/>
          <a:lstStyle/>
          <a:p>
            <a:pPr>
              <a:defRPr sz="700"/>
            </a:pPr>
            <a:endParaRPr lang="en-US"/>
          </a:p>
        </c:txPr>
        <c:crossAx val="167151104"/>
        <c:crosses val="autoZero"/>
        <c:auto val="1"/>
        <c:lblAlgn val="ctr"/>
        <c:lblOffset val="100"/>
        <c:noMultiLvlLbl val="0"/>
      </c:catAx>
      <c:valAx>
        <c:axId val="167151104"/>
        <c:scaling>
          <c:orientation val="minMax"/>
        </c:scaling>
        <c:delete val="0"/>
        <c:axPos val="l"/>
        <c:majorGridlines/>
        <c:numFmt formatCode="0" sourceLinked="0"/>
        <c:majorTickMark val="out"/>
        <c:minorTickMark val="none"/>
        <c:tickLblPos val="nextTo"/>
        <c:crossAx val="167149568"/>
        <c:crosses val="autoZero"/>
        <c:crossBetween val="between"/>
        <c:dispUnits>
          <c:builtInUnit val="hundredThousands"/>
        </c:dispUnits>
      </c:valAx>
    </c:plotArea>
    <c:legend>
      <c:legendPos val="b"/>
      <c:layout>
        <c:manualLayout>
          <c:xMode val="edge"/>
          <c:yMode val="edge"/>
          <c:x val="0.17908686192986939"/>
          <c:y val="0.10310655612492883"/>
          <c:w val="0.31063541836031561"/>
          <c:h val="0.2547491958764857"/>
        </c:manualLayout>
      </c:layout>
      <c:overlay val="1"/>
    </c:legend>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Sheet2!$E$42</c:f>
              <c:strCache>
                <c:ptCount val="1"/>
                <c:pt idx="0">
                  <c:v>2025-26</c:v>
                </c:pt>
              </c:strCache>
            </c:strRef>
          </c:tx>
          <c:marker>
            <c:symbol val="none"/>
          </c:marker>
          <c:cat>
            <c:strRef>
              <c:f>Sheet2!$D$74:$D$85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Sheet2!$E$74:$E$85</c:f>
              <c:numCache>
                <c:formatCode>General</c:formatCode>
                <c:ptCount val="12"/>
                <c:pt idx="0">
                  <c:v>22459</c:v>
                </c:pt>
                <c:pt idx="1">
                  <c:v>25224</c:v>
                </c:pt>
                <c:pt idx="2">
                  <c:v>28018</c:v>
                </c:pt>
                <c:pt idx="3">
                  <c:v>29789</c:v>
                </c:pt>
                <c:pt idx="4">
                  <c:v>31970</c:v>
                </c:pt>
                <c:pt idx="5">
                  <c:v>34770</c:v>
                </c:pt>
                <c:pt idx="6">
                  <c:v>37095</c:v>
                </c:pt>
                <c:pt idx="7">
                  <c:v>38927</c:v>
                </c:pt>
                <c:pt idx="8">
                  <c:v>46047</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Sheet2!$F$42</c:f>
              <c:strCache>
                <c:ptCount val="1"/>
                <c:pt idx="0">
                  <c:v>2024-25</c:v>
                </c:pt>
              </c:strCache>
            </c:strRef>
          </c:tx>
          <c:marker>
            <c:symbol val="none"/>
          </c:marker>
          <c:cat>
            <c:strRef>
              <c:f>Sheet2!$D$74:$D$85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Sheet2!$F$74:$F$85</c:f>
              <c:numCache>
                <c:formatCode>General</c:formatCode>
                <c:ptCount val="12"/>
                <c:pt idx="0">
                  <c:v>1041</c:v>
                </c:pt>
                <c:pt idx="1">
                  <c:v>2087</c:v>
                </c:pt>
                <c:pt idx="2">
                  <c:v>4520</c:v>
                </c:pt>
                <c:pt idx="3">
                  <c:v>6386</c:v>
                </c:pt>
                <c:pt idx="4">
                  <c:v>8866</c:v>
                </c:pt>
                <c:pt idx="5">
                  <c:v>14601</c:v>
                </c:pt>
                <c:pt idx="6">
                  <c:v>18807</c:v>
                </c:pt>
                <c:pt idx="7">
                  <c:v>23953</c:v>
                </c:pt>
                <c:pt idx="8">
                  <c:v>27295</c:v>
                </c:pt>
                <c:pt idx="9">
                  <c:v>29224</c:v>
                </c:pt>
                <c:pt idx="10">
                  <c:v>37364</c:v>
                </c:pt>
                <c:pt idx="11">
                  <c:v>41818</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7241216"/>
        <c:axId val="167242752"/>
      </c:lineChart>
      <c:catAx>
        <c:axId val="167241216"/>
        <c:scaling>
          <c:orientation val="minMax"/>
        </c:scaling>
        <c:delete val="0"/>
        <c:axPos val="b"/>
        <c:numFmt formatCode="General" sourceLinked="0"/>
        <c:majorTickMark val="out"/>
        <c:minorTickMark val="none"/>
        <c:tickLblPos val="nextTo"/>
        <c:txPr>
          <a:bodyPr/>
          <a:lstStyle/>
          <a:p>
            <a:pPr>
              <a:defRPr sz="700"/>
            </a:pPr>
            <a:endParaRPr lang="en-US"/>
          </a:p>
        </c:txPr>
        <c:crossAx val="167242752"/>
        <c:crosses val="autoZero"/>
        <c:auto val="1"/>
        <c:lblAlgn val="ctr"/>
        <c:lblOffset val="100"/>
        <c:noMultiLvlLbl val="0"/>
      </c:catAx>
      <c:valAx>
        <c:axId val="167242752"/>
        <c:scaling>
          <c:orientation val="minMax"/>
        </c:scaling>
        <c:delete val="0"/>
        <c:axPos val="l"/>
        <c:majorGridlines/>
        <c:numFmt formatCode="0.0" sourceLinked="0"/>
        <c:majorTickMark val="out"/>
        <c:minorTickMark val="none"/>
        <c:tickLblPos val="nextTo"/>
        <c:crossAx val="167241216"/>
        <c:crosses val="autoZero"/>
        <c:crossBetween val="between"/>
        <c:dispUnits>
          <c:builtInUnit val="hundredThousands"/>
        </c:dispUnits>
      </c:valAx>
    </c:plotArea>
    <c:legend>
      <c:legendPos val="b"/>
      <c:layout>
        <c:manualLayout>
          <c:xMode val="edge"/>
          <c:yMode val="edge"/>
          <c:x val="0.17908686192986939"/>
          <c:y val="0.10310655612492883"/>
          <c:w val="0.31063541836031561"/>
          <c:h val="0.2547491958764857"/>
        </c:manualLayout>
      </c:layout>
      <c:overlay val="1"/>
    </c:legend>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Sheet2!$E$42</c:f>
              <c:strCache>
                <c:ptCount val="1"/>
                <c:pt idx="0">
                  <c:v>2025-26</c:v>
                </c:pt>
              </c:strCache>
            </c:strRef>
          </c:tx>
          <c:marker>
            <c:symbol val="none"/>
          </c:marker>
          <c:cat>
            <c:strRef>
              <c:f>Sheet2!$D$89:$D$100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Sheet2!$E$89:$E$100</c:f>
              <c:numCache>
                <c:formatCode>General</c:formatCode>
                <c:ptCount val="12"/>
                <c:pt idx="0">
                  <c:v>305830</c:v>
                </c:pt>
                <c:pt idx="1">
                  <c:v>524772</c:v>
                </c:pt>
                <c:pt idx="2">
                  <c:v>946995</c:v>
                </c:pt>
                <c:pt idx="3">
                  <c:v>1216699</c:v>
                </c:pt>
                <c:pt idx="4">
                  <c:v>1449283</c:v>
                </c:pt>
                <c:pt idx="5">
                  <c:v>1722593</c:v>
                </c:pt>
                <c:pt idx="6">
                  <c:v>2007876</c:v>
                </c:pt>
                <c:pt idx="7">
                  <c:v>2267700</c:v>
                </c:pt>
                <c:pt idx="8">
                  <c:v>2593063</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Sheet2!$F$42</c:f>
              <c:strCache>
                <c:ptCount val="1"/>
                <c:pt idx="0">
                  <c:v>2024-25</c:v>
                </c:pt>
              </c:strCache>
            </c:strRef>
          </c:tx>
          <c:marker>
            <c:symbol val="none"/>
          </c:marker>
          <c:cat>
            <c:strRef>
              <c:f>Sheet2!$D$89:$D$100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Sheet2!$F$89:$F$100</c:f>
              <c:numCache>
                <c:formatCode>General</c:formatCode>
                <c:ptCount val="12"/>
                <c:pt idx="0">
                  <c:v>324235</c:v>
                </c:pt>
                <c:pt idx="1">
                  <c:v>479835</c:v>
                </c:pt>
                <c:pt idx="2">
                  <c:v>788858</c:v>
                </c:pt>
                <c:pt idx="3">
                  <c:v>1039091</c:v>
                </c:pt>
                <c:pt idx="4">
                  <c:v>1351367</c:v>
                </c:pt>
                <c:pt idx="5">
                  <c:v>1696528</c:v>
                </c:pt>
                <c:pt idx="6">
                  <c:v>2007353</c:v>
                </c:pt>
                <c:pt idx="7">
                  <c:v>2227502</c:v>
                </c:pt>
                <c:pt idx="8">
                  <c:v>2546757</c:v>
                </c:pt>
                <c:pt idx="9">
                  <c:v>2812595</c:v>
                </c:pt>
                <c:pt idx="10">
                  <c:v>3081282</c:v>
                </c:pt>
                <c:pt idx="11">
                  <c:v>3603510</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7275904"/>
        <c:axId val="167302272"/>
      </c:lineChart>
      <c:catAx>
        <c:axId val="167275904"/>
        <c:scaling>
          <c:orientation val="minMax"/>
        </c:scaling>
        <c:delete val="0"/>
        <c:axPos val="b"/>
        <c:numFmt formatCode="General" sourceLinked="0"/>
        <c:majorTickMark val="out"/>
        <c:minorTickMark val="none"/>
        <c:tickLblPos val="nextTo"/>
        <c:txPr>
          <a:bodyPr/>
          <a:lstStyle/>
          <a:p>
            <a:pPr>
              <a:defRPr sz="700"/>
            </a:pPr>
            <a:endParaRPr lang="en-US"/>
          </a:p>
        </c:txPr>
        <c:crossAx val="167302272"/>
        <c:crosses val="autoZero"/>
        <c:auto val="1"/>
        <c:lblAlgn val="ctr"/>
        <c:lblOffset val="100"/>
        <c:noMultiLvlLbl val="0"/>
      </c:catAx>
      <c:valAx>
        <c:axId val="167302272"/>
        <c:scaling>
          <c:orientation val="minMax"/>
        </c:scaling>
        <c:delete val="0"/>
        <c:axPos val="l"/>
        <c:majorGridlines/>
        <c:numFmt formatCode="0.0" sourceLinked="0"/>
        <c:majorTickMark val="out"/>
        <c:minorTickMark val="none"/>
        <c:tickLblPos val="nextTo"/>
        <c:crossAx val="167275904"/>
        <c:crosses val="autoZero"/>
        <c:crossBetween val="between"/>
        <c:dispUnits>
          <c:builtInUnit val="hundredThousands"/>
        </c:dispUnits>
      </c:valAx>
    </c:plotArea>
    <c:legend>
      <c:legendPos val="b"/>
      <c:layout>
        <c:manualLayout>
          <c:xMode val="edge"/>
          <c:yMode val="edge"/>
          <c:x val="0.17908686192986939"/>
          <c:y val="0.10310655612492883"/>
          <c:w val="0.31063541836031561"/>
          <c:h val="0.2547491958764857"/>
        </c:manualLayout>
      </c:layout>
      <c:overlay val="1"/>
    </c:legend>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Sheet2!$F$104</c:f>
              <c:strCache>
                <c:ptCount val="1"/>
                <c:pt idx="0">
                  <c:v>Dec-25</c:v>
                </c:pt>
              </c:strCache>
            </c:strRef>
          </c:tx>
          <c:spPr>
            <a:solidFill>
              <a:schemeClr val="accent2"/>
            </a:solidFill>
            <a:ln>
              <a:noFill/>
            </a:ln>
            <a:effectLst/>
          </c:spPr>
          <c:invertIfNegative val="0"/>
          <c:cat>
            <c:strRef>
              <c:f>Sheet2!$D$105:$D$110</c:f>
              <c:strCache>
                <c:ptCount val="6"/>
                <c:pt idx="0">
                  <c:v>Interest Payments</c:v>
                </c:pt>
                <c:pt idx="1">
                  <c:v>Defence  Services</c:v>
                </c:pt>
                <c:pt idx="2">
                  <c:v>Grants in Aid  to States &amp; UTs</c:v>
                </c:pt>
                <c:pt idx="3">
                  <c:v>Pensions</c:v>
                </c:pt>
                <c:pt idx="4">
                  <c:v>Major Subsidies</c:v>
                </c:pt>
                <c:pt idx="5">
                  <c:v>Other Revenue Expenditure</c:v>
                </c:pt>
              </c:strCache>
            </c:strRef>
          </c:cat>
          <c:val>
            <c:numRef>
              <c:f>Sheet2!$F$105:$F$110</c:f>
              <c:numCache>
                <c:formatCode>General</c:formatCode>
                <c:ptCount val="6"/>
                <c:pt idx="0">
                  <c:v>911059</c:v>
                </c:pt>
                <c:pt idx="1">
                  <c:v>233023</c:v>
                </c:pt>
                <c:pt idx="2">
                  <c:v>247273</c:v>
                </c:pt>
                <c:pt idx="3">
                  <c:v>226030</c:v>
                </c:pt>
                <c:pt idx="4">
                  <c:v>317490</c:v>
                </c:pt>
                <c:pt idx="5">
                  <c:v>658188</c:v>
                </c:pt>
              </c:numCache>
            </c:numRef>
          </c:val>
          <c:extLst>
            <c:ext xmlns:c16="http://schemas.microsoft.com/office/drawing/2014/chart" uri="{C3380CC4-5D6E-409C-BE32-E72D297353CC}">
              <c16:uniqueId val="{00000001-BECE-4F89-B381-8D867BBF2EDD}"/>
            </c:ext>
          </c:extLst>
        </c:ser>
        <c:ser>
          <c:idx val="3"/>
          <c:order val="3"/>
          <c:tx>
            <c:strRef>
              <c:f>Sheet2!$H$104</c:f>
              <c:strCache>
                <c:ptCount val="1"/>
                <c:pt idx="0">
                  <c:v>Dec-24</c:v>
                </c:pt>
              </c:strCache>
            </c:strRef>
          </c:tx>
          <c:spPr>
            <a:solidFill>
              <a:schemeClr val="accent4"/>
            </a:solidFill>
            <a:ln>
              <a:noFill/>
            </a:ln>
            <a:effectLst/>
          </c:spPr>
          <c:invertIfNegative val="0"/>
          <c:cat>
            <c:strRef>
              <c:f>Sheet2!$D$105:$D$110</c:f>
              <c:strCache>
                <c:ptCount val="6"/>
                <c:pt idx="0">
                  <c:v>Interest Payments</c:v>
                </c:pt>
                <c:pt idx="1">
                  <c:v>Defence  Services</c:v>
                </c:pt>
                <c:pt idx="2">
                  <c:v>Grants in Aid  to States &amp; UTs</c:v>
                </c:pt>
                <c:pt idx="3">
                  <c:v>Pensions</c:v>
                </c:pt>
                <c:pt idx="4">
                  <c:v>Major Subsidies</c:v>
                </c:pt>
                <c:pt idx="5">
                  <c:v>Other Revenue Expenditure</c:v>
                </c:pt>
              </c:strCache>
            </c:strRef>
          </c:cat>
          <c:val>
            <c:numRef>
              <c:f>Sheet2!$H$105:$H$110</c:f>
              <c:numCache>
                <c:formatCode>General</c:formatCode>
                <c:ptCount val="6"/>
                <c:pt idx="0">
                  <c:v>808313</c:v>
                </c:pt>
                <c:pt idx="1">
                  <c:v>215520</c:v>
                </c:pt>
                <c:pt idx="2">
                  <c:v>348245</c:v>
                </c:pt>
                <c:pt idx="3">
                  <c:v>215263</c:v>
                </c:pt>
                <c:pt idx="4">
                  <c:v>306994</c:v>
                </c:pt>
                <c:pt idx="5">
                  <c:v>652422</c:v>
                </c:pt>
              </c:numCache>
            </c:numRef>
          </c:val>
          <c:extLst>
            <c:ext xmlns:c16="http://schemas.microsoft.com/office/drawing/2014/chart" uri="{C3380CC4-5D6E-409C-BE32-E72D297353CC}">
              <c16:uniqueId val="{00000003-BECE-4F89-B381-8D867BBF2EDD}"/>
            </c:ext>
          </c:extLst>
        </c:ser>
        <c:dLbls>
          <c:showLegendKey val="0"/>
          <c:showVal val="0"/>
          <c:showCatName val="0"/>
          <c:showSerName val="0"/>
          <c:showPercent val="0"/>
          <c:showBubbleSize val="0"/>
        </c:dLbls>
        <c:gapWidth val="219"/>
        <c:overlap val="-27"/>
        <c:axId val="167416576"/>
        <c:axId val="167418112"/>
      </c:barChart>
      <c:barChart>
        <c:barDir val="col"/>
        <c:grouping val="clustered"/>
        <c:varyColors val="0"/>
        <c:ser>
          <c:idx val="0"/>
          <c:order val="0"/>
          <c:tx>
            <c:strRef>
              <c:f>Sheet2!$E$104</c:f>
              <c:strCache>
                <c:ptCount val="1"/>
                <c:pt idx="0">
                  <c:v>BE</c:v>
                </c:pt>
              </c:strCache>
            </c:strRef>
          </c:tx>
          <c:spPr>
            <a:noFill/>
            <a:ln w="12700">
              <a:solidFill>
                <a:schemeClr val="tx1"/>
              </a:solidFill>
              <a:prstDash val="dash"/>
            </a:ln>
            <a:effectLst/>
          </c:spPr>
          <c:invertIfNegative val="0"/>
          <c:cat>
            <c:strRef>
              <c:f>Sheet2!$D$105:$D$110</c:f>
              <c:strCache>
                <c:ptCount val="6"/>
                <c:pt idx="0">
                  <c:v>Interest Payments</c:v>
                </c:pt>
                <c:pt idx="1">
                  <c:v>Defence  Services</c:v>
                </c:pt>
                <c:pt idx="2">
                  <c:v>Grants in Aid  to States &amp; UTs</c:v>
                </c:pt>
                <c:pt idx="3">
                  <c:v>Pensions</c:v>
                </c:pt>
                <c:pt idx="4">
                  <c:v>Major Subsidies</c:v>
                </c:pt>
                <c:pt idx="5">
                  <c:v>Other Revenue Expenditure</c:v>
                </c:pt>
              </c:strCache>
            </c:strRef>
          </c:cat>
          <c:val>
            <c:numRef>
              <c:f>Sheet2!$E$105:$E$110</c:f>
              <c:numCache>
                <c:formatCode>General</c:formatCode>
                <c:ptCount val="6"/>
                <c:pt idx="0">
                  <c:v>1276338</c:v>
                </c:pt>
                <c:pt idx="1">
                  <c:v>311732</c:v>
                </c:pt>
                <c:pt idx="2">
                  <c:v>720056</c:v>
                </c:pt>
                <c:pt idx="3">
                  <c:v>276618</c:v>
                </c:pt>
                <c:pt idx="4">
                  <c:v>383407</c:v>
                </c:pt>
                <c:pt idx="5">
                  <c:v>976104</c:v>
                </c:pt>
              </c:numCache>
            </c:numRef>
          </c:val>
          <c:extLst>
            <c:ext xmlns:c16="http://schemas.microsoft.com/office/drawing/2014/chart" uri="{C3380CC4-5D6E-409C-BE32-E72D297353CC}">
              <c16:uniqueId val="{00000000-BECE-4F89-B381-8D867BBF2EDD}"/>
            </c:ext>
          </c:extLst>
        </c:ser>
        <c:ser>
          <c:idx val="2"/>
          <c:order val="2"/>
          <c:tx>
            <c:strRef>
              <c:f>Sheet2!$G$104</c:f>
              <c:strCache>
                <c:ptCount val="1"/>
                <c:pt idx="0">
                  <c:v>BE</c:v>
                </c:pt>
              </c:strCache>
            </c:strRef>
          </c:tx>
          <c:spPr>
            <a:noFill/>
            <a:ln w="12700">
              <a:solidFill>
                <a:schemeClr val="tx1"/>
              </a:solidFill>
              <a:prstDash val="dash"/>
            </a:ln>
            <a:effectLst/>
          </c:spPr>
          <c:invertIfNegative val="0"/>
          <c:cat>
            <c:strRef>
              <c:f>Sheet2!$D$105:$D$110</c:f>
              <c:strCache>
                <c:ptCount val="6"/>
                <c:pt idx="0">
                  <c:v>Interest Payments</c:v>
                </c:pt>
                <c:pt idx="1">
                  <c:v>Defence  Services</c:v>
                </c:pt>
                <c:pt idx="2">
                  <c:v>Grants in Aid  to States &amp; UTs</c:v>
                </c:pt>
                <c:pt idx="3">
                  <c:v>Pensions</c:v>
                </c:pt>
                <c:pt idx="4">
                  <c:v>Major Subsidies</c:v>
                </c:pt>
                <c:pt idx="5">
                  <c:v>Other Revenue Expenditure</c:v>
                </c:pt>
              </c:strCache>
            </c:strRef>
          </c:cat>
          <c:val>
            <c:numRef>
              <c:f>Sheet2!$G$105:$G$110</c:f>
              <c:numCache>
                <c:formatCode>General</c:formatCode>
                <c:ptCount val="6"/>
                <c:pt idx="0">
                  <c:v>1162940</c:v>
                </c:pt>
                <c:pt idx="1">
                  <c:v>282773</c:v>
                </c:pt>
                <c:pt idx="2">
                  <c:v>641460</c:v>
                </c:pt>
                <c:pt idx="3">
                  <c:v>243296</c:v>
                </c:pt>
                <c:pt idx="4">
                  <c:v>381175</c:v>
                </c:pt>
                <c:pt idx="5">
                  <c:v>997757</c:v>
                </c:pt>
              </c:numCache>
            </c:numRef>
          </c:val>
          <c:extLst>
            <c:ext xmlns:c16="http://schemas.microsoft.com/office/drawing/2014/chart" uri="{C3380CC4-5D6E-409C-BE32-E72D297353CC}">
              <c16:uniqueId val="{00000002-BECE-4F89-B381-8D867BBF2EDD}"/>
            </c:ext>
          </c:extLst>
        </c:ser>
        <c:dLbls>
          <c:showLegendKey val="0"/>
          <c:showVal val="0"/>
          <c:showCatName val="0"/>
          <c:showSerName val="0"/>
          <c:showPercent val="0"/>
          <c:showBubbleSize val="0"/>
        </c:dLbls>
        <c:gapWidth val="219"/>
        <c:overlap val="-27"/>
        <c:axId val="167433728"/>
        <c:axId val="167432192"/>
      </c:barChart>
      <c:catAx>
        <c:axId val="16741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18112"/>
        <c:crosses val="autoZero"/>
        <c:auto val="1"/>
        <c:lblAlgn val="ctr"/>
        <c:lblOffset val="100"/>
        <c:noMultiLvlLbl val="0"/>
      </c:catAx>
      <c:valAx>
        <c:axId val="167418112"/>
        <c:scaling>
          <c:orientation val="minMax"/>
          <c:max val="8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16576"/>
        <c:crosses val="autoZero"/>
        <c:crossBetween val="between"/>
      </c:valAx>
      <c:valAx>
        <c:axId val="167432192"/>
        <c:scaling>
          <c:orientation val="minMax"/>
          <c:max val="800000"/>
        </c:scaling>
        <c:delete val="1"/>
        <c:axPos val="r"/>
        <c:numFmt formatCode="General" sourceLinked="1"/>
        <c:majorTickMark val="out"/>
        <c:minorTickMark val="none"/>
        <c:tickLblPos val="nextTo"/>
        <c:crossAx val="167433728"/>
        <c:crosses val="max"/>
        <c:crossBetween val="between"/>
      </c:valAx>
      <c:catAx>
        <c:axId val="167433728"/>
        <c:scaling>
          <c:orientation val="minMax"/>
        </c:scaling>
        <c:delete val="1"/>
        <c:axPos val="b"/>
        <c:numFmt formatCode="General" sourceLinked="1"/>
        <c:majorTickMark val="out"/>
        <c:minorTickMark val="none"/>
        <c:tickLblPos val="nextTo"/>
        <c:crossAx val="167432192"/>
        <c:crosses val="autoZero"/>
        <c:auto val="1"/>
        <c:lblAlgn val="ctr"/>
        <c:lblOffset val="100"/>
        <c:noMultiLvlLbl val="0"/>
      </c:catAx>
      <c:spPr>
        <a:noFill/>
        <a:ln>
          <a:noFill/>
        </a:ln>
        <a:effectLst/>
      </c:spPr>
    </c:plotArea>
    <c:legend>
      <c:legendPos val="b"/>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211" l="0.70000000000000062" r="0.70000000000000062" t="0.75000000000000211" header="0.30000000000000032" footer="0.30000000000000032"/>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Sheet2!$E$42</c:f>
              <c:strCache>
                <c:ptCount val="1"/>
                <c:pt idx="0">
                  <c:v>2025-26</c:v>
                </c:pt>
              </c:strCache>
            </c:strRef>
          </c:tx>
          <c:marker>
            <c:symbol val="none"/>
          </c:marker>
          <c:cat>
            <c:strRef>
              <c:f>Sheet2!$D$123:$D$134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Sheet2!$E$123:$E$134</c:f>
              <c:numCache>
                <c:formatCode>General</c:formatCode>
                <c:ptCount val="12"/>
                <c:pt idx="0">
                  <c:v>159790</c:v>
                </c:pt>
                <c:pt idx="1">
                  <c:v>221354</c:v>
                </c:pt>
                <c:pt idx="2">
                  <c:v>275132</c:v>
                </c:pt>
                <c:pt idx="3">
                  <c:v>346926</c:v>
                </c:pt>
                <c:pt idx="4">
                  <c:v>431579</c:v>
                </c:pt>
                <c:pt idx="5">
                  <c:v>580746</c:v>
                </c:pt>
                <c:pt idx="6">
                  <c:v>617743</c:v>
                </c:pt>
                <c:pt idx="7">
                  <c:v>658210</c:v>
                </c:pt>
                <c:pt idx="8">
                  <c:v>787935</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Sheet2!$F$42</c:f>
              <c:strCache>
                <c:ptCount val="1"/>
                <c:pt idx="0">
                  <c:v>2024-25</c:v>
                </c:pt>
              </c:strCache>
            </c:strRef>
          </c:tx>
          <c:marker>
            <c:symbol val="none"/>
          </c:marker>
          <c:cat>
            <c:strRef>
              <c:f>Sheet2!$D$123:$D$134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Sheet2!$F$123:$F$134</c:f>
              <c:numCache>
                <c:formatCode>General</c:formatCode>
                <c:ptCount val="12"/>
                <c:pt idx="0">
                  <c:v>99235</c:v>
                </c:pt>
                <c:pt idx="1">
                  <c:v>143625</c:v>
                </c:pt>
                <c:pt idx="2">
                  <c:v>181051</c:v>
                </c:pt>
                <c:pt idx="3">
                  <c:v>261260</c:v>
                </c:pt>
                <c:pt idx="4">
                  <c:v>300987</c:v>
                </c:pt>
                <c:pt idx="5">
                  <c:v>414966</c:v>
                </c:pt>
                <c:pt idx="6">
                  <c:v>466545</c:v>
                </c:pt>
                <c:pt idx="7">
                  <c:v>513500</c:v>
                </c:pt>
                <c:pt idx="8">
                  <c:v>685337</c:v>
                </c:pt>
                <c:pt idx="9">
                  <c:v>757359</c:v>
                </c:pt>
                <c:pt idx="10">
                  <c:v>811887</c:v>
                </c:pt>
                <c:pt idx="11">
                  <c:v>1052007</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7327616"/>
        <c:axId val="167329152"/>
      </c:lineChart>
      <c:catAx>
        <c:axId val="167327616"/>
        <c:scaling>
          <c:orientation val="minMax"/>
        </c:scaling>
        <c:delete val="0"/>
        <c:axPos val="b"/>
        <c:numFmt formatCode="General" sourceLinked="0"/>
        <c:majorTickMark val="out"/>
        <c:minorTickMark val="none"/>
        <c:tickLblPos val="nextTo"/>
        <c:txPr>
          <a:bodyPr/>
          <a:lstStyle/>
          <a:p>
            <a:pPr>
              <a:defRPr sz="700"/>
            </a:pPr>
            <a:endParaRPr lang="en-US"/>
          </a:p>
        </c:txPr>
        <c:crossAx val="167329152"/>
        <c:crosses val="autoZero"/>
        <c:auto val="1"/>
        <c:lblAlgn val="ctr"/>
        <c:lblOffset val="100"/>
        <c:noMultiLvlLbl val="0"/>
      </c:catAx>
      <c:valAx>
        <c:axId val="167329152"/>
        <c:scaling>
          <c:orientation val="minMax"/>
        </c:scaling>
        <c:delete val="0"/>
        <c:axPos val="l"/>
        <c:majorGridlines/>
        <c:numFmt formatCode="0.0" sourceLinked="0"/>
        <c:majorTickMark val="out"/>
        <c:minorTickMark val="none"/>
        <c:tickLblPos val="nextTo"/>
        <c:crossAx val="167327616"/>
        <c:crosses val="autoZero"/>
        <c:crossBetween val="between"/>
        <c:dispUnits>
          <c:builtInUnit val="hundredThousands"/>
        </c:dispUnits>
      </c:valAx>
    </c:plotArea>
    <c:legend>
      <c:legendPos val="b"/>
      <c:layout>
        <c:manualLayout>
          <c:xMode val="edge"/>
          <c:yMode val="edge"/>
          <c:x val="0.17908686192986939"/>
          <c:y val="0.10310655612492883"/>
          <c:w val="0.31063541836031561"/>
          <c:h val="0.2547491958764857"/>
        </c:manualLayout>
      </c:layout>
      <c:overlay val="1"/>
    </c:legend>
    <c:plotVisOnly val="1"/>
    <c:dispBlanksAs val="gap"/>
    <c:showDLblsOverMax val="0"/>
  </c:chart>
  <c:printSettings>
    <c:headerFooter/>
    <c:pageMargins b="0.75000000000000266" l="0.70000000000000062" r="0.70000000000000062" t="0.75000000000000266" header="0.30000000000000032" footer="0.30000000000000032"/>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Sheet2!$E$42</c:f>
              <c:strCache>
                <c:ptCount val="1"/>
                <c:pt idx="0">
                  <c:v>2025-26</c:v>
                </c:pt>
              </c:strCache>
            </c:strRef>
          </c:tx>
          <c:marker>
            <c:symbol val="none"/>
          </c:marker>
          <c:cat>
            <c:strRef>
              <c:f>Sheet2!$D$138:$D$149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Sheet2!$E$138:$E$149</c:f>
              <c:numCache>
                <c:formatCode>General</c:formatCode>
                <c:ptCount val="12"/>
                <c:pt idx="0">
                  <c:v>186332</c:v>
                </c:pt>
                <c:pt idx="1">
                  <c:v>13163</c:v>
                </c:pt>
                <c:pt idx="2">
                  <c:v>280732</c:v>
                </c:pt>
                <c:pt idx="3">
                  <c:v>468416</c:v>
                </c:pt>
                <c:pt idx="4">
                  <c:v>598153</c:v>
                </c:pt>
                <c:pt idx="5">
                  <c:v>573123</c:v>
                </c:pt>
                <c:pt idx="6">
                  <c:v>825144</c:v>
                </c:pt>
                <c:pt idx="7">
                  <c:v>976671</c:v>
                </c:pt>
                <c:pt idx="8">
                  <c:v>855842</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Sheet2!$F$42</c:f>
              <c:strCache>
                <c:ptCount val="1"/>
                <c:pt idx="0">
                  <c:v>2024-25</c:v>
                </c:pt>
              </c:strCache>
            </c:strRef>
          </c:tx>
          <c:marker>
            <c:symbol val="none"/>
          </c:marker>
          <c:cat>
            <c:strRef>
              <c:f>Sheet2!$D$138:$D$149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Sheet2!$F$138:$F$149</c:f>
              <c:numCache>
                <c:formatCode>General</c:formatCode>
                <c:ptCount val="12"/>
                <c:pt idx="0">
                  <c:v>210136</c:v>
                </c:pt>
                <c:pt idx="1">
                  <c:v>50615</c:v>
                </c:pt>
                <c:pt idx="2">
                  <c:v>135712</c:v>
                </c:pt>
                <c:pt idx="3">
                  <c:v>276945</c:v>
                </c:pt>
                <c:pt idx="4">
                  <c:v>435176</c:v>
                </c:pt>
                <c:pt idx="5">
                  <c:v>474520</c:v>
                </c:pt>
                <c:pt idx="6">
                  <c:v>750824</c:v>
                </c:pt>
                <c:pt idx="7">
                  <c:v>846594</c:v>
                </c:pt>
                <c:pt idx="8">
                  <c:v>914089</c:v>
                </c:pt>
                <c:pt idx="9">
                  <c:v>1169542</c:v>
                </c:pt>
                <c:pt idx="10">
                  <c:v>1346852</c:v>
                </c:pt>
                <c:pt idx="11">
                  <c:v>1577270</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7351040"/>
        <c:axId val="167352576"/>
      </c:lineChart>
      <c:catAx>
        <c:axId val="167351040"/>
        <c:scaling>
          <c:orientation val="minMax"/>
        </c:scaling>
        <c:delete val="0"/>
        <c:axPos val="b"/>
        <c:numFmt formatCode="General" sourceLinked="0"/>
        <c:majorTickMark val="out"/>
        <c:minorTickMark val="none"/>
        <c:tickLblPos val="nextTo"/>
        <c:txPr>
          <a:bodyPr/>
          <a:lstStyle/>
          <a:p>
            <a:pPr>
              <a:defRPr sz="700"/>
            </a:pPr>
            <a:endParaRPr lang="en-US"/>
          </a:p>
        </c:txPr>
        <c:crossAx val="167352576"/>
        <c:crosses val="autoZero"/>
        <c:auto val="1"/>
        <c:lblAlgn val="ctr"/>
        <c:lblOffset val="100"/>
        <c:noMultiLvlLbl val="0"/>
      </c:catAx>
      <c:valAx>
        <c:axId val="167352576"/>
        <c:scaling>
          <c:orientation val="minMax"/>
        </c:scaling>
        <c:delete val="0"/>
        <c:axPos val="l"/>
        <c:majorGridlines/>
        <c:numFmt formatCode="#,##0" sourceLinked="0"/>
        <c:majorTickMark val="out"/>
        <c:minorTickMark val="none"/>
        <c:tickLblPos val="nextTo"/>
        <c:crossAx val="167351040"/>
        <c:crosses val="autoZero"/>
        <c:crossBetween val="between"/>
        <c:dispUnits>
          <c:builtInUnit val="hundredThousands"/>
        </c:dispUnits>
      </c:valAx>
    </c:plotArea>
    <c:legend>
      <c:legendPos val="b"/>
      <c:layout>
        <c:manualLayout>
          <c:xMode val="edge"/>
          <c:yMode val="edge"/>
          <c:x val="0.17908686192986939"/>
          <c:y val="0.10310655612492883"/>
          <c:w val="0.32545037425877477"/>
          <c:h val="0.16003164524282959"/>
        </c:manualLayout>
      </c:layout>
      <c:overlay val="1"/>
      <c:txPr>
        <a:bodyPr/>
        <a:lstStyle/>
        <a:p>
          <a:pPr>
            <a:defRPr sz="800"/>
          </a:pPr>
          <a:endParaRPr lang="en-US"/>
        </a:p>
      </c:txPr>
    </c:legend>
    <c:plotVisOnly val="1"/>
    <c:dispBlanksAs val="gap"/>
    <c:showDLblsOverMax val="0"/>
  </c:chart>
  <c:printSettings>
    <c:headerFooter/>
    <c:pageMargins b="0.75000000000000289" l="0.70000000000000062" r="0.70000000000000062" t="0.75000000000000289" header="0.30000000000000032" footer="0.30000000000000032"/>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Sheet2!$E$42</c:f>
              <c:strCache>
                <c:ptCount val="1"/>
                <c:pt idx="0">
                  <c:v>2025-26</c:v>
                </c:pt>
              </c:strCache>
            </c:strRef>
          </c:tx>
          <c:marker>
            <c:symbol val="none"/>
          </c:marker>
          <c:cat>
            <c:strRef>
              <c:f>Sheet2!$D$154:$D$165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Sheet2!$E$154:$E$165</c:f>
              <c:numCache>
                <c:formatCode>General</c:formatCode>
                <c:ptCount val="12"/>
                <c:pt idx="0">
                  <c:v>49001</c:v>
                </c:pt>
                <c:pt idx="1">
                  <c:v>-182967</c:v>
                </c:pt>
                <c:pt idx="2">
                  <c:v>33618</c:v>
                </c:pt>
                <c:pt idx="3">
                  <c:v>151279</c:v>
                </c:pt>
                <c:pt idx="4">
                  <c:v>198544</c:v>
                </c:pt>
                <c:pt idx="5">
                  <c:v>27147</c:v>
                </c:pt>
                <c:pt idx="6">
                  <c:v>244496</c:v>
                </c:pt>
                <c:pt idx="7">
                  <c:v>357388</c:v>
                </c:pt>
                <c:pt idx="8">
                  <c:v>113954</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Sheet2!$F$42</c:f>
              <c:strCache>
                <c:ptCount val="1"/>
                <c:pt idx="0">
                  <c:v>2024-25</c:v>
                </c:pt>
              </c:strCache>
            </c:strRef>
          </c:tx>
          <c:marker>
            <c:symbol val="none"/>
          </c:marker>
          <c:cat>
            <c:strRef>
              <c:f>Sheet2!$D$154:$D$165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Sheet2!$F$154:$F$165</c:f>
              <c:numCache>
                <c:formatCode>General</c:formatCode>
                <c:ptCount val="12"/>
                <c:pt idx="0">
                  <c:v>111942</c:v>
                </c:pt>
                <c:pt idx="1">
                  <c:v>-90923</c:v>
                </c:pt>
                <c:pt idx="2">
                  <c:v>-40819</c:v>
                </c:pt>
                <c:pt idx="3">
                  <c:v>22071</c:v>
                </c:pt>
                <c:pt idx="4">
                  <c:v>143055</c:v>
                </c:pt>
                <c:pt idx="5">
                  <c:v>74155</c:v>
                </c:pt>
                <c:pt idx="6">
                  <c:v>303086</c:v>
                </c:pt>
                <c:pt idx="7">
                  <c:v>357047</c:v>
                </c:pt>
                <c:pt idx="8">
                  <c:v>256047</c:v>
                </c:pt>
                <c:pt idx="9">
                  <c:v>441407</c:v>
                </c:pt>
                <c:pt idx="10">
                  <c:v>572329</c:v>
                </c:pt>
                <c:pt idx="11">
                  <c:v>567081</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7512704"/>
        <c:axId val="167543168"/>
      </c:lineChart>
      <c:catAx>
        <c:axId val="167512704"/>
        <c:scaling>
          <c:orientation val="minMax"/>
        </c:scaling>
        <c:delete val="0"/>
        <c:axPos val="b"/>
        <c:numFmt formatCode="General" sourceLinked="0"/>
        <c:majorTickMark val="out"/>
        <c:minorTickMark val="none"/>
        <c:tickLblPos val="nextTo"/>
        <c:txPr>
          <a:bodyPr/>
          <a:lstStyle/>
          <a:p>
            <a:pPr>
              <a:defRPr sz="700"/>
            </a:pPr>
            <a:endParaRPr lang="en-US"/>
          </a:p>
        </c:txPr>
        <c:crossAx val="167543168"/>
        <c:crosses val="autoZero"/>
        <c:auto val="1"/>
        <c:lblAlgn val="ctr"/>
        <c:lblOffset val="100"/>
        <c:noMultiLvlLbl val="0"/>
      </c:catAx>
      <c:valAx>
        <c:axId val="167543168"/>
        <c:scaling>
          <c:orientation val="minMax"/>
        </c:scaling>
        <c:delete val="0"/>
        <c:axPos val="l"/>
        <c:majorGridlines/>
        <c:numFmt formatCode="#,##0" sourceLinked="0"/>
        <c:majorTickMark val="out"/>
        <c:minorTickMark val="none"/>
        <c:tickLblPos val="nextTo"/>
        <c:crossAx val="167512704"/>
        <c:crosses val="autoZero"/>
        <c:crossBetween val="between"/>
        <c:dispUnits>
          <c:builtInUnit val="hundredThousands"/>
        </c:dispUnits>
      </c:valAx>
    </c:plotArea>
    <c:legend>
      <c:legendPos val="b"/>
      <c:layout>
        <c:manualLayout>
          <c:xMode val="edge"/>
          <c:yMode val="edge"/>
          <c:x val="0.17908686192986939"/>
          <c:y val="0.10310655612492883"/>
          <c:w val="0.32545037425877493"/>
          <c:h val="0.16003164524282959"/>
        </c:manualLayout>
      </c:layout>
      <c:overlay val="1"/>
      <c:txPr>
        <a:bodyPr/>
        <a:lstStyle/>
        <a:p>
          <a:pPr>
            <a:defRPr sz="800"/>
          </a:pPr>
          <a:endParaRPr lang="en-US"/>
        </a:p>
      </c:txPr>
    </c:legend>
    <c:plotVisOnly val="1"/>
    <c:dispBlanksAs val="gap"/>
    <c:showDLblsOverMax val="0"/>
  </c:chart>
  <c:printSettings>
    <c:headerFooter/>
    <c:pageMargins b="0.75000000000000311" l="0.70000000000000062" r="0.70000000000000062" t="0.75000000000000311" header="0.30000000000000032" footer="0.30000000000000032"/>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Sheet2!$E$42</c:f>
              <c:strCache>
                <c:ptCount val="1"/>
                <c:pt idx="0">
                  <c:v>2025-26</c:v>
                </c:pt>
              </c:strCache>
            </c:strRef>
          </c:tx>
          <c:marker>
            <c:symbol val="none"/>
          </c:marker>
          <c:cat>
            <c:strRef>
              <c:f>Sheet2!$D$169:$D$180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Sheet2!$E$169:$E$180</c:f>
              <c:numCache>
                <c:formatCode>General</c:formatCode>
                <c:ptCount val="12"/>
                <c:pt idx="0">
                  <c:v>92872</c:v>
                </c:pt>
                <c:pt idx="1">
                  <c:v>-134625</c:v>
                </c:pt>
                <c:pt idx="2">
                  <c:v>-105305</c:v>
                </c:pt>
                <c:pt idx="3">
                  <c:v>21726</c:v>
                </c:pt>
                <c:pt idx="4">
                  <c:v>69485</c:v>
                </c:pt>
                <c:pt idx="5">
                  <c:v>-5059</c:v>
                </c:pt>
                <c:pt idx="6">
                  <c:v>151429</c:v>
                </c:pt>
                <c:pt idx="7">
                  <c:v>230906</c:v>
                </c:pt>
                <c:pt idx="8">
                  <c:v>-55217</c:v>
                </c:pt>
                <c:pt idx="9">
                  <c:v>#N/A</c:v>
                </c:pt>
                <c:pt idx="10">
                  <c:v>#N/A</c:v>
                </c:pt>
                <c:pt idx="11">
                  <c:v>#N/A</c:v>
                </c:pt>
              </c:numCache>
            </c:numRef>
          </c:val>
          <c:smooth val="0"/>
          <c:extLst>
            <c:ext xmlns:c16="http://schemas.microsoft.com/office/drawing/2014/chart" uri="{C3380CC4-5D6E-409C-BE32-E72D297353CC}">
              <c16:uniqueId val="{00000000-92A3-4DBE-A170-6762DA871250}"/>
            </c:ext>
          </c:extLst>
        </c:ser>
        <c:ser>
          <c:idx val="1"/>
          <c:order val="1"/>
          <c:tx>
            <c:strRef>
              <c:f>Sheet2!$F$42</c:f>
              <c:strCache>
                <c:ptCount val="1"/>
                <c:pt idx="0">
                  <c:v>2024-25</c:v>
                </c:pt>
              </c:strCache>
            </c:strRef>
          </c:tx>
          <c:marker>
            <c:symbol val="none"/>
          </c:marker>
          <c:cat>
            <c:strRef>
              <c:f>Sheet2!$D$169:$D$180</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Sheet2!$F$169:$F$180</c:f>
              <c:numCache>
                <c:formatCode>General</c:formatCode>
                <c:ptCount val="12"/>
                <c:pt idx="0">
                  <c:v>81873</c:v>
                </c:pt>
                <c:pt idx="1">
                  <c:v>-73195</c:v>
                </c:pt>
                <c:pt idx="2">
                  <c:v>-128340</c:v>
                </c:pt>
                <c:pt idx="3">
                  <c:v>-50942</c:v>
                </c:pt>
                <c:pt idx="4">
                  <c:v>35016</c:v>
                </c:pt>
                <c:pt idx="5">
                  <c:v>-40490</c:v>
                </c:pt>
                <c:pt idx="6">
                  <c:v>154477</c:v>
                </c:pt>
                <c:pt idx="7">
                  <c:v>188100</c:v>
                </c:pt>
                <c:pt idx="8">
                  <c:v>105776</c:v>
                </c:pt>
                <c:pt idx="9">
                  <c:v>294081</c:v>
                </c:pt>
                <c:pt idx="10">
                  <c:v>394008</c:v>
                </c:pt>
                <c:pt idx="11">
                  <c:v>460927</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7563648"/>
        <c:axId val="167565184"/>
      </c:lineChart>
      <c:catAx>
        <c:axId val="167563648"/>
        <c:scaling>
          <c:orientation val="minMax"/>
        </c:scaling>
        <c:delete val="0"/>
        <c:axPos val="b"/>
        <c:numFmt formatCode="General" sourceLinked="0"/>
        <c:majorTickMark val="out"/>
        <c:minorTickMark val="none"/>
        <c:tickLblPos val="nextTo"/>
        <c:txPr>
          <a:bodyPr/>
          <a:lstStyle/>
          <a:p>
            <a:pPr>
              <a:defRPr sz="700"/>
            </a:pPr>
            <a:endParaRPr lang="en-US"/>
          </a:p>
        </c:txPr>
        <c:crossAx val="167565184"/>
        <c:crosses val="autoZero"/>
        <c:auto val="1"/>
        <c:lblAlgn val="ctr"/>
        <c:lblOffset val="100"/>
        <c:noMultiLvlLbl val="0"/>
      </c:catAx>
      <c:valAx>
        <c:axId val="167565184"/>
        <c:scaling>
          <c:orientation val="minMax"/>
        </c:scaling>
        <c:delete val="0"/>
        <c:axPos val="l"/>
        <c:majorGridlines/>
        <c:numFmt formatCode="#,##0" sourceLinked="0"/>
        <c:majorTickMark val="out"/>
        <c:minorTickMark val="none"/>
        <c:tickLblPos val="nextTo"/>
        <c:crossAx val="167563648"/>
        <c:crosses val="autoZero"/>
        <c:crossBetween val="between"/>
        <c:dispUnits>
          <c:builtInUnit val="hundredThousands"/>
        </c:dispUnits>
      </c:valAx>
    </c:plotArea>
    <c:legend>
      <c:legendPos val="b"/>
      <c:layout>
        <c:manualLayout>
          <c:xMode val="edge"/>
          <c:yMode val="edge"/>
          <c:x val="0.17908686192986939"/>
          <c:y val="0.10310655612492883"/>
          <c:w val="0.32545037425877515"/>
          <c:h val="0.16003164524282959"/>
        </c:manualLayout>
      </c:layout>
      <c:overlay val="1"/>
      <c:txPr>
        <a:bodyPr/>
        <a:lstStyle/>
        <a:p>
          <a:pPr>
            <a:defRPr sz="800"/>
          </a:pPr>
          <a:endParaRPr lang="en-US"/>
        </a:p>
      </c:txPr>
    </c:legend>
    <c:plotVisOnly val="1"/>
    <c:dispBlanksAs val="gap"/>
    <c:showDLblsOverMax val="0"/>
  </c:chart>
  <c:printSettings>
    <c:headerFooter/>
    <c:pageMargins b="0.75000000000000333" l="0.70000000000000062" r="0.70000000000000062" t="0.75000000000000333" header="0.30000000000000032" footer="0.30000000000000032"/>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Sheet2!$M$42</c:f>
              <c:strCache>
                <c:ptCount val="1"/>
              </c:strCache>
            </c:strRef>
          </c:tx>
          <c:marker>
            <c:symbol val="none"/>
          </c:marker>
          <c:dPt>
            <c:idx val="0"/>
            <c:marker>
              <c:symbol val="dash"/>
              <c:size val="5"/>
            </c:marker>
            <c:bubble3D val="0"/>
            <c:extLst>
              <c:ext xmlns:c16="http://schemas.microsoft.com/office/drawing/2014/chart" uri="{C3380CC4-5D6E-409C-BE32-E72D297353CC}">
                <c16:uniqueId val="{00000003-5568-43E4-AD93-D5B38710A36F}"/>
              </c:ext>
            </c:extLst>
          </c:dPt>
          <c:cat>
            <c:strRef>
              <c:f>Sheet2!$D$43:$D$54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Sheet2!$M$43:$M$54</c:f>
              <c:numCache>
                <c:formatCode>General</c:formatCode>
                <c:ptCount val="12"/>
                <c:pt idx="0">
                  <c:v>189669</c:v>
                </c:pt>
                <c:pt idx="1">
                  <c:v>350862</c:v>
                </c:pt>
                <c:pt idx="2">
                  <c:v>540316</c:v>
                </c:pt>
                <c:pt idx="3">
                  <c:v>661812</c:v>
                </c:pt>
                <c:pt idx="4">
                  <c:v>810407</c:v>
                </c:pt>
                <c:pt idx="5">
                  <c:v>1229370</c:v>
                </c:pt>
                <c:pt idx="6">
                  <c:v>1274301</c:v>
                </c:pt>
                <c:pt idx="7">
                  <c:v>1393946</c:v>
                </c:pt>
                <c:pt idx="8">
                  <c:v>1939254</c:v>
                </c:pt>
                <c:pt idx="9">
                  <c:v>0</c:v>
                </c:pt>
                <c:pt idx="10">
                  <c:v>0</c:v>
                </c:pt>
                <c:pt idx="11">
                  <c:v>0</c:v>
                </c:pt>
              </c:numCache>
            </c:numRef>
          </c:val>
          <c:smooth val="0"/>
          <c:extLst>
            <c:ext xmlns:c16="http://schemas.microsoft.com/office/drawing/2014/chart" uri="{C3380CC4-5D6E-409C-BE32-E72D297353CC}">
              <c16:uniqueId val="{00000000-92A3-4DBE-A170-6762DA871250}"/>
            </c:ext>
          </c:extLst>
        </c:ser>
        <c:ser>
          <c:idx val="1"/>
          <c:order val="1"/>
          <c:tx>
            <c:strRef>
              <c:f>Sheet2!$N$42</c:f>
              <c:strCache>
                <c:ptCount val="1"/>
              </c:strCache>
            </c:strRef>
          </c:tx>
          <c:marker>
            <c:symbol val="none"/>
          </c:marker>
          <c:cat>
            <c:strRef>
              <c:f>Sheet2!$D$43:$D$54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Sheet2!$N$43:$N$54</c:f>
              <c:numCache>
                <c:formatCode>General</c:formatCode>
                <c:ptCount val="12"/>
                <c:pt idx="0">
                  <c:v>184998</c:v>
                </c:pt>
                <c:pt idx="1">
                  <c:v>319036</c:v>
                </c:pt>
                <c:pt idx="2">
                  <c:v>549633</c:v>
                </c:pt>
                <c:pt idx="3">
                  <c:v>715224</c:v>
                </c:pt>
                <c:pt idx="4">
                  <c:v>873845</c:v>
                </c:pt>
                <c:pt idx="5">
                  <c:v>1265159</c:v>
                </c:pt>
                <c:pt idx="6">
                  <c:v>1304973</c:v>
                </c:pt>
                <c:pt idx="7">
                  <c:v>1443435</c:v>
                </c:pt>
                <c:pt idx="8">
                  <c:v>1843053</c:v>
                </c:pt>
                <c:pt idx="9">
                  <c:v>1903558</c:v>
                </c:pt>
                <c:pt idx="10">
                  <c:v>2015634</c:v>
                </c:pt>
                <c:pt idx="11">
                  <c:v>2498885</c:v>
                </c:pt>
              </c:numCache>
            </c:numRef>
          </c:val>
          <c:smooth val="0"/>
          <c:extLst>
            <c:ext xmlns:c16="http://schemas.microsoft.com/office/drawing/2014/chart" uri="{C3380CC4-5D6E-409C-BE32-E72D297353CC}">
              <c16:uniqueId val="{00000001-92A3-4DBE-A170-6762DA871250}"/>
            </c:ext>
          </c:extLst>
        </c:ser>
        <c:dLbls>
          <c:showLegendKey val="0"/>
          <c:showVal val="0"/>
          <c:showCatName val="0"/>
          <c:showSerName val="0"/>
          <c:showPercent val="0"/>
          <c:showBubbleSize val="0"/>
        </c:dLbls>
        <c:smooth val="0"/>
        <c:axId val="167467264"/>
        <c:axId val="167473152"/>
      </c:lineChart>
      <c:catAx>
        <c:axId val="167467264"/>
        <c:scaling>
          <c:orientation val="minMax"/>
        </c:scaling>
        <c:delete val="0"/>
        <c:axPos val="b"/>
        <c:numFmt formatCode="General" sourceLinked="0"/>
        <c:majorTickMark val="out"/>
        <c:minorTickMark val="none"/>
        <c:tickLblPos val="nextTo"/>
        <c:txPr>
          <a:bodyPr/>
          <a:lstStyle/>
          <a:p>
            <a:pPr>
              <a:defRPr sz="700"/>
            </a:pPr>
            <a:endParaRPr lang="en-US"/>
          </a:p>
        </c:txPr>
        <c:crossAx val="167473152"/>
        <c:crosses val="autoZero"/>
        <c:auto val="1"/>
        <c:lblAlgn val="ctr"/>
        <c:lblOffset val="100"/>
        <c:noMultiLvlLbl val="0"/>
      </c:catAx>
      <c:valAx>
        <c:axId val="167473152"/>
        <c:scaling>
          <c:orientation val="minMax"/>
        </c:scaling>
        <c:delete val="0"/>
        <c:axPos val="l"/>
        <c:majorGridlines/>
        <c:numFmt formatCode="General" sourceLinked="1"/>
        <c:majorTickMark val="out"/>
        <c:minorTickMark val="none"/>
        <c:tickLblPos val="nextTo"/>
        <c:crossAx val="167467264"/>
        <c:crosses val="autoZero"/>
        <c:crossBetween val="between"/>
        <c:dispUnits>
          <c:builtInUnit val="hundredThousands"/>
        </c:dispUnits>
      </c:valAx>
    </c:plotArea>
    <c:legend>
      <c:legendPos val="b"/>
      <c:layout>
        <c:manualLayout>
          <c:xMode val="edge"/>
          <c:yMode val="edge"/>
          <c:x val="0.17908686192986939"/>
          <c:y val="0.10310655612492883"/>
          <c:w val="0.31063541836031561"/>
          <c:h val="0.15615214764821064"/>
        </c:manualLayout>
      </c:layout>
      <c:overlay val="1"/>
    </c:legend>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Sheet4!$H$12" lockText="1" noThreeD="1"/>
</file>

<file path=xl/ctrlProps/ctrlProp2.xml><?xml version="1.0" encoding="utf-8"?>
<formControlPr xmlns="http://schemas.microsoft.com/office/spreadsheetml/2009/9/main" objectType="CheckBox" checked="Checked" fmlaLink="Sheet4!$H$3" lockText="1" noThreeD="1"/>
</file>

<file path=xl/ctrlProps/ctrlProp3.xml><?xml version="1.0" encoding="utf-8"?>
<formControlPr xmlns="http://schemas.microsoft.com/office/spreadsheetml/2009/9/main" objectType="CheckBox" checked="Checked" fmlaLink="Sheet4!$H$4" lockText="1" noThreeD="1"/>
</file>

<file path=xl/ctrlProps/ctrlProp4.xml><?xml version="1.0" encoding="utf-8"?>
<formControlPr xmlns="http://schemas.microsoft.com/office/spreadsheetml/2009/9/main" objectType="CheckBox" checked="Checked" fmlaLink="Sheet4!$H$5" lockText="1" noThreeD="1"/>
</file>

<file path=xl/ctrlProps/ctrlProp5.xml><?xml version="1.0" encoding="utf-8"?>
<formControlPr xmlns="http://schemas.microsoft.com/office/spreadsheetml/2009/9/main" objectType="CheckBox" checked="Checked" fmlaLink="Sheet4!$H$8" lockText="1" noThreeD="1"/>
</file>

<file path=xl/ctrlProps/ctrlProp6.xml><?xml version="1.0" encoding="utf-8"?>
<formControlPr xmlns="http://schemas.microsoft.com/office/spreadsheetml/2009/9/main" objectType="CheckBox" checked="Checked" fmlaLink="Sheet4!$H$13" lockText="1" noThreeD="1"/>
</file>

<file path=xl/ctrlProps/ctrlProp7.xml><?xml version="1.0" encoding="utf-8"?>
<formControlPr xmlns="http://schemas.microsoft.com/office/spreadsheetml/2009/9/main" objectType="CheckBox" checked="Checked" fmlaLink="Sheet4!$H$11" lockText="1" noThreeD="1"/>
</file>

<file path=xl/ctrlProps/ctrlProp8.xml><?xml version="1.0" encoding="utf-8"?>
<formControlPr xmlns="http://schemas.microsoft.com/office/spreadsheetml/2009/9/main" objectType="CheckBox" checked="Checked" fmlaLink="Sheet4!$H$15" lockText="1" noThreeD="1"/>
</file>

<file path=xl/ctrlProps/ctrlProp9.xml><?xml version="1.0" encoding="utf-8"?>
<formControlPr xmlns="http://schemas.microsoft.com/office/spreadsheetml/2009/9/main" objectType="CheckBox" checked="Checked" fmlaLink="Sheet4!$H$16" lockText="1" noThreeD="1"/>
</file>

<file path=xl/ctrlProps/ctrlProp10.xml><?xml version="1.0" encoding="utf-8"?>
<formControlPr xmlns="http://schemas.microsoft.com/office/spreadsheetml/2009/9/main" objectType="CheckBox" checked="Checked" fmlaLink="Sheet4!$H$9" lockText="1" noThreeD="1"/>
</file>

<file path=xl/ctrlProps/ctrlProp11.xml><?xml version="1.0" encoding="utf-8"?>
<formControlPr xmlns="http://schemas.microsoft.com/office/spreadsheetml/2009/9/main" objectType="CheckBox" checked="Checked" fmlaLink="Sheet4!$H$18" lockText="1" noThreeD="1"/>
</file>

<file path=xl/ctrlProps/ctrlProp12.xml><?xml version="1.0" encoding="utf-8"?>
<formControlPr xmlns="http://schemas.microsoft.com/office/spreadsheetml/2009/9/main" objectType="CheckBox" checked="Checked" fmlaLink="Sheet4!$H$19" lockText="1" noThreeD="1"/>
</file>

<file path=xl/ctrlProps/ctrlProp13.xml><?xml version="1.0" encoding="utf-8"?>
<formControlPr xmlns="http://schemas.microsoft.com/office/spreadsheetml/2009/9/main" objectType="CheckBox" checked="Checked" fmlaLink="$H$8" lockText="1" noThreeD="1"/>
</file>

<file path=xl/ctrlProps/ctrlProp14.xml><?xml version="1.0" encoding="utf-8"?>
<formControlPr xmlns="http://schemas.microsoft.com/office/spreadsheetml/2009/9/main" objectType="CheckBox" checked="Checked" fmlaLink="$H$9" lockText="1" noThreeD="1"/>
</file>

<file path=xl/ctrlProps/ctrlProp15.xml><?xml version="1.0" encoding="utf-8"?>
<formControlPr xmlns="http://schemas.microsoft.com/office/spreadsheetml/2009/9/main" objectType="CheckBox" checked="Checked" fmlaLink="$H$12" lockText="1" noThreeD="1"/>
</file>

<file path=xl/ctrlProps/ctrlProp16.xml><?xml version="1.0" encoding="utf-8"?>
<formControlPr xmlns="http://schemas.microsoft.com/office/spreadsheetml/2009/9/main" objectType="CheckBox" checked="Checked" fmlaLink="$H$13" lockText="1" noThreeD="1"/>
</file>

<file path=xl/ctrlProps/ctrlProp17.xml><?xml version="1.0" encoding="utf-8"?>
<formControlPr xmlns="http://schemas.microsoft.com/office/spreadsheetml/2009/9/main" objectType="CheckBox" checked="Checked" fmlaLink="$H$15" lockText="1" noThreeD="1"/>
</file>

<file path=xl/ctrlProps/ctrlProp18.xml><?xml version="1.0" encoding="utf-8"?>
<formControlPr xmlns="http://schemas.microsoft.com/office/spreadsheetml/2009/9/main" objectType="CheckBox" checked="Checked" fmlaLink="$H$16" lockText="1" noThreeD="1"/>
</file>

<file path=xl/ctrlProps/ctrlProp19.xml><?xml version="1.0" encoding="utf-8"?>
<formControlPr xmlns="http://schemas.microsoft.com/office/spreadsheetml/2009/9/main" objectType="CheckBox" checked="Checked" fmlaLink="$H$18" lockText="1" noThreeD="1"/>
</file>

<file path=xl/ctrlProps/ctrlProp20.xml><?xml version="1.0" encoding="utf-8"?>
<formControlPr xmlns="http://schemas.microsoft.com/office/spreadsheetml/2009/9/main" objectType="CheckBox" checked="Checked" fmlaLink="$H$19"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hyperlink" Target="#Receipts!A1"/><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5" Type="http://schemas.openxmlformats.org/officeDocument/2006/relationships/hyperlink" Target="#Deficit!A1"/><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hyperlink" Target="#Expenditure!A1"/></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10" Type="http://schemas.openxmlformats.org/officeDocument/2006/relationships/chart" Target="../charts/chart23.xml"/><Relationship Id="rId4" Type="http://schemas.openxmlformats.org/officeDocument/2006/relationships/chart" Target="../charts/chart19.xml"/><Relationship Id="rId9"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image" Target="../media/image1.png"/><Relationship Id="rId5" Type="http://schemas.openxmlformats.org/officeDocument/2006/relationships/hyperlink" Target="#Dashboard!A1"/><Relationship Id="rId4" Type="http://schemas.openxmlformats.org/officeDocument/2006/relationships/chart" Target="../charts/chart27.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35.xml"/><Relationship Id="rId13" Type="http://schemas.openxmlformats.org/officeDocument/2006/relationships/chart" Target="../charts/chart40.xml"/><Relationship Id="rId3" Type="http://schemas.openxmlformats.org/officeDocument/2006/relationships/chart" Target="../charts/chart30.xml"/><Relationship Id="rId7" Type="http://schemas.openxmlformats.org/officeDocument/2006/relationships/chart" Target="../charts/chart34.xml"/><Relationship Id="rId12" Type="http://schemas.openxmlformats.org/officeDocument/2006/relationships/chart" Target="../charts/chart39.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chart" Target="../charts/chart33.xml"/><Relationship Id="rId11" Type="http://schemas.openxmlformats.org/officeDocument/2006/relationships/chart" Target="../charts/chart38.xml"/><Relationship Id="rId5" Type="http://schemas.openxmlformats.org/officeDocument/2006/relationships/chart" Target="../charts/chart32.xml"/><Relationship Id="rId10" Type="http://schemas.openxmlformats.org/officeDocument/2006/relationships/chart" Target="../charts/chart37.xml"/><Relationship Id="rId4" Type="http://schemas.openxmlformats.org/officeDocument/2006/relationships/chart" Target="../charts/chart31.xml"/><Relationship Id="rId9" Type="http://schemas.openxmlformats.org/officeDocument/2006/relationships/chart" Target="../charts/chart36.xml"/><Relationship Id="rId14" Type="http://schemas.openxmlformats.org/officeDocument/2006/relationships/chart" Target="../charts/chart4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50.xml"/><Relationship Id="rId3" Type="http://schemas.openxmlformats.org/officeDocument/2006/relationships/chart" Target="../charts/chart45.xml"/><Relationship Id="rId7" Type="http://schemas.openxmlformats.org/officeDocument/2006/relationships/chart" Target="../charts/chart49.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11" Type="http://schemas.openxmlformats.org/officeDocument/2006/relationships/chart" Target="../charts/chart53.xml"/><Relationship Id="rId5" Type="http://schemas.openxmlformats.org/officeDocument/2006/relationships/chart" Target="../charts/chart47.xml"/><Relationship Id="rId10" Type="http://schemas.openxmlformats.org/officeDocument/2006/relationships/chart" Target="../charts/chart52.xml"/><Relationship Id="rId4" Type="http://schemas.openxmlformats.org/officeDocument/2006/relationships/chart" Target="../charts/chart46.xml"/><Relationship Id="rId9" Type="http://schemas.openxmlformats.org/officeDocument/2006/relationships/chart" Target="../charts/chart51.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61.xml"/><Relationship Id="rId13" Type="http://schemas.openxmlformats.org/officeDocument/2006/relationships/chart" Target="../charts/chart66.xml"/><Relationship Id="rId3" Type="http://schemas.openxmlformats.org/officeDocument/2006/relationships/chart" Target="../charts/chart56.xml"/><Relationship Id="rId7" Type="http://schemas.openxmlformats.org/officeDocument/2006/relationships/chart" Target="../charts/chart60.xml"/><Relationship Id="rId12" Type="http://schemas.openxmlformats.org/officeDocument/2006/relationships/chart" Target="../charts/chart65.xml"/><Relationship Id="rId2" Type="http://schemas.openxmlformats.org/officeDocument/2006/relationships/chart" Target="../charts/chart55.xml"/><Relationship Id="rId1" Type="http://schemas.openxmlformats.org/officeDocument/2006/relationships/chart" Target="../charts/chart54.xml"/><Relationship Id="rId6" Type="http://schemas.openxmlformats.org/officeDocument/2006/relationships/chart" Target="../charts/chart59.xml"/><Relationship Id="rId11" Type="http://schemas.openxmlformats.org/officeDocument/2006/relationships/chart" Target="../charts/chart64.xml"/><Relationship Id="rId5" Type="http://schemas.openxmlformats.org/officeDocument/2006/relationships/chart" Target="../charts/chart58.xml"/><Relationship Id="rId15" Type="http://schemas.openxmlformats.org/officeDocument/2006/relationships/chart" Target="../charts/chart68.xml"/><Relationship Id="rId10" Type="http://schemas.openxmlformats.org/officeDocument/2006/relationships/chart" Target="../charts/chart63.xml"/><Relationship Id="rId4" Type="http://schemas.openxmlformats.org/officeDocument/2006/relationships/chart" Target="../charts/chart57.xml"/><Relationship Id="rId9" Type="http://schemas.openxmlformats.org/officeDocument/2006/relationships/chart" Target="../charts/chart62.xml"/><Relationship Id="rId14" Type="http://schemas.openxmlformats.org/officeDocument/2006/relationships/chart" Target="../charts/chart67.xml"/></Relationships>
</file>

<file path=xl/drawings/drawing1.xml><?xml version="1.0" encoding="utf-8"?>
<xdr:wsDr xmlns:xdr="http://schemas.openxmlformats.org/drawingml/2006/spreadsheetDrawing" xmlns:a="http://schemas.openxmlformats.org/drawingml/2006/main">
  <xdr:twoCellAnchor>
    <xdr:from>
      <xdr:col>4</xdr:col>
      <xdr:colOff>523874</xdr:colOff>
      <xdr:row>4</xdr:row>
      <xdr:rowOff>66675</xdr:rowOff>
    </xdr:from>
    <xdr:to>
      <xdr:col>11</xdr:col>
      <xdr:colOff>133350</xdr:colOff>
      <xdr:row>9</xdr:row>
      <xdr:rowOff>66675</xdr:rowOff>
    </xdr:to>
    <xdr:grpSp>
      <xdr:nvGrpSpPr>
        <xdr:cNvPr id="18" name="Group 17">
          <a:extLst>
            <a:ext uri="{FF2B5EF4-FFF2-40B4-BE49-F238E27FC236}">
              <a16:creationId xmlns:a16="http://schemas.microsoft.com/office/drawing/2014/main" id="{00000000-0008-0000-0000-000012000000}"/>
            </a:ext>
          </a:extLst>
        </xdr:cNvPr>
        <xdr:cNvGrpSpPr/>
      </xdr:nvGrpSpPr>
      <xdr:grpSpPr>
        <a:xfrm>
          <a:off x="3057524" y="803275"/>
          <a:ext cx="4035426" cy="1022350"/>
          <a:chOff x="10154984" y="228598"/>
          <a:chExt cx="4493549" cy="2568516"/>
        </a:xfrm>
      </xdr:grpSpPr>
      <xdr:grpSp>
        <xdr:nvGrpSpPr>
          <xdr:cNvPr id="19" name="Group 10">
            <a:extLst>
              <a:ext uri="{FF2B5EF4-FFF2-40B4-BE49-F238E27FC236}">
                <a16:creationId xmlns:a16="http://schemas.microsoft.com/office/drawing/2014/main" id="{00000000-0008-0000-0000-000013000000}"/>
              </a:ext>
            </a:extLst>
          </xdr:cNvPr>
          <xdr:cNvGrpSpPr/>
        </xdr:nvGrpSpPr>
        <xdr:grpSpPr>
          <a:xfrm>
            <a:off x="10154984" y="228598"/>
            <a:ext cx="4493549" cy="2568516"/>
            <a:chOff x="10163174" y="495298"/>
            <a:chExt cx="3940204" cy="2051117"/>
          </a:xfrm>
        </xdr:grpSpPr>
        <xdr:sp macro="" textlink="">
          <xdr:nvSpPr>
            <xdr:cNvPr id="21" name="Rectangle 20">
              <a:extLst>
                <a:ext uri="{FF2B5EF4-FFF2-40B4-BE49-F238E27FC236}">
                  <a16:creationId xmlns:a16="http://schemas.microsoft.com/office/drawing/2014/main" id="{00000000-0008-0000-0000-000015000000}"/>
                </a:ext>
              </a:extLst>
            </xdr:cNvPr>
            <xdr:cNvSpPr/>
          </xdr:nvSpPr>
          <xdr:spPr>
            <a:xfrm>
              <a:off x="10163174" y="495302"/>
              <a:ext cx="3940203" cy="2051113"/>
            </a:xfrm>
            <a:prstGeom prst="rect">
              <a:avLst/>
            </a:prstGeom>
            <a:noFill/>
          </xdr:spPr>
          <xdr:style>
            <a:lnRef idx="2">
              <a:schemeClr val="accent1"/>
            </a:lnRef>
            <a:fillRef idx="1">
              <a:schemeClr val="lt1"/>
            </a:fillRef>
            <a:effectRef idx="0">
              <a:schemeClr val="accent1"/>
            </a:effectRef>
            <a:fontRef idx="minor">
              <a:schemeClr val="dk1"/>
            </a:fontRef>
          </xdr:style>
          <xdr:txBody>
            <a:bodyPr numCol="2" rtlCol="0" anchor="ctr"/>
            <a:lstStyle/>
            <a:p>
              <a:pPr algn="ctr"/>
              <a:endParaRPr lang="en-US" sz="1100"/>
            </a:p>
          </xdr:txBody>
        </xdr:sp>
        <xdr:sp macro="" textlink="">
          <xdr:nvSpPr>
            <xdr:cNvPr id="22" name="Rectangle 21">
              <a:extLst>
                <a:ext uri="{FF2B5EF4-FFF2-40B4-BE49-F238E27FC236}">
                  <a16:creationId xmlns:a16="http://schemas.microsoft.com/office/drawing/2014/main" id="{00000000-0008-0000-0000-000016000000}"/>
                </a:ext>
              </a:extLst>
            </xdr:cNvPr>
            <xdr:cNvSpPr/>
          </xdr:nvSpPr>
          <xdr:spPr>
            <a:xfrm>
              <a:off x="10178708" y="495298"/>
              <a:ext cx="3924670" cy="9397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10563225" y="304801"/>
            <a:ext cx="3498683" cy="1009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800" b="1">
                <a:solidFill>
                  <a:schemeClr val="bg1"/>
                </a:solidFill>
              </a:rPr>
              <a:t>Total Receipts</a:t>
            </a:r>
          </a:p>
        </xdr:txBody>
      </xdr:sp>
    </xdr:grpSp>
    <xdr:clientData/>
  </xdr:twoCellAnchor>
  <xdr:twoCellAnchor>
    <xdr:from>
      <xdr:col>4</xdr:col>
      <xdr:colOff>531496</xdr:colOff>
      <xdr:row>26</xdr:row>
      <xdr:rowOff>143163</xdr:rowOff>
    </xdr:from>
    <xdr:to>
      <xdr:col>11</xdr:col>
      <xdr:colOff>213360</xdr:colOff>
      <xdr:row>35</xdr:row>
      <xdr:rowOff>104774</xdr:rowOff>
    </xdr:to>
    <xdr:grpSp>
      <xdr:nvGrpSpPr>
        <xdr:cNvPr id="6" name="Group 5">
          <a:extLst>
            <a:ext uri="{FF2B5EF4-FFF2-40B4-BE49-F238E27FC236}">
              <a16:creationId xmlns:a16="http://schemas.microsoft.com/office/drawing/2014/main" id="{00000000-0008-0000-0000-000006000000}"/>
            </a:ext>
          </a:extLst>
        </xdr:cNvPr>
        <xdr:cNvGrpSpPr/>
      </xdr:nvGrpSpPr>
      <xdr:grpSpPr>
        <a:xfrm>
          <a:off x="3065146" y="5775613"/>
          <a:ext cx="4107814" cy="1720561"/>
          <a:chOff x="2880357" y="5738201"/>
          <a:chExt cx="4061463" cy="1698155"/>
        </a:xfrm>
      </xdr:grpSpPr>
      <xdr:sp macro="" textlink="">
        <xdr:nvSpPr>
          <xdr:cNvPr id="40" name="Rectangle 39">
            <a:extLst>
              <a:ext uri="{FF2B5EF4-FFF2-40B4-BE49-F238E27FC236}">
                <a16:creationId xmlns:a16="http://schemas.microsoft.com/office/drawing/2014/main" id="{00000000-0008-0000-0000-000028000000}"/>
              </a:ext>
            </a:extLst>
          </xdr:cNvPr>
          <xdr:cNvSpPr/>
        </xdr:nvSpPr>
        <xdr:spPr>
          <a:xfrm>
            <a:off x="2880359" y="5739764"/>
            <a:ext cx="4007916" cy="1696592"/>
          </a:xfrm>
          <a:prstGeom prst="rect">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nvGrpSpPr>
          <xdr:cNvPr id="45" name="Group 44">
            <a:extLst>
              <a:ext uri="{FF2B5EF4-FFF2-40B4-BE49-F238E27FC236}">
                <a16:creationId xmlns:a16="http://schemas.microsoft.com/office/drawing/2014/main" id="{00000000-0008-0000-0000-00002D000000}"/>
              </a:ext>
            </a:extLst>
          </xdr:cNvPr>
          <xdr:cNvGrpSpPr/>
        </xdr:nvGrpSpPr>
        <xdr:grpSpPr>
          <a:xfrm>
            <a:off x="2880357" y="5738201"/>
            <a:ext cx="1643628" cy="504174"/>
            <a:chOff x="10934701" y="3172717"/>
            <a:chExt cx="1630173" cy="473885"/>
          </a:xfrm>
        </xdr:grpSpPr>
        <xdr:sp macro="" textlink="">
          <xdr:nvSpPr>
            <xdr:cNvPr id="46" name="Rectangle 45">
              <a:extLst>
                <a:ext uri="{FF2B5EF4-FFF2-40B4-BE49-F238E27FC236}">
                  <a16:creationId xmlns:a16="http://schemas.microsoft.com/office/drawing/2014/main" id="{00000000-0008-0000-0000-00002E000000}"/>
                </a:ext>
              </a:extLst>
            </xdr:cNvPr>
            <xdr:cNvSpPr/>
          </xdr:nvSpPr>
          <xdr:spPr>
            <a:xfrm>
              <a:off x="10934701" y="3172717"/>
              <a:ext cx="1526317" cy="473885"/>
            </a:xfrm>
            <a:prstGeom prst="rect">
              <a:avLst/>
            </a:prstGeom>
            <a:solidFill>
              <a:schemeClr val="accent3">
                <a:lumMod val="40000"/>
                <a:lumOff val="60000"/>
              </a:schemeClr>
            </a:solidFill>
            <a:ln w="6350"/>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47" name="TextBox 46">
              <a:extLst>
                <a:ext uri="{FF2B5EF4-FFF2-40B4-BE49-F238E27FC236}">
                  <a16:creationId xmlns:a16="http://schemas.microsoft.com/office/drawing/2014/main" id="{00000000-0008-0000-0000-00002F000000}"/>
                </a:ext>
              </a:extLst>
            </xdr:cNvPr>
            <xdr:cNvSpPr txBox="1"/>
          </xdr:nvSpPr>
          <xdr:spPr>
            <a:xfrm>
              <a:off x="10939187" y="3181913"/>
              <a:ext cx="1625687" cy="422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400" b="1">
                  <a:solidFill>
                    <a:schemeClr val="accent3">
                      <a:lumMod val="50000"/>
                    </a:schemeClr>
                  </a:solidFill>
                </a:rPr>
                <a:t>Non Debt Capital Receipts</a:t>
              </a:r>
            </a:p>
          </xdr:txBody>
        </xdr:sp>
      </xdr:grpSp>
      <xdr:graphicFrame macro="">
        <xdr:nvGraphicFramePr>
          <xdr:cNvPr id="48" name="Chart 47">
            <a:extLst>
              <a:ext uri="{FF2B5EF4-FFF2-40B4-BE49-F238E27FC236}">
                <a16:creationId xmlns:a16="http://schemas.microsoft.com/office/drawing/2014/main" id="{00000000-0008-0000-0000-000030000000}"/>
              </a:ext>
            </a:extLst>
          </xdr:cNvPr>
          <xdr:cNvGraphicFramePr>
            <a:graphicFrameLocks/>
          </xdr:cNvGraphicFramePr>
        </xdr:nvGraphicFramePr>
        <xdr:xfrm>
          <a:off x="4434840" y="5745480"/>
          <a:ext cx="2506980" cy="166116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0</xdr:colOff>
      <xdr:row>0</xdr:row>
      <xdr:rowOff>34713</xdr:rowOff>
    </xdr:from>
    <xdr:to>
      <xdr:col>8</xdr:col>
      <xdr:colOff>228600</xdr:colOff>
      <xdr:row>3</xdr:row>
      <xdr:rowOff>175260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0" y="34713"/>
          <a:ext cx="4749800" cy="699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IN" sz="1100" b="1" i="0">
              <a:solidFill>
                <a:schemeClr val="tx2">
                  <a:lumMod val="60000"/>
                  <a:lumOff val="40000"/>
                </a:schemeClr>
              </a:solidFill>
              <a:effectLst/>
              <a:latin typeface="+mn-lt"/>
              <a:ea typeface="+mn-ea"/>
              <a:cs typeface="+mn-cs"/>
            </a:rPr>
            <a:t>                       </a:t>
          </a:r>
          <a:r>
            <a:rPr lang="en-IN" sz="1400" b="1" i="0">
              <a:solidFill>
                <a:schemeClr val="tx2">
                  <a:lumMod val="60000"/>
                  <a:lumOff val="40000"/>
                </a:schemeClr>
              </a:solidFill>
              <a:effectLst/>
              <a:latin typeface="+mn-lt"/>
              <a:ea typeface="+mn-ea"/>
              <a:cs typeface="+mn-cs"/>
            </a:rPr>
            <a:t>CONTROLLER GENERAL OF ACCOUNTS</a:t>
          </a:r>
        </a:p>
        <a:p>
          <a:r>
            <a:rPr lang="en-IN" sz="1100" b="0" i="0">
              <a:solidFill>
                <a:schemeClr val="dk1"/>
              </a:solidFill>
              <a:effectLst/>
              <a:latin typeface="+mn-lt"/>
              <a:ea typeface="+mn-ea"/>
              <a:cs typeface="+mn-cs"/>
            </a:rPr>
            <a:t>                       </a:t>
          </a:r>
          <a:r>
            <a:rPr lang="en-IN" sz="1200" b="0" i="0">
              <a:solidFill>
                <a:schemeClr val="dk1"/>
              </a:solidFill>
              <a:effectLst/>
              <a:latin typeface="+mn-lt"/>
              <a:ea typeface="+mn-ea"/>
              <a:cs typeface="+mn-cs"/>
            </a:rPr>
            <a:t>MINISTRY OF FINANCE</a:t>
          </a:r>
        </a:p>
        <a:p>
          <a:r>
            <a:rPr lang="en-IN" sz="1200" b="0" i="0">
              <a:solidFill>
                <a:schemeClr val="dk1"/>
              </a:solidFill>
              <a:effectLst/>
              <a:latin typeface="+mn-lt"/>
              <a:ea typeface="+mn-ea"/>
              <a:cs typeface="+mn-cs"/>
            </a:rPr>
            <a:t>                     GOVERNMENT OF INDIA</a:t>
          </a:r>
          <a:endParaRPr lang="en-IN" sz="1200"/>
        </a:p>
      </xdr:txBody>
    </xdr:sp>
    <xdr:clientData/>
  </xdr:twoCellAnchor>
  <xdr:twoCellAnchor editAs="oneCell">
    <xdr:from>
      <xdr:col>0</xdr:col>
      <xdr:colOff>68580</xdr:colOff>
      <xdr:row>0</xdr:row>
      <xdr:rowOff>68580</xdr:rowOff>
    </xdr:from>
    <xdr:to>
      <xdr:col>1</xdr:col>
      <xdr:colOff>317722</xdr:colOff>
      <xdr:row>3</xdr:row>
      <xdr:rowOff>167640</xdr:rowOff>
    </xdr:to>
    <xdr:pic>
      <xdr:nvPicPr>
        <xdr:cNvPr id="4" name="Picture 3" descr="Image result for national em">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580" y="68580"/>
          <a:ext cx="576802"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19050</xdr:colOff>
      <xdr:row>0</xdr:row>
      <xdr:rowOff>137160</xdr:rowOff>
    </xdr:from>
    <xdr:to>
      <xdr:col>22</xdr:col>
      <xdr:colOff>133350</xdr:colOff>
      <xdr:row>3</xdr:row>
      <xdr:rowOff>144780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4419600" y="137160"/>
          <a:ext cx="8105775"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t>Union Government Monthly Accounts Dashboard</a:t>
          </a:r>
        </a:p>
      </xdr:txBody>
    </xdr:sp>
    <xdr:clientData/>
  </xdr:twoCellAnchor>
  <xdr:twoCellAnchor>
    <xdr:from>
      <xdr:col>0</xdr:col>
      <xdr:colOff>142875</xdr:colOff>
      <xdr:row>3</xdr:row>
      <xdr:rowOff>171450</xdr:rowOff>
    </xdr:from>
    <xdr:to>
      <xdr:col>27</xdr:col>
      <xdr:colOff>70485</xdr:colOff>
      <xdr:row>4</xdr:row>
      <xdr:rowOff>9525</xdr:rowOff>
    </xdr:to>
    <xdr:cxnSp macro="">
      <xdr:nvCxnSpPr>
        <xdr:cNvPr id="8" name="Straight Connector 7">
          <a:extLst>
            <a:ext uri="{FF2B5EF4-FFF2-40B4-BE49-F238E27FC236}">
              <a16:creationId xmlns:a16="http://schemas.microsoft.com/office/drawing/2014/main" id="{00000000-0008-0000-0000-000008000000}"/>
            </a:ext>
          </a:extLst>
        </xdr:cNvPr>
        <xdr:cNvCxnSpPr/>
      </xdr:nvCxnSpPr>
      <xdr:spPr>
        <a:xfrm flipV="1">
          <a:off x="142875" y="742950"/>
          <a:ext cx="14653260" cy="28575"/>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232409</xdr:colOff>
      <xdr:row>10</xdr:row>
      <xdr:rowOff>28575</xdr:rowOff>
    </xdr:from>
    <xdr:to>
      <xdr:col>4</xdr:col>
      <xdr:colOff>360045</xdr:colOff>
      <xdr:row>22</xdr:row>
      <xdr:rowOff>131445</xdr:rowOff>
    </xdr:to>
    <xdr:graphicFrame macro="">
      <xdr:nvGraphicFramePr>
        <xdr:cNvPr id="15" name="Chart 14">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4</xdr:row>
      <xdr:rowOff>76199</xdr:rowOff>
    </xdr:from>
    <xdr:to>
      <xdr:col>19</xdr:col>
      <xdr:colOff>85725</xdr:colOff>
      <xdr:row>9</xdr:row>
      <xdr:rowOff>76200</xdr:rowOff>
    </xdr:to>
    <xdr:grpSp>
      <xdr:nvGrpSpPr>
        <xdr:cNvPr id="23" name="Group 22">
          <a:extLst>
            <a:ext uri="{FF2B5EF4-FFF2-40B4-BE49-F238E27FC236}">
              <a16:creationId xmlns:a16="http://schemas.microsoft.com/office/drawing/2014/main" id="{00000000-0008-0000-0000-000017000000}"/>
            </a:ext>
          </a:extLst>
        </xdr:cNvPr>
        <xdr:cNvGrpSpPr/>
      </xdr:nvGrpSpPr>
      <xdr:grpSpPr>
        <a:xfrm>
          <a:off x="7289800" y="812799"/>
          <a:ext cx="4371975" cy="1022351"/>
          <a:chOff x="10154984" y="228598"/>
          <a:chExt cx="4493549" cy="2568516"/>
        </a:xfrm>
      </xdr:grpSpPr>
      <xdr:grpSp>
        <xdr:nvGrpSpPr>
          <xdr:cNvPr id="24" name="Group 10">
            <a:extLst>
              <a:ext uri="{FF2B5EF4-FFF2-40B4-BE49-F238E27FC236}">
                <a16:creationId xmlns:a16="http://schemas.microsoft.com/office/drawing/2014/main" id="{00000000-0008-0000-0000-000018000000}"/>
              </a:ext>
            </a:extLst>
          </xdr:cNvPr>
          <xdr:cNvGrpSpPr/>
        </xdr:nvGrpSpPr>
        <xdr:grpSpPr>
          <a:xfrm>
            <a:off x="10154984" y="228598"/>
            <a:ext cx="4493549" cy="2568516"/>
            <a:chOff x="10163174" y="495298"/>
            <a:chExt cx="3940204" cy="2051117"/>
          </a:xfrm>
        </xdr:grpSpPr>
        <xdr:sp macro="" textlink="">
          <xdr:nvSpPr>
            <xdr:cNvPr id="26" name="Rectangle 25">
              <a:extLst>
                <a:ext uri="{FF2B5EF4-FFF2-40B4-BE49-F238E27FC236}">
                  <a16:creationId xmlns:a16="http://schemas.microsoft.com/office/drawing/2014/main" id="{00000000-0008-0000-0000-00001A000000}"/>
                </a:ext>
              </a:extLst>
            </xdr:cNvPr>
            <xdr:cNvSpPr/>
          </xdr:nvSpPr>
          <xdr:spPr>
            <a:xfrm>
              <a:off x="10163174" y="495302"/>
              <a:ext cx="3940203" cy="2051113"/>
            </a:xfrm>
            <a:prstGeom prst="rect">
              <a:avLst/>
            </a:prstGeom>
            <a:noFill/>
          </xdr:spPr>
          <xdr:style>
            <a:lnRef idx="2">
              <a:schemeClr val="accent1"/>
            </a:lnRef>
            <a:fillRef idx="1">
              <a:schemeClr val="lt1"/>
            </a:fillRef>
            <a:effectRef idx="0">
              <a:schemeClr val="accent1"/>
            </a:effectRef>
            <a:fontRef idx="minor">
              <a:schemeClr val="dk1"/>
            </a:fontRef>
          </xdr:style>
          <xdr:txBody>
            <a:bodyPr numCol="2" rtlCol="0" anchor="ctr"/>
            <a:lstStyle/>
            <a:p>
              <a:pPr algn="ctr"/>
              <a:endParaRPr lang="en-US" sz="1100"/>
            </a:p>
          </xdr:txBody>
        </xdr:sp>
        <xdr:sp macro="" textlink="">
          <xdr:nvSpPr>
            <xdr:cNvPr id="27" name="Rectangle 26">
              <a:extLst>
                <a:ext uri="{FF2B5EF4-FFF2-40B4-BE49-F238E27FC236}">
                  <a16:creationId xmlns:a16="http://schemas.microsoft.com/office/drawing/2014/main" id="{00000000-0008-0000-0000-00001B000000}"/>
                </a:ext>
              </a:extLst>
            </xdr:cNvPr>
            <xdr:cNvSpPr/>
          </xdr:nvSpPr>
          <xdr:spPr>
            <a:xfrm>
              <a:off x="10178708" y="495298"/>
              <a:ext cx="3924670" cy="9397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10563225" y="304801"/>
            <a:ext cx="3486951" cy="1088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800" b="1">
                <a:solidFill>
                  <a:schemeClr val="bg1"/>
                </a:solidFill>
              </a:rPr>
              <a:t>Total Expenditure</a:t>
            </a:r>
          </a:p>
        </xdr:txBody>
      </xdr:sp>
    </xdr:grpSp>
    <xdr:clientData/>
  </xdr:twoCellAnchor>
  <xdr:twoCellAnchor>
    <xdr:from>
      <xdr:col>4</xdr:col>
      <xdr:colOff>533396</xdr:colOff>
      <xdr:row>10</xdr:row>
      <xdr:rowOff>85724</xdr:rowOff>
    </xdr:from>
    <xdr:to>
      <xdr:col>11</xdr:col>
      <xdr:colOff>226695</xdr:colOff>
      <xdr:row>18</xdr:row>
      <xdr:rowOff>106679</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3067046" y="2041524"/>
          <a:ext cx="4119249" cy="1849755"/>
          <a:chOff x="2872736" y="2013584"/>
          <a:chExt cx="4090039" cy="1704975"/>
        </a:xfrm>
      </xdr:grpSpPr>
      <xdr:sp macro="" textlink="">
        <xdr:nvSpPr>
          <xdr:cNvPr id="37" name="Rectangle 36">
            <a:extLst>
              <a:ext uri="{FF2B5EF4-FFF2-40B4-BE49-F238E27FC236}">
                <a16:creationId xmlns:a16="http://schemas.microsoft.com/office/drawing/2014/main" id="{00000000-0008-0000-0000-000025000000}"/>
              </a:ext>
            </a:extLst>
          </xdr:cNvPr>
          <xdr:cNvSpPr/>
        </xdr:nvSpPr>
        <xdr:spPr>
          <a:xfrm>
            <a:off x="2872739" y="2013584"/>
            <a:ext cx="4006215" cy="1645921"/>
          </a:xfrm>
          <a:prstGeom prst="rect">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nvGrpSpPr>
          <xdr:cNvPr id="35" name="Group 34">
            <a:extLst>
              <a:ext uri="{FF2B5EF4-FFF2-40B4-BE49-F238E27FC236}">
                <a16:creationId xmlns:a16="http://schemas.microsoft.com/office/drawing/2014/main" id="{00000000-0008-0000-0000-000023000000}"/>
              </a:ext>
            </a:extLst>
          </xdr:cNvPr>
          <xdr:cNvGrpSpPr/>
        </xdr:nvGrpSpPr>
        <xdr:grpSpPr>
          <a:xfrm>
            <a:off x="2872736" y="2013587"/>
            <a:ext cx="1653544" cy="401953"/>
            <a:chOff x="10934701" y="3181350"/>
            <a:chExt cx="1640008" cy="549698"/>
          </a:xfrm>
        </xdr:grpSpPr>
        <xdr:sp macro="" textlink="">
          <xdr:nvSpPr>
            <xdr:cNvPr id="38" name="Rectangle 37">
              <a:extLst>
                <a:ext uri="{FF2B5EF4-FFF2-40B4-BE49-F238E27FC236}">
                  <a16:creationId xmlns:a16="http://schemas.microsoft.com/office/drawing/2014/main" id="{00000000-0008-0000-0000-000026000000}"/>
                </a:ext>
              </a:extLst>
            </xdr:cNvPr>
            <xdr:cNvSpPr/>
          </xdr:nvSpPr>
          <xdr:spPr>
            <a:xfrm>
              <a:off x="10934701" y="3181350"/>
              <a:ext cx="1537508" cy="549698"/>
            </a:xfrm>
            <a:prstGeom prst="rect">
              <a:avLst/>
            </a:prstGeom>
            <a:solidFill>
              <a:schemeClr val="accent3">
                <a:lumMod val="40000"/>
                <a:lumOff val="60000"/>
              </a:schemeClr>
            </a:solidFill>
            <a:ln w="6350"/>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34" name="TextBox 33">
              <a:extLst>
                <a:ext uri="{FF2B5EF4-FFF2-40B4-BE49-F238E27FC236}">
                  <a16:creationId xmlns:a16="http://schemas.microsoft.com/office/drawing/2014/main" id="{00000000-0008-0000-0000-000022000000}"/>
                </a:ext>
              </a:extLst>
            </xdr:cNvPr>
            <xdr:cNvSpPr txBox="1"/>
          </xdr:nvSpPr>
          <xdr:spPr>
            <a:xfrm>
              <a:off x="10949022" y="3250774"/>
              <a:ext cx="1625687" cy="325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400" b="1">
                  <a:solidFill>
                    <a:schemeClr val="accent3">
                      <a:lumMod val="50000"/>
                    </a:schemeClr>
                  </a:solidFill>
                </a:rPr>
                <a:t>Tax Revenue (Net)</a:t>
              </a:r>
            </a:p>
          </xdr:txBody>
        </xdr:sp>
      </xdr:grpSp>
      <xdr:graphicFrame macro="">
        <xdr:nvGraphicFramePr>
          <xdr:cNvPr id="39" name="Chart 38">
            <a:extLst>
              <a:ext uri="{FF2B5EF4-FFF2-40B4-BE49-F238E27FC236}">
                <a16:creationId xmlns:a16="http://schemas.microsoft.com/office/drawing/2014/main" id="{00000000-0008-0000-0000-000027000000}"/>
              </a:ext>
            </a:extLst>
          </xdr:cNvPr>
          <xdr:cNvGraphicFramePr/>
        </xdr:nvGraphicFramePr>
        <xdr:xfrm>
          <a:off x="4404360" y="2019300"/>
          <a:ext cx="2558415" cy="169925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4</xdr:col>
      <xdr:colOff>548636</xdr:colOff>
      <xdr:row>18</xdr:row>
      <xdr:rowOff>123827</xdr:rowOff>
    </xdr:from>
    <xdr:to>
      <xdr:col>8</xdr:col>
      <xdr:colOff>91440</xdr:colOff>
      <xdr:row>20</xdr:row>
      <xdr:rowOff>160020</xdr:rowOff>
    </xdr:to>
    <xdr:grpSp>
      <xdr:nvGrpSpPr>
        <xdr:cNvPr id="41" name="Group 40">
          <a:extLst>
            <a:ext uri="{FF2B5EF4-FFF2-40B4-BE49-F238E27FC236}">
              <a16:creationId xmlns:a16="http://schemas.microsoft.com/office/drawing/2014/main" id="{00000000-0008-0000-0000-000029000000}"/>
            </a:ext>
          </a:extLst>
        </xdr:cNvPr>
        <xdr:cNvGrpSpPr/>
      </xdr:nvGrpSpPr>
      <xdr:grpSpPr>
        <a:xfrm>
          <a:off x="3082286" y="3908427"/>
          <a:ext cx="1631954" cy="506093"/>
          <a:chOff x="10934701" y="3181350"/>
          <a:chExt cx="1640008" cy="549698"/>
        </a:xfrm>
      </xdr:grpSpPr>
      <xdr:sp macro="" textlink="">
        <xdr:nvSpPr>
          <xdr:cNvPr id="42" name="Rectangle 41">
            <a:extLst>
              <a:ext uri="{FF2B5EF4-FFF2-40B4-BE49-F238E27FC236}">
                <a16:creationId xmlns:a16="http://schemas.microsoft.com/office/drawing/2014/main" id="{00000000-0008-0000-0000-00002A000000}"/>
              </a:ext>
            </a:extLst>
          </xdr:cNvPr>
          <xdr:cNvSpPr/>
        </xdr:nvSpPr>
        <xdr:spPr>
          <a:xfrm>
            <a:off x="10934701" y="3181350"/>
            <a:ext cx="1537508" cy="549698"/>
          </a:xfrm>
          <a:prstGeom prst="rect">
            <a:avLst/>
          </a:prstGeom>
          <a:solidFill>
            <a:schemeClr val="accent3">
              <a:lumMod val="40000"/>
              <a:lumOff val="60000"/>
            </a:schemeClr>
          </a:solidFill>
          <a:ln w="6350"/>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10949022" y="3250774"/>
            <a:ext cx="1625687" cy="325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400" b="1">
                <a:solidFill>
                  <a:schemeClr val="accent3">
                    <a:lumMod val="50000"/>
                  </a:schemeClr>
                </a:solidFill>
              </a:rPr>
              <a:t>Non Tax Revenue </a:t>
            </a:r>
          </a:p>
        </xdr:txBody>
      </xdr:sp>
    </xdr:grpSp>
    <xdr:clientData/>
  </xdr:twoCellAnchor>
  <xdr:twoCellAnchor>
    <xdr:from>
      <xdr:col>4</xdr:col>
      <xdr:colOff>531494</xdr:colOff>
      <xdr:row>18</xdr:row>
      <xdr:rowOff>123825</xdr:rowOff>
    </xdr:from>
    <xdr:to>
      <xdr:col>11</xdr:col>
      <xdr:colOff>150494</xdr:colOff>
      <xdr:row>26</xdr:row>
      <xdr:rowOff>68581</xdr:rowOff>
    </xdr:to>
    <xdr:grpSp>
      <xdr:nvGrpSpPr>
        <xdr:cNvPr id="83" name="Group 82">
          <a:extLst>
            <a:ext uri="{FF2B5EF4-FFF2-40B4-BE49-F238E27FC236}">
              <a16:creationId xmlns:a16="http://schemas.microsoft.com/office/drawing/2014/main" id="{00000000-0008-0000-0000-000053000000}"/>
            </a:ext>
          </a:extLst>
        </xdr:cNvPr>
        <xdr:cNvGrpSpPr/>
      </xdr:nvGrpSpPr>
      <xdr:grpSpPr>
        <a:xfrm>
          <a:off x="3065144" y="3908425"/>
          <a:ext cx="4044950" cy="1792606"/>
          <a:chOff x="2941319" y="3914775"/>
          <a:chExt cx="3838575" cy="1764031"/>
        </a:xfrm>
      </xdr:grpSpPr>
      <xdr:sp macro="" textlink="">
        <xdr:nvSpPr>
          <xdr:cNvPr id="36" name="Rectangle 35">
            <a:extLst>
              <a:ext uri="{FF2B5EF4-FFF2-40B4-BE49-F238E27FC236}">
                <a16:creationId xmlns:a16="http://schemas.microsoft.com/office/drawing/2014/main" id="{00000000-0008-0000-0000-000024000000}"/>
              </a:ext>
            </a:extLst>
          </xdr:cNvPr>
          <xdr:cNvSpPr/>
        </xdr:nvSpPr>
        <xdr:spPr>
          <a:xfrm>
            <a:off x="2941319" y="3914775"/>
            <a:ext cx="3838575" cy="1764031"/>
          </a:xfrm>
          <a:prstGeom prst="rect">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aphicFrame macro="">
        <xdr:nvGraphicFramePr>
          <xdr:cNvPr id="44" name="Chart 43">
            <a:extLst>
              <a:ext uri="{FF2B5EF4-FFF2-40B4-BE49-F238E27FC236}">
                <a16:creationId xmlns:a16="http://schemas.microsoft.com/office/drawing/2014/main" id="{00000000-0008-0000-0000-00002C000000}"/>
              </a:ext>
            </a:extLst>
          </xdr:cNvPr>
          <xdr:cNvGraphicFramePr>
            <a:graphicFrameLocks/>
          </xdr:cNvGraphicFramePr>
        </xdr:nvGraphicFramePr>
        <xdr:xfrm>
          <a:off x="4400550" y="3920490"/>
          <a:ext cx="2366010" cy="173545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11</xdr:col>
      <xdr:colOff>310515</xdr:colOff>
      <xdr:row>10</xdr:row>
      <xdr:rowOff>81914</xdr:rowOff>
    </xdr:from>
    <xdr:to>
      <xdr:col>19</xdr:col>
      <xdr:colOff>114300</xdr:colOff>
      <xdr:row>26</xdr:row>
      <xdr:rowOff>76200</xdr:rowOff>
    </xdr:to>
    <xdr:grpSp>
      <xdr:nvGrpSpPr>
        <xdr:cNvPr id="82" name="Group 81">
          <a:extLst>
            <a:ext uri="{FF2B5EF4-FFF2-40B4-BE49-F238E27FC236}">
              <a16:creationId xmlns:a16="http://schemas.microsoft.com/office/drawing/2014/main" id="{00000000-0008-0000-0000-000052000000}"/>
            </a:ext>
          </a:extLst>
        </xdr:cNvPr>
        <xdr:cNvGrpSpPr/>
      </xdr:nvGrpSpPr>
      <xdr:grpSpPr>
        <a:xfrm>
          <a:off x="7270115" y="2037714"/>
          <a:ext cx="4420235" cy="3670936"/>
          <a:chOff x="6939915" y="2101214"/>
          <a:chExt cx="4080510" cy="3623312"/>
        </a:xfrm>
      </xdr:grpSpPr>
      <xdr:grpSp>
        <xdr:nvGrpSpPr>
          <xdr:cNvPr id="49" name="Group 48">
            <a:extLst>
              <a:ext uri="{FF2B5EF4-FFF2-40B4-BE49-F238E27FC236}">
                <a16:creationId xmlns:a16="http://schemas.microsoft.com/office/drawing/2014/main" id="{00000000-0008-0000-0000-000031000000}"/>
              </a:ext>
            </a:extLst>
          </xdr:cNvPr>
          <xdr:cNvGrpSpPr/>
        </xdr:nvGrpSpPr>
        <xdr:grpSpPr>
          <a:xfrm>
            <a:off x="6950960" y="2101214"/>
            <a:ext cx="4031365" cy="3585211"/>
            <a:chOff x="2872366" y="2013584"/>
            <a:chExt cx="4006588" cy="1645921"/>
          </a:xfrm>
        </xdr:grpSpPr>
        <xdr:sp macro="" textlink="">
          <xdr:nvSpPr>
            <xdr:cNvPr id="50" name="Rectangle 49">
              <a:extLst>
                <a:ext uri="{FF2B5EF4-FFF2-40B4-BE49-F238E27FC236}">
                  <a16:creationId xmlns:a16="http://schemas.microsoft.com/office/drawing/2014/main" id="{00000000-0008-0000-0000-000032000000}"/>
                </a:ext>
              </a:extLst>
            </xdr:cNvPr>
            <xdr:cNvSpPr/>
          </xdr:nvSpPr>
          <xdr:spPr>
            <a:xfrm>
              <a:off x="2872739" y="2013584"/>
              <a:ext cx="4006215" cy="1645921"/>
            </a:xfrm>
            <a:prstGeom prst="rect">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nvGrpSpPr>
            <xdr:cNvPr id="51" name="Group 50">
              <a:extLst>
                <a:ext uri="{FF2B5EF4-FFF2-40B4-BE49-F238E27FC236}">
                  <a16:creationId xmlns:a16="http://schemas.microsoft.com/office/drawing/2014/main" id="{00000000-0008-0000-0000-000033000000}"/>
                </a:ext>
              </a:extLst>
            </xdr:cNvPr>
            <xdr:cNvGrpSpPr/>
          </xdr:nvGrpSpPr>
          <xdr:grpSpPr>
            <a:xfrm>
              <a:off x="2872366" y="2013584"/>
              <a:ext cx="1814650" cy="199810"/>
              <a:chOff x="10934333" y="3181350"/>
              <a:chExt cx="1799795" cy="273254"/>
            </a:xfrm>
          </xdr:grpSpPr>
          <xdr:sp macro="" textlink="">
            <xdr:nvSpPr>
              <xdr:cNvPr id="53" name="Rectangle 52">
                <a:extLst>
                  <a:ext uri="{FF2B5EF4-FFF2-40B4-BE49-F238E27FC236}">
                    <a16:creationId xmlns:a16="http://schemas.microsoft.com/office/drawing/2014/main" id="{00000000-0008-0000-0000-000035000000}"/>
                  </a:ext>
                </a:extLst>
              </xdr:cNvPr>
              <xdr:cNvSpPr/>
            </xdr:nvSpPr>
            <xdr:spPr>
              <a:xfrm>
                <a:off x="10934701" y="3181350"/>
                <a:ext cx="1748013" cy="268171"/>
              </a:xfrm>
              <a:prstGeom prst="rect">
                <a:avLst/>
              </a:prstGeom>
              <a:solidFill>
                <a:schemeClr val="accent3">
                  <a:lumMod val="40000"/>
                  <a:lumOff val="60000"/>
                </a:schemeClr>
              </a:solidFill>
              <a:ln w="6350"/>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10934333" y="3194852"/>
                <a:ext cx="1799795" cy="259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400" b="1">
                    <a:solidFill>
                      <a:schemeClr val="accent3">
                        <a:lumMod val="50000"/>
                      </a:schemeClr>
                    </a:solidFill>
                  </a:rPr>
                  <a:t>Revenue Expenditure</a:t>
                </a:r>
              </a:p>
            </xdr:txBody>
          </xdr:sp>
        </xdr:grpSp>
      </xdr:grpSp>
      <xdr:graphicFrame macro="">
        <xdr:nvGraphicFramePr>
          <xdr:cNvPr id="52" name="Chart 51">
            <a:extLst>
              <a:ext uri="{FF2B5EF4-FFF2-40B4-BE49-F238E27FC236}">
                <a16:creationId xmlns:a16="http://schemas.microsoft.com/office/drawing/2014/main" id="{00000000-0008-0000-0000-000034000000}"/>
              </a:ext>
            </a:extLst>
          </xdr:cNvPr>
          <xdr:cNvGraphicFramePr>
            <a:graphicFrameLocks/>
          </xdr:cNvGraphicFramePr>
        </xdr:nvGraphicFramePr>
        <xdr:xfrm>
          <a:off x="6939915" y="3615691"/>
          <a:ext cx="3966210" cy="210883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5" name="Chart 54">
            <a:extLst>
              <a:ext uri="{FF2B5EF4-FFF2-40B4-BE49-F238E27FC236}">
                <a16:creationId xmlns:a16="http://schemas.microsoft.com/office/drawing/2014/main" id="{00000000-0008-0000-0000-000037000000}"/>
              </a:ext>
            </a:extLst>
          </xdr:cNvPr>
          <xdr:cNvGraphicFramePr>
            <a:graphicFrameLocks/>
          </xdr:cNvGraphicFramePr>
        </xdr:nvGraphicFramePr>
        <xdr:xfrm>
          <a:off x="8734425" y="2106930"/>
          <a:ext cx="2286000" cy="1560195"/>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12</xdr:col>
      <xdr:colOff>0</xdr:colOff>
      <xdr:row>26</xdr:row>
      <xdr:rowOff>114300</xdr:rowOff>
    </xdr:from>
    <xdr:to>
      <xdr:col>19</xdr:col>
      <xdr:colOff>85726</xdr:colOff>
      <xdr:row>35</xdr:row>
      <xdr:rowOff>104777</xdr:rowOff>
    </xdr:to>
    <xdr:grpSp>
      <xdr:nvGrpSpPr>
        <xdr:cNvPr id="81" name="Group 80">
          <a:extLst>
            <a:ext uri="{FF2B5EF4-FFF2-40B4-BE49-F238E27FC236}">
              <a16:creationId xmlns:a16="http://schemas.microsoft.com/office/drawing/2014/main" id="{00000000-0008-0000-0000-000051000000}"/>
            </a:ext>
          </a:extLst>
        </xdr:cNvPr>
        <xdr:cNvGrpSpPr/>
      </xdr:nvGrpSpPr>
      <xdr:grpSpPr>
        <a:xfrm>
          <a:off x="7289800" y="5746750"/>
          <a:ext cx="4371976" cy="1749427"/>
          <a:chOff x="6951346" y="5762963"/>
          <a:chExt cx="4030980" cy="1752264"/>
        </a:xfrm>
      </xdr:grpSpPr>
      <xdr:grpSp>
        <xdr:nvGrpSpPr>
          <xdr:cNvPr id="56" name="Group 55">
            <a:extLst>
              <a:ext uri="{FF2B5EF4-FFF2-40B4-BE49-F238E27FC236}">
                <a16:creationId xmlns:a16="http://schemas.microsoft.com/office/drawing/2014/main" id="{00000000-0008-0000-0000-000038000000}"/>
              </a:ext>
            </a:extLst>
          </xdr:cNvPr>
          <xdr:cNvGrpSpPr/>
        </xdr:nvGrpSpPr>
        <xdr:grpSpPr>
          <a:xfrm>
            <a:off x="6951346" y="5762963"/>
            <a:ext cx="4030980" cy="1752264"/>
            <a:chOff x="2880356" y="5738262"/>
            <a:chExt cx="4006218" cy="1677903"/>
          </a:xfrm>
        </xdr:grpSpPr>
        <xdr:sp macro="" textlink="">
          <xdr:nvSpPr>
            <xdr:cNvPr id="57" name="Rectangle 56">
              <a:extLst>
                <a:ext uri="{FF2B5EF4-FFF2-40B4-BE49-F238E27FC236}">
                  <a16:creationId xmlns:a16="http://schemas.microsoft.com/office/drawing/2014/main" id="{00000000-0008-0000-0000-000039000000}"/>
                </a:ext>
              </a:extLst>
            </xdr:cNvPr>
            <xdr:cNvSpPr/>
          </xdr:nvSpPr>
          <xdr:spPr>
            <a:xfrm>
              <a:off x="2880359" y="5739764"/>
              <a:ext cx="4006215" cy="1676401"/>
            </a:xfrm>
            <a:prstGeom prst="rect">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nvGrpSpPr>
            <xdr:cNvPr id="58" name="Group 57">
              <a:extLst>
                <a:ext uri="{FF2B5EF4-FFF2-40B4-BE49-F238E27FC236}">
                  <a16:creationId xmlns:a16="http://schemas.microsoft.com/office/drawing/2014/main" id="{00000000-0008-0000-0000-00003A000000}"/>
                </a:ext>
              </a:extLst>
            </xdr:cNvPr>
            <xdr:cNvGrpSpPr/>
          </xdr:nvGrpSpPr>
          <xdr:grpSpPr>
            <a:xfrm>
              <a:off x="2880356" y="5738262"/>
              <a:ext cx="1688539" cy="391022"/>
              <a:chOff x="10934704" y="3172777"/>
              <a:chExt cx="1674717" cy="367531"/>
            </a:xfrm>
          </xdr:grpSpPr>
          <xdr:sp macro="" textlink="">
            <xdr:nvSpPr>
              <xdr:cNvPr id="60" name="Rectangle 59">
                <a:extLst>
                  <a:ext uri="{FF2B5EF4-FFF2-40B4-BE49-F238E27FC236}">
                    <a16:creationId xmlns:a16="http://schemas.microsoft.com/office/drawing/2014/main" id="{00000000-0008-0000-0000-00003C000000}"/>
                  </a:ext>
                </a:extLst>
              </xdr:cNvPr>
              <xdr:cNvSpPr/>
            </xdr:nvSpPr>
            <xdr:spPr>
              <a:xfrm>
                <a:off x="10934704" y="3172777"/>
                <a:ext cx="1674717" cy="367531"/>
              </a:xfrm>
              <a:prstGeom prst="rect">
                <a:avLst/>
              </a:prstGeom>
              <a:solidFill>
                <a:schemeClr val="accent3">
                  <a:lumMod val="40000"/>
                  <a:lumOff val="60000"/>
                </a:schemeClr>
              </a:solidFill>
              <a:ln w="6350"/>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61" name="TextBox 60">
                <a:extLst>
                  <a:ext uri="{FF2B5EF4-FFF2-40B4-BE49-F238E27FC236}">
                    <a16:creationId xmlns:a16="http://schemas.microsoft.com/office/drawing/2014/main" id="{00000000-0008-0000-0000-00003D000000}"/>
                  </a:ext>
                </a:extLst>
              </xdr:cNvPr>
              <xdr:cNvSpPr txBox="1"/>
            </xdr:nvSpPr>
            <xdr:spPr>
              <a:xfrm>
                <a:off x="10949021" y="3199227"/>
                <a:ext cx="1660396" cy="300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400" b="1">
                    <a:solidFill>
                      <a:schemeClr val="accent3">
                        <a:lumMod val="50000"/>
                      </a:schemeClr>
                    </a:solidFill>
                  </a:rPr>
                  <a:t>Capital Expenditure</a:t>
                </a:r>
              </a:p>
            </xdr:txBody>
          </xdr:sp>
        </xdr:grpSp>
      </xdr:grpSp>
      <xdr:graphicFrame macro="">
        <xdr:nvGraphicFramePr>
          <xdr:cNvPr id="62" name="Chart 61">
            <a:extLst>
              <a:ext uri="{FF2B5EF4-FFF2-40B4-BE49-F238E27FC236}">
                <a16:creationId xmlns:a16="http://schemas.microsoft.com/office/drawing/2014/main" id="{00000000-0008-0000-0000-00003E000000}"/>
              </a:ext>
            </a:extLst>
          </xdr:cNvPr>
          <xdr:cNvGraphicFramePr/>
        </xdr:nvGraphicFramePr>
        <xdr:xfrm>
          <a:off x="8677274" y="5810250"/>
          <a:ext cx="2238375" cy="16764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19</xdr:col>
      <xdr:colOff>285746</xdr:colOff>
      <xdr:row>4</xdr:row>
      <xdr:rowOff>76198</xdr:rowOff>
    </xdr:from>
    <xdr:to>
      <xdr:col>27</xdr:col>
      <xdr:colOff>38100</xdr:colOff>
      <xdr:row>13</xdr:row>
      <xdr:rowOff>238124</xdr:rowOff>
    </xdr:to>
    <xdr:grpSp>
      <xdr:nvGrpSpPr>
        <xdr:cNvPr id="78" name="Group 77">
          <a:extLst>
            <a:ext uri="{FF2B5EF4-FFF2-40B4-BE49-F238E27FC236}">
              <a16:creationId xmlns:a16="http://schemas.microsoft.com/office/drawing/2014/main" id="{00000000-0008-0000-0000-00004E000000}"/>
            </a:ext>
          </a:extLst>
        </xdr:cNvPr>
        <xdr:cNvGrpSpPr/>
      </xdr:nvGrpSpPr>
      <xdr:grpSpPr>
        <a:xfrm>
          <a:off x="11861796" y="812798"/>
          <a:ext cx="4425954" cy="2066926"/>
          <a:chOff x="11182346" y="838198"/>
          <a:chExt cx="4210054" cy="2047876"/>
        </a:xfrm>
      </xdr:grpSpPr>
      <xdr:grpSp>
        <xdr:nvGrpSpPr>
          <xdr:cNvPr id="29" name="Group 28">
            <a:extLst>
              <a:ext uri="{FF2B5EF4-FFF2-40B4-BE49-F238E27FC236}">
                <a16:creationId xmlns:a16="http://schemas.microsoft.com/office/drawing/2014/main" id="{00000000-0008-0000-0000-00001D000000}"/>
              </a:ext>
            </a:extLst>
          </xdr:cNvPr>
          <xdr:cNvGrpSpPr/>
        </xdr:nvGrpSpPr>
        <xdr:grpSpPr>
          <a:xfrm>
            <a:off x="11182346" y="838198"/>
            <a:ext cx="4191005" cy="2038352"/>
            <a:chOff x="10154984" y="228598"/>
            <a:chExt cx="4493550" cy="2568516"/>
          </a:xfrm>
        </xdr:grpSpPr>
        <xdr:grpSp>
          <xdr:nvGrpSpPr>
            <xdr:cNvPr id="30" name="Group 10">
              <a:extLst>
                <a:ext uri="{FF2B5EF4-FFF2-40B4-BE49-F238E27FC236}">
                  <a16:creationId xmlns:a16="http://schemas.microsoft.com/office/drawing/2014/main" id="{00000000-0008-0000-0000-00001E000000}"/>
                </a:ext>
              </a:extLst>
            </xdr:cNvPr>
            <xdr:cNvGrpSpPr/>
          </xdr:nvGrpSpPr>
          <xdr:grpSpPr>
            <a:xfrm>
              <a:off x="10154984" y="228598"/>
              <a:ext cx="4493550" cy="2568516"/>
              <a:chOff x="10163174" y="495298"/>
              <a:chExt cx="3940205" cy="2051117"/>
            </a:xfrm>
          </xdr:grpSpPr>
          <xdr:sp macro="" textlink="">
            <xdr:nvSpPr>
              <xdr:cNvPr id="32" name="Rectangle 31">
                <a:extLst>
                  <a:ext uri="{FF2B5EF4-FFF2-40B4-BE49-F238E27FC236}">
                    <a16:creationId xmlns:a16="http://schemas.microsoft.com/office/drawing/2014/main" id="{00000000-0008-0000-0000-000020000000}"/>
                  </a:ext>
                </a:extLst>
              </xdr:cNvPr>
              <xdr:cNvSpPr/>
            </xdr:nvSpPr>
            <xdr:spPr>
              <a:xfrm>
                <a:off x="10163174" y="495302"/>
                <a:ext cx="3940203" cy="2051113"/>
              </a:xfrm>
              <a:prstGeom prst="rect">
                <a:avLst/>
              </a:prstGeom>
              <a:noFill/>
            </xdr:spPr>
            <xdr:style>
              <a:lnRef idx="2">
                <a:schemeClr val="accent1"/>
              </a:lnRef>
              <a:fillRef idx="1">
                <a:schemeClr val="lt1"/>
              </a:fillRef>
              <a:effectRef idx="0">
                <a:schemeClr val="accent1"/>
              </a:effectRef>
              <a:fontRef idx="minor">
                <a:schemeClr val="dk1"/>
              </a:fontRef>
            </xdr:style>
            <xdr:txBody>
              <a:bodyPr numCol="2" rtlCol="0" anchor="ctr"/>
              <a:lstStyle/>
              <a:p>
                <a:pPr algn="ctr"/>
                <a:endParaRPr lang="en-US" sz="1100"/>
              </a:p>
            </xdr:txBody>
          </xdr:sp>
          <xdr:sp macro="" textlink="">
            <xdr:nvSpPr>
              <xdr:cNvPr id="33" name="Rectangle 32">
                <a:extLst>
                  <a:ext uri="{FF2B5EF4-FFF2-40B4-BE49-F238E27FC236}">
                    <a16:creationId xmlns:a16="http://schemas.microsoft.com/office/drawing/2014/main" id="{00000000-0008-0000-0000-000021000000}"/>
                  </a:ext>
                </a:extLst>
              </xdr:cNvPr>
              <xdr:cNvSpPr/>
            </xdr:nvSpPr>
            <xdr:spPr>
              <a:xfrm>
                <a:off x="10163179" y="495298"/>
                <a:ext cx="3940200" cy="4025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10553036" y="257015"/>
              <a:ext cx="3440353" cy="364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800" b="1">
                  <a:solidFill>
                    <a:schemeClr val="bg1"/>
                  </a:solidFill>
                </a:rPr>
                <a:t>Fiscal</a:t>
              </a:r>
              <a:r>
                <a:rPr lang="en-US" sz="1800" b="1" baseline="0">
                  <a:solidFill>
                    <a:schemeClr val="bg1"/>
                  </a:solidFill>
                </a:rPr>
                <a:t> Deficit</a:t>
              </a:r>
              <a:endParaRPr lang="en-US" sz="1800" b="1">
                <a:solidFill>
                  <a:schemeClr val="bg1"/>
                </a:solidFill>
              </a:endParaRPr>
            </a:p>
          </xdr:txBody>
        </xdr:sp>
      </xdr:grpSp>
      <xdr:graphicFrame macro="">
        <xdr:nvGraphicFramePr>
          <xdr:cNvPr id="77" name="Chart 76">
            <a:extLst>
              <a:ext uri="{FF2B5EF4-FFF2-40B4-BE49-F238E27FC236}">
                <a16:creationId xmlns:a16="http://schemas.microsoft.com/office/drawing/2014/main" id="{00000000-0008-0000-0000-00004D000000}"/>
              </a:ext>
            </a:extLst>
          </xdr:cNvPr>
          <xdr:cNvGraphicFramePr/>
        </xdr:nvGraphicFramePr>
        <xdr:xfrm>
          <a:off x="12916086" y="1236312"/>
          <a:ext cx="2476314" cy="1649762"/>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19</xdr:col>
      <xdr:colOff>276223</xdr:colOff>
      <xdr:row>14</xdr:row>
      <xdr:rowOff>200023</xdr:rowOff>
    </xdr:from>
    <xdr:to>
      <xdr:col>27</xdr:col>
      <xdr:colOff>47625</xdr:colOff>
      <xdr:row>24</xdr:row>
      <xdr:rowOff>47625</xdr:rowOff>
    </xdr:to>
    <xdr:grpSp>
      <xdr:nvGrpSpPr>
        <xdr:cNvPr id="79" name="Group 78">
          <a:extLst>
            <a:ext uri="{FF2B5EF4-FFF2-40B4-BE49-F238E27FC236}">
              <a16:creationId xmlns:a16="http://schemas.microsoft.com/office/drawing/2014/main" id="{00000000-0008-0000-0000-00004F000000}"/>
            </a:ext>
          </a:extLst>
        </xdr:cNvPr>
        <xdr:cNvGrpSpPr/>
      </xdr:nvGrpSpPr>
      <xdr:grpSpPr>
        <a:xfrm>
          <a:off x="11852273" y="3076573"/>
          <a:ext cx="4445002" cy="2222502"/>
          <a:chOff x="11172823" y="3086098"/>
          <a:chExt cx="4229102" cy="2181227"/>
        </a:xfrm>
      </xdr:grpSpPr>
      <xdr:grpSp>
        <xdr:nvGrpSpPr>
          <xdr:cNvPr id="67" name="Group 66">
            <a:extLst>
              <a:ext uri="{FF2B5EF4-FFF2-40B4-BE49-F238E27FC236}">
                <a16:creationId xmlns:a16="http://schemas.microsoft.com/office/drawing/2014/main" id="{00000000-0008-0000-0000-000043000000}"/>
              </a:ext>
            </a:extLst>
          </xdr:cNvPr>
          <xdr:cNvGrpSpPr/>
        </xdr:nvGrpSpPr>
        <xdr:grpSpPr>
          <a:xfrm>
            <a:off x="11172823" y="3086098"/>
            <a:ext cx="4219577" cy="2143127"/>
            <a:chOff x="10154984" y="228598"/>
            <a:chExt cx="4493548" cy="2568516"/>
          </a:xfrm>
        </xdr:grpSpPr>
        <xdr:grpSp>
          <xdr:nvGrpSpPr>
            <xdr:cNvPr id="68" name="Group 10">
              <a:extLst>
                <a:ext uri="{FF2B5EF4-FFF2-40B4-BE49-F238E27FC236}">
                  <a16:creationId xmlns:a16="http://schemas.microsoft.com/office/drawing/2014/main" id="{00000000-0008-0000-0000-000044000000}"/>
                </a:ext>
              </a:extLst>
            </xdr:cNvPr>
            <xdr:cNvGrpSpPr/>
          </xdr:nvGrpSpPr>
          <xdr:grpSpPr>
            <a:xfrm>
              <a:off x="10154984" y="228598"/>
              <a:ext cx="4493548" cy="2568516"/>
              <a:chOff x="10163174" y="495298"/>
              <a:chExt cx="3940203" cy="2051117"/>
            </a:xfrm>
          </xdr:grpSpPr>
          <xdr:sp macro="" textlink="">
            <xdr:nvSpPr>
              <xdr:cNvPr id="70" name="Rectangle 69">
                <a:extLst>
                  <a:ext uri="{FF2B5EF4-FFF2-40B4-BE49-F238E27FC236}">
                    <a16:creationId xmlns:a16="http://schemas.microsoft.com/office/drawing/2014/main" id="{00000000-0008-0000-0000-000046000000}"/>
                  </a:ext>
                </a:extLst>
              </xdr:cNvPr>
              <xdr:cNvSpPr/>
            </xdr:nvSpPr>
            <xdr:spPr>
              <a:xfrm>
                <a:off x="10163174" y="495302"/>
                <a:ext cx="3940203" cy="2051113"/>
              </a:xfrm>
              <a:prstGeom prst="rect">
                <a:avLst/>
              </a:prstGeom>
              <a:noFill/>
            </xdr:spPr>
            <xdr:style>
              <a:lnRef idx="2">
                <a:schemeClr val="accent1"/>
              </a:lnRef>
              <a:fillRef idx="1">
                <a:schemeClr val="lt1"/>
              </a:fillRef>
              <a:effectRef idx="0">
                <a:schemeClr val="accent1"/>
              </a:effectRef>
              <a:fontRef idx="minor">
                <a:schemeClr val="dk1"/>
              </a:fontRef>
            </xdr:style>
            <xdr:txBody>
              <a:bodyPr numCol="2" rtlCol="0" anchor="ctr"/>
              <a:lstStyle/>
              <a:p>
                <a:pPr algn="ctr"/>
                <a:endParaRPr lang="en-US" sz="1100"/>
              </a:p>
            </xdr:txBody>
          </xdr:sp>
          <xdr:sp macro="" textlink="">
            <xdr:nvSpPr>
              <xdr:cNvPr id="71" name="Rectangle 70">
                <a:extLst>
                  <a:ext uri="{FF2B5EF4-FFF2-40B4-BE49-F238E27FC236}">
                    <a16:creationId xmlns:a16="http://schemas.microsoft.com/office/drawing/2014/main" id="{00000000-0008-0000-0000-000047000000}"/>
                  </a:ext>
                </a:extLst>
              </xdr:cNvPr>
              <xdr:cNvSpPr/>
            </xdr:nvSpPr>
            <xdr:spPr>
              <a:xfrm>
                <a:off x="10163176" y="495298"/>
                <a:ext cx="3940201" cy="3919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sp macro="" textlink="">
          <xdr:nvSpPr>
            <xdr:cNvPr id="69" name="TextBox 68">
              <a:extLst>
                <a:ext uri="{FF2B5EF4-FFF2-40B4-BE49-F238E27FC236}">
                  <a16:creationId xmlns:a16="http://schemas.microsoft.com/office/drawing/2014/main" id="{00000000-0008-0000-0000-000045000000}"/>
                </a:ext>
              </a:extLst>
            </xdr:cNvPr>
            <xdr:cNvSpPr txBox="1"/>
          </xdr:nvSpPr>
          <xdr:spPr>
            <a:xfrm>
              <a:off x="10563225" y="233122"/>
              <a:ext cx="3440352" cy="364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800" b="1">
                  <a:solidFill>
                    <a:schemeClr val="bg1"/>
                  </a:solidFill>
                </a:rPr>
                <a:t>Revenue</a:t>
              </a:r>
              <a:r>
                <a:rPr lang="en-US" sz="1800" b="1" baseline="0">
                  <a:solidFill>
                    <a:schemeClr val="bg1"/>
                  </a:solidFill>
                </a:rPr>
                <a:t> Deficit</a:t>
              </a:r>
              <a:endParaRPr lang="en-US" sz="1800" b="1">
                <a:solidFill>
                  <a:schemeClr val="bg1"/>
                </a:solidFill>
              </a:endParaRPr>
            </a:p>
          </xdr:txBody>
        </xdr:sp>
      </xdr:grpSp>
      <xdr:graphicFrame macro="">
        <xdr:nvGraphicFramePr>
          <xdr:cNvPr id="65" name="Chart 64">
            <a:extLst>
              <a:ext uri="{FF2B5EF4-FFF2-40B4-BE49-F238E27FC236}">
                <a16:creationId xmlns:a16="http://schemas.microsoft.com/office/drawing/2014/main" id="{00000000-0008-0000-0000-000041000000}"/>
              </a:ext>
            </a:extLst>
          </xdr:cNvPr>
          <xdr:cNvGraphicFramePr/>
        </xdr:nvGraphicFramePr>
        <xdr:xfrm>
          <a:off x="12858750" y="3552824"/>
          <a:ext cx="2543175" cy="1714501"/>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19</xdr:col>
      <xdr:colOff>266698</xdr:colOff>
      <xdr:row>25</xdr:row>
      <xdr:rowOff>28573</xdr:rowOff>
    </xdr:from>
    <xdr:to>
      <xdr:col>27</xdr:col>
      <xdr:colOff>57149</xdr:colOff>
      <xdr:row>35</xdr:row>
      <xdr:rowOff>123825</xdr:rowOff>
    </xdr:to>
    <xdr:grpSp>
      <xdr:nvGrpSpPr>
        <xdr:cNvPr id="80" name="Group 79">
          <a:extLst>
            <a:ext uri="{FF2B5EF4-FFF2-40B4-BE49-F238E27FC236}">
              <a16:creationId xmlns:a16="http://schemas.microsoft.com/office/drawing/2014/main" id="{00000000-0008-0000-0000-000050000000}"/>
            </a:ext>
          </a:extLst>
        </xdr:cNvPr>
        <xdr:cNvGrpSpPr/>
      </xdr:nvGrpSpPr>
      <xdr:grpSpPr>
        <a:xfrm>
          <a:off x="11842748" y="5476873"/>
          <a:ext cx="4464051" cy="2038352"/>
          <a:chOff x="11163298" y="5448298"/>
          <a:chExt cx="4248151" cy="2085977"/>
        </a:xfrm>
      </xdr:grpSpPr>
      <xdr:grpSp>
        <xdr:nvGrpSpPr>
          <xdr:cNvPr id="72" name="Group 71">
            <a:extLst>
              <a:ext uri="{FF2B5EF4-FFF2-40B4-BE49-F238E27FC236}">
                <a16:creationId xmlns:a16="http://schemas.microsoft.com/office/drawing/2014/main" id="{00000000-0008-0000-0000-000048000000}"/>
              </a:ext>
            </a:extLst>
          </xdr:cNvPr>
          <xdr:cNvGrpSpPr/>
        </xdr:nvGrpSpPr>
        <xdr:grpSpPr>
          <a:xfrm>
            <a:off x="11163298" y="5448298"/>
            <a:ext cx="4219577" cy="2047877"/>
            <a:chOff x="10154984" y="228598"/>
            <a:chExt cx="4493548" cy="2568516"/>
          </a:xfrm>
        </xdr:grpSpPr>
        <xdr:grpSp>
          <xdr:nvGrpSpPr>
            <xdr:cNvPr id="73" name="Group 10">
              <a:extLst>
                <a:ext uri="{FF2B5EF4-FFF2-40B4-BE49-F238E27FC236}">
                  <a16:creationId xmlns:a16="http://schemas.microsoft.com/office/drawing/2014/main" id="{00000000-0008-0000-0000-000049000000}"/>
                </a:ext>
              </a:extLst>
            </xdr:cNvPr>
            <xdr:cNvGrpSpPr/>
          </xdr:nvGrpSpPr>
          <xdr:grpSpPr>
            <a:xfrm>
              <a:off x="10154984" y="228598"/>
              <a:ext cx="4493548" cy="2568516"/>
              <a:chOff x="10163174" y="495298"/>
              <a:chExt cx="3940203" cy="2051117"/>
            </a:xfrm>
          </xdr:grpSpPr>
          <xdr:sp macro="" textlink="">
            <xdr:nvSpPr>
              <xdr:cNvPr id="75" name="Rectangle 74">
                <a:extLst>
                  <a:ext uri="{FF2B5EF4-FFF2-40B4-BE49-F238E27FC236}">
                    <a16:creationId xmlns:a16="http://schemas.microsoft.com/office/drawing/2014/main" id="{00000000-0008-0000-0000-00004B000000}"/>
                  </a:ext>
                </a:extLst>
              </xdr:cNvPr>
              <xdr:cNvSpPr/>
            </xdr:nvSpPr>
            <xdr:spPr>
              <a:xfrm>
                <a:off x="10163174" y="495302"/>
                <a:ext cx="3940203" cy="2051113"/>
              </a:xfrm>
              <a:prstGeom prst="rect">
                <a:avLst/>
              </a:prstGeom>
              <a:noFill/>
            </xdr:spPr>
            <xdr:style>
              <a:lnRef idx="2">
                <a:schemeClr val="accent1"/>
              </a:lnRef>
              <a:fillRef idx="1">
                <a:schemeClr val="lt1"/>
              </a:fillRef>
              <a:effectRef idx="0">
                <a:schemeClr val="accent1"/>
              </a:effectRef>
              <a:fontRef idx="minor">
                <a:schemeClr val="dk1"/>
              </a:fontRef>
            </xdr:style>
            <xdr:txBody>
              <a:bodyPr numCol="2" rtlCol="0" anchor="ctr"/>
              <a:lstStyle/>
              <a:p>
                <a:pPr algn="ctr"/>
                <a:endParaRPr lang="en-US" sz="1100"/>
              </a:p>
            </xdr:txBody>
          </xdr:sp>
          <xdr:sp macro="" textlink="">
            <xdr:nvSpPr>
              <xdr:cNvPr id="76" name="Rectangle 75">
                <a:extLst>
                  <a:ext uri="{FF2B5EF4-FFF2-40B4-BE49-F238E27FC236}">
                    <a16:creationId xmlns:a16="http://schemas.microsoft.com/office/drawing/2014/main" id="{00000000-0008-0000-0000-00004C000000}"/>
                  </a:ext>
                </a:extLst>
              </xdr:cNvPr>
              <xdr:cNvSpPr/>
            </xdr:nvSpPr>
            <xdr:spPr>
              <a:xfrm>
                <a:off x="10172070" y="495298"/>
                <a:ext cx="3922310" cy="3911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sp macro="" textlink="">
          <xdr:nvSpPr>
            <xdr:cNvPr id="74" name="TextBox 73">
              <a:extLst>
                <a:ext uri="{FF2B5EF4-FFF2-40B4-BE49-F238E27FC236}">
                  <a16:creationId xmlns:a16="http://schemas.microsoft.com/office/drawing/2014/main" id="{00000000-0008-0000-0000-00004A000000}"/>
                </a:ext>
              </a:extLst>
            </xdr:cNvPr>
            <xdr:cNvSpPr txBox="1"/>
          </xdr:nvSpPr>
          <xdr:spPr>
            <a:xfrm>
              <a:off x="10563225" y="233122"/>
              <a:ext cx="3440353" cy="364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800" b="1">
                  <a:solidFill>
                    <a:schemeClr val="bg1"/>
                  </a:solidFill>
                </a:rPr>
                <a:t>Primary</a:t>
              </a:r>
              <a:r>
                <a:rPr lang="en-US" sz="1800" b="1" baseline="0">
                  <a:solidFill>
                    <a:schemeClr val="bg1"/>
                  </a:solidFill>
                </a:rPr>
                <a:t>  Deficit</a:t>
              </a:r>
              <a:endParaRPr lang="en-US" sz="1800" b="1">
                <a:solidFill>
                  <a:schemeClr val="bg1"/>
                </a:solidFill>
              </a:endParaRPr>
            </a:p>
          </xdr:txBody>
        </xdr:sp>
      </xdr:grpSp>
      <xdr:graphicFrame macro="">
        <xdr:nvGraphicFramePr>
          <xdr:cNvPr id="66" name="Chart 65">
            <a:extLst>
              <a:ext uri="{FF2B5EF4-FFF2-40B4-BE49-F238E27FC236}">
                <a16:creationId xmlns:a16="http://schemas.microsoft.com/office/drawing/2014/main" id="{00000000-0008-0000-0000-000042000000}"/>
              </a:ext>
            </a:extLst>
          </xdr:cNvPr>
          <xdr:cNvGraphicFramePr/>
        </xdr:nvGraphicFramePr>
        <xdr:xfrm>
          <a:off x="12763500" y="5848349"/>
          <a:ext cx="2647949" cy="1685926"/>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23</xdr:col>
      <xdr:colOff>38100</xdr:colOff>
      <xdr:row>0</xdr:row>
      <xdr:rowOff>133350</xdr:rowOff>
    </xdr:from>
    <xdr:to>
      <xdr:col>26</xdr:col>
      <xdr:colOff>609600</xdr:colOff>
      <xdr:row>3</xdr:row>
      <xdr:rowOff>57150</xdr:rowOff>
    </xdr:to>
    <xdr:sp macro="" textlink="">
      <xdr:nvSpPr>
        <xdr:cNvPr id="84" name="TextBox 83">
          <a:extLst>
            <a:ext uri="{FF2B5EF4-FFF2-40B4-BE49-F238E27FC236}">
              <a16:creationId xmlns:a16="http://schemas.microsoft.com/office/drawing/2014/main" id="{00000000-0008-0000-0000-000054000000}"/>
            </a:ext>
          </a:extLst>
        </xdr:cNvPr>
        <xdr:cNvSpPr txBox="1"/>
      </xdr:nvSpPr>
      <xdr:spPr>
        <a:xfrm>
          <a:off x="12877800" y="133350"/>
          <a:ext cx="24384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900"/>
            <a:t>All amounts</a:t>
          </a:r>
          <a:r>
            <a:rPr lang="en-US" sz="900" baseline="0"/>
            <a:t> are Rupees in Crore</a:t>
          </a:r>
        </a:p>
        <a:p>
          <a:r>
            <a:rPr lang="en-US" sz="900"/>
            <a:t>Actuals are unaudited provisional figures</a:t>
          </a:r>
        </a:p>
        <a:p>
          <a:r>
            <a:rPr lang="en-US" sz="900"/>
            <a:t>Financial year</a:t>
          </a:r>
          <a:r>
            <a:rPr lang="en-US" sz="900" baseline="0"/>
            <a:t> runs from April to March</a:t>
          </a:r>
          <a:endParaRPr lang="en-US" sz="900"/>
        </a:p>
      </xdr:txBody>
    </xdr:sp>
    <xdr:clientData/>
  </xdr:twoCellAnchor>
  <xdr:twoCellAnchor>
    <xdr:from>
      <xdr:col>23</xdr:col>
      <xdr:colOff>68581</xdr:colOff>
      <xdr:row>0</xdr:row>
      <xdr:rowOff>123825</xdr:rowOff>
    </xdr:from>
    <xdr:to>
      <xdr:col>23</xdr:col>
      <xdr:colOff>161925</xdr:colOff>
      <xdr:row>3</xdr:row>
      <xdr:rowOff>66675</xdr:rowOff>
    </xdr:to>
    <xdr:sp macro="" textlink="">
      <xdr:nvSpPr>
        <xdr:cNvPr id="85" name="Left Bracket 84">
          <a:extLst>
            <a:ext uri="{FF2B5EF4-FFF2-40B4-BE49-F238E27FC236}">
              <a16:creationId xmlns:a16="http://schemas.microsoft.com/office/drawing/2014/main" id="{00000000-0008-0000-0000-000055000000}"/>
            </a:ext>
          </a:extLst>
        </xdr:cNvPr>
        <xdr:cNvSpPr/>
      </xdr:nvSpPr>
      <xdr:spPr>
        <a:xfrm>
          <a:off x="12908281" y="123825"/>
          <a:ext cx="93344" cy="514350"/>
        </a:xfrm>
        <a:prstGeom prst="leftBracket">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26</xdr:col>
      <xdr:colOff>133350</xdr:colOff>
      <xdr:row>0</xdr:row>
      <xdr:rowOff>152400</xdr:rowOff>
    </xdr:from>
    <xdr:to>
      <xdr:col>26</xdr:col>
      <xdr:colOff>228600</xdr:colOff>
      <xdr:row>3</xdr:row>
      <xdr:rowOff>66675</xdr:rowOff>
    </xdr:to>
    <xdr:sp macro="" textlink="">
      <xdr:nvSpPr>
        <xdr:cNvPr id="86" name="Right Bracket 85">
          <a:extLst>
            <a:ext uri="{FF2B5EF4-FFF2-40B4-BE49-F238E27FC236}">
              <a16:creationId xmlns:a16="http://schemas.microsoft.com/office/drawing/2014/main" id="{00000000-0008-0000-0000-000056000000}"/>
            </a:ext>
          </a:extLst>
        </xdr:cNvPr>
        <xdr:cNvSpPr/>
      </xdr:nvSpPr>
      <xdr:spPr>
        <a:xfrm>
          <a:off x="14982825" y="152400"/>
          <a:ext cx="95250" cy="485775"/>
        </a:xfrm>
        <a:prstGeom prst="rightBracket">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0</xdr:col>
      <xdr:colOff>0</xdr:colOff>
      <xdr:row>21</xdr:row>
      <xdr:rowOff>152400</xdr:rowOff>
    </xdr:from>
    <xdr:to>
      <xdr:col>4</xdr:col>
      <xdr:colOff>495300</xdr:colOff>
      <xdr:row>35</xdr:row>
      <xdr:rowOff>152399</xdr:rowOff>
    </xdr:to>
    <xdr:graphicFrame macro="">
      <xdr:nvGraphicFramePr>
        <xdr:cNvPr id="87" name="Chart 86">
          <a:extLst>
            <a:ext uri="{FF2B5EF4-FFF2-40B4-BE49-F238E27FC236}">
              <a16:creationId xmlns:a16="http://schemas.microsoft.com/office/drawing/2014/main" id="{00000000-0008-0000-0000-00005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502920</xdr:colOff>
      <xdr:row>4</xdr:row>
      <xdr:rowOff>76200</xdr:rowOff>
    </xdr:from>
    <xdr:to>
      <xdr:col>11</xdr:col>
      <xdr:colOff>146685</xdr:colOff>
      <xdr:row>36</xdr:row>
      <xdr:rowOff>0</xdr:rowOff>
    </xdr:to>
    <xdr:sp macro="[0]!ReceiptsTab" textlink="">
      <xdr:nvSpPr>
        <xdr:cNvPr id="7" name="Rectangle 6">
          <a:hlinkClick xmlns:r="http://schemas.openxmlformats.org/officeDocument/2006/relationships" r:id="rId13" tooltip="Click here for a 5 year analysis of Receipts"/>
          <a:extLst>
            <a:ext uri="{FF2B5EF4-FFF2-40B4-BE49-F238E27FC236}">
              <a16:creationId xmlns:a16="http://schemas.microsoft.com/office/drawing/2014/main" id="{00000000-0008-0000-0000-000007000000}"/>
            </a:ext>
          </a:extLst>
        </xdr:cNvPr>
        <xdr:cNvSpPr/>
      </xdr:nvSpPr>
      <xdr:spPr>
        <a:xfrm flipV="1">
          <a:off x="2912745" y="838200"/>
          <a:ext cx="3863340" cy="6858000"/>
        </a:xfrm>
        <a:prstGeom prst="rect">
          <a:avLst/>
        </a:prstGeom>
        <a:solidFill>
          <a:schemeClr val="accent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xdr:from>
      <xdr:col>11</xdr:col>
      <xdr:colOff>308914</xdr:colOff>
      <xdr:row>4</xdr:row>
      <xdr:rowOff>68580</xdr:rowOff>
    </xdr:from>
    <xdr:to>
      <xdr:col>19</xdr:col>
      <xdr:colOff>108466</xdr:colOff>
      <xdr:row>36</xdr:row>
      <xdr:rowOff>22860</xdr:rowOff>
    </xdr:to>
    <xdr:sp macro="" textlink="">
      <xdr:nvSpPr>
        <xdr:cNvPr id="9" name="Rectangle 8">
          <a:hlinkClick xmlns:r="http://schemas.openxmlformats.org/officeDocument/2006/relationships" r:id="rId14" tooltip="Click here for a 5 year analysis of Expenditure"/>
          <a:extLst>
            <a:ext uri="{FF2B5EF4-FFF2-40B4-BE49-F238E27FC236}">
              <a16:creationId xmlns:a16="http://schemas.microsoft.com/office/drawing/2014/main" id="{00000000-0008-0000-0000-000009000000}"/>
            </a:ext>
          </a:extLst>
        </xdr:cNvPr>
        <xdr:cNvSpPr/>
      </xdr:nvSpPr>
      <xdr:spPr>
        <a:xfrm>
          <a:off x="6936727" y="830580"/>
          <a:ext cx="4212802" cy="6883718"/>
        </a:xfrm>
        <a:prstGeom prst="rect">
          <a:avLst/>
        </a:prstGeom>
        <a:solidFill>
          <a:schemeClr val="accent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263213</xdr:colOff>
      <xdr:row>4</xdr:row>
      <xdr:rowOff>51435</xdr:rowOff>
    </xdr:from>
    <xdr:to>
      <xdr:col>27</xdr:col>
      <xdr:colOff>46043</xdr:colOff>
      <xdr:row>35</xdr:row>
      <xdr:rowOff>180975</xdr:rowOff>
    </xdr:to>
    <xdr:sp macro="" textlink="">
      <xdr:nvSpPr>
        <xdr:cNvPr id="10" name="Rectangle 9">
          <a:hlinkClick xmlns:r="http://schemas.openxmlformats.org/officeDocument/2006/relationships" r:id="rId15" tooltip="Click here for a 5 year analysis of Deficits"/>
          <a:extLst>
            <a:ext uri="{FF2B5EF4-FFF2-40B4-BE49-F238E27FC236}">
              <a16:creationId xmlns:a16="http://schemas.microsoft.com/office/drawing/2014/main" id="{00000000-0008-0000-0000-00000A000000}"/>
            </a:ext>
          </a:extLst>
        </xdr:cNvPr>
        <xdr:cNvSpPr/>
      </xdr:nvSpPr>
      <xdr:spPr>
        <a:xfrm>
          <a:off x="11302688" y="813435"/>
          <a:ext cx="4240530" cy="6873240"/>
        </a:xfrm>
        <a:prstGeom prst="rect">
          <a:avLst/>
        </a:prstGeom>
        <a:solidFill>
          <a:schemeClr val="accent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133350</xdr:colOff>
      <xdr:row>36</xdr:row>
      <xdr:rowOff>0</xdr:rowOff>
    </xdr:from>
    <xdr:to>
      <xdr:col>27</xdr:col>
      <xdr:colOff>60960</xdr:colOff>
      <xdr:row>36</xdr:row>
      <xdr:rowOff>28575</xdr:rowOff>
    </xdr:to>
    <xdr:cxnSp macro="">
      <xdr:nvCxnSpPr>
        <xdr:cNvPr id="89" name="Straight Connector 88">
          <a:extLst>
            <a:ext uri="{FF2B5EF4-FFF2-40B4-BE49-F238E27FC236}">
              <a16:creationId xmlns:a16="http://schemas.microsoft.com/office/drawing/2014/main" id="{00000000-0008-0000-0000-000059000000}"/>
            </a:ext>
          </a:extLst>
        </xdr:cNvPr>
        <xdr:cNvCxnSpPr/>
      </xdr:nvCxnSpPr>
      <xdr:spPr>
        <a:xfrm flipV="1">
          <a:off x="133350" y="7696200"/>
          <a:ext cx="15424785" cy="28575"/>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0.26953</cdr:x>
      <cdr:y>0.23487</cdr:y>
    </cdr:from>
    <cdr:to>
      <cdr:x>0.69531</cdr:x>
      <cdr:y>0.54804</cdr:y>
    </cdr:to>
    <cdr:sp macro="" textlink="">
      <cdr:nvSpPr>
        <cdr:cNvPr id="2" name="TextBox 1"/>
        <cdr:cNvSpPr txBox="1"/>
      </cdr:nvSpPr>
      <cdr:spPr>
        <a:xfrm xmlns:a="http://schemas.openxmlformats.org/drawingml/2006/main">
          <a:off x="657234" y="628642"/>
          <a:ext cx="1038222" cy="838208"/>
        </a:xfrm>
        <a:prstGeom xmlns:a="http://schemas.openxmlformats.org/drawingml/2006/main" prst="rect">
          <a:avLst/>
        </a:prstGeom>
      </cdr:spPr>
      <cdr:txBody>
        <a:bodyPr xmlns:a="http://schemas.openxmlformats.org/drawingml/2006/main" wrap="square" rtlCol="0" anchor="ctr"/>
        <a:lstStyle xmlns:a="http://schemas.openxmlformats.org/drawingml/2006/main"/>
        <a:p xmlns:a="http://schemas.openxmlformats.org/drawingml/2006/main">
          <a:pPr algn="ctr"/>
          <a:r>
            <a:rPr lang="en-US" sz="1600" b="1"/>
            <a:t>Receipts</a:t>
          </a:r>
        </a:p>
      </cdr:txBody>
    </cdr:sp>
  </cdr:relSizeAnchor>
</c:userShapes>
</file>

<file path=xl/drawings/drawing3.xml><?xml version="1.0" encoding="utf-8"?>
<c:userShapes xmlns:c="http://schemas.openxmlformats.org/drawingml/2006/chart">
  <cdr:relSizeAnchor xmlns:cdr="http://schemas.openxmlformats.org/drawingml/2006/chartDrawing">
    <cdr:from>
      <cdr:x>0.31475</cdr:x>
      <cdr:y>0.46774</cdr:y>
    </cdr:from>
    <cdr:to>
      <cdr:x>0.71803</cdr:x>
      <cdr:y>0.59677</cdr:y>
    </cdr:to>
    <cdr:sp macro="" textlink="">
      <cdr:nvSpPr>
        <cdr:cNvPr id="2" name="TextBox 1"/>
        <cdr:cNvSpPr txBox="1"/>
      </cdr:nvSpPr>
      <cdr:spPr>
        <a:xfrm xmlns:a="http://schemas.openxmlformats.org/drawingml/2006/main">
          <a:off x="914400" y="1381125"/>
          <a:ext cx="1171575" cy="380999"/>
        </a:xfrm>
        <a:prstGeom xmlns:a="http://schemas.openxmlformats.org/drawingml/2006/main" prst="rect">
          <a:avLst/>
        </a:prstGeom>
      </cdr:spPr>
      <cdr:txBody>
        <a:bodyPr xmlns:a="http://schemas.openxmlformats.org/drawingml/2006/main" wrap="square" rtlCol="0" anchor="ctr"/>
        <a:lstStyle xmlns:a="http://schemas.openxmlformats.org/drawingml/2006/main"/>
        <a:p xmlns:a="http://schemas.openxmlformats.org/drawingml/2006/main">
          <a:pPr algn="ctr"/>
          <a:r>
            <a:rPr lang="en-US" sz="1400" b="1"/>
            <a:t>Expenditure</a:t>
          </a:r>
        </a:p>
      </cdr:txBody>
    </cdr:sp>
  </cdr:relSizeAnchor>
</c:userShapes>
</file>

<file path=xl/drawings/drawing4.xml><?xml version="1.0" encoding="utf-8"?>
<xdr:wsDr xmlns:xdr="http://schemas.openxmlformats.org/drawingml/2006/spreadsheetDrawing" xmlns:a="http://schemas.openxmlformats.org/drawingml/2006/main">
  <xdr:twoCellAnchor>
    <xdr:from>
      <xdr:col>19</xdr:col>
      <xdr:colOff>287865</xdr:colOff>
      <xdr:row>0</xdr:row>
      <xdr:rowOff>135467</xdr:rowOff>
    </xdr:from>
    <xdr:to>
      <xdr:col>22</xdr:col>
      <xdr:colOff>295275</xdr:colOff>
      <xdr:row>3</xdr:row>
      <xdr:rowOff>25400</xdr:rowOff>
    </xdr:to>
    <xdr:sp macro="" textlink="">
      <xdr:nvSpPr>
        <xdr:cNvPr id="10" name="Rectangle 9">
          <a:hlinkClick xmlns:r="http://schemas.openxmlformats.org/officeDocument/2006/relationships" r:id="rId1"/>
          <a:extLst>
            <a:ext uri="{FF2B5EF4-FFF2-40B4-BE49-F238E27FC236}">
              <a16:creationId xmlns:a16="http://schemas.microsoft.com/office/drawing/2014/main" id="{00000000-0008-0000-0100-00000A000000}"/>
            </a:ext>
          </a:extLst>
        </xdr:cNvPr>
        <xdr:cNvSpPr/>
      </xdr:nvSpPr>
      <xdr:spPr>
        <a:xfrm>
          <a:off x="11508315" y="135467"/>
          <a:ext cx="1779060" cy="461433"/>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1600"/>
            <a:t>Back to Main Page</a:t>
          </a:r>
        </a:p>
      </xdr:txBody>
    </xdr:sp>
    <xdr:clientData/>
  </xdr:twoCellAnchor>
  <xdr:twoCellAnchor>
    <xdr:from>
      <xdr:col>0</xdr:col>
      <xdr:colOff>9525</xdr:colOff>
      <xdr:row>0</xdr:row>
      <xdr:rowOff>40005</xdr:rowOff>
    </xdr:from>
    <xdr:to>
      <xdr:col>8</xdr:col>
      <xdr:colOff>257175</xdr:colOff>
      <xdr:row>4</xdr:row>
      <xdr:rowOff>9525</xdr:rowOff>
    </xdr:to>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9525" y="40005"/>
          <a:ext cx="5124450" cy="693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IN" sz="1100" b="1" i="0">
              <a:solidFill>
                <a:schemeClr val="tx2">
                  <a:lumMod val="60000"/>
                  <a:lumOff val="40000"/>
                </a:schemeClr>
              </a:solidFill>
              <a:effectLst/>
              <a:latin typeface="+mn-lt"/>
              <a:ea typeface="+mn-ea"/>
              <a:cs typeface="+mn-cs"/>
            </a:rPr>
            <a:t>                       </a:t>
          </a:r>
          <a:r>
            <a:rPr lang="en-IN" sz="1400" b="1" i="0">
              <a:solidFill>
                <a:schemeClr val="tx2">
                  <a:lumMod val="60000"/>
                  <a:lumOff val="40000"/>
                </a:schemeClr>
              </a:solidFill>
              <a:effectLst/>
              <a:latin typeface="+mn-lt"/>
              <a:ea typeface="+mn-ea"/>
              <a:cs typeface="+mn-cs"/>
            </a:rPr>
            <a:t>CONTROLLER GENERAL OF ACCOUNTS</a:t>
          </a:r>
        </a:p>
        <a:p>
          <a:r>
            <a:rPr lang="en-IN" sz="1100" b="0" i="0">
              <a:solidFill>
                <a:schemeClr val="dk1"/>
              </a:solidFill>
              <a:effectLst/>
              <a:latin typeface="+mn-lt"/>
              <a:ea typeface="+mn-ea"/>
              <a:cs typeface="+mn-cs"/>
            </a:rPr>
            <a:t>                       </a:t>
          </a:r>
          <a:r>
            <a:rPr lang="en-IN" sz="1200" b="0" i="0">
              <a:solidFill>
                <a:schemeClr val="dk1"/>
              </a:solidFill>
              <a:effectLst/>
              <a:latin typeface="+mn-lt"/>
              <a:ea typeface="+mn-ea"/>
              <a:cs typeface="+mn-cs"/>
            </a:rPr>
            <a:t>MINISTRY OF FINANCE</a:t>
          </a:r>
        </a:p>
        <a:p>
          <a:r>
            <a:rPr lang="en-IN" sz="1200" b="0" i="0">
              <a:solidFill>
                <a:schemeClr val="dk1"/>
              </a:solidFill>
              <a:effectLst/>
              <a:latin typeface="+mn-lt"/>
              <a:ea typeface="+mn-ea"/>
              <a:cs typeface="+mn-cs"/>
            </a:rPr>
            <a:t>                     GOVERNMENT OF INDIA</a:t>
          </a:r>
          <a:endParaRPr lang="en-IN" sz="1200"/>
        </a:p>
      </xdr:txBody>
    </xdr:sp>
    <xdr:clientData/>
  </xdr:twoCellAnchor>
  <xdr:twoCellAnchor editAs="oneCell">
    <xdr:from>
      <xdr:col>0</xdr:col>
      <xdr:colOff>68580</xdr:colOff>
      <xdr:row>0</xdr:row>
      <xdr:rowOff>68580</xdr:rowOff>
    </xdr:from>
    <xdr:to>
      <xdr:col>1</xdr:col>
      <xdr:colOff>28162</xdr:colOff>
      <xdr:row>3</xdr:row>
      <xdr:rowOff>167640</xdr:rowOff>
    </xdr:to>
    <xdr:pic>
      <xdr:nvPicPr>
        <xdr:cNvPr id="24" name="Picture 23" descr="Image result for national em">
          <a:extLst>
            <a:ext uri="{FF2B5EF4-FFF2-40B4-BE49-F238E27FC236}">
              <a16:creationId xmlns:a16="http://schemas.microsoft.com/office/drawing/2014/main" id="{00000000-0008-0000-0100-00001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580" y="68580"/>
          <a:ext cx="569182"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196850</xdr:colOff>
      <xdr:row>0</xdr:row>
      <xdr:rowOff>111760</xdr:rowOff>
    </xdr:from>
    <xdr:to>
      <xdr:col>19</xdr:col>
      <xdr:colOff>311150</xdr:colOff>
      <xdr:row>3</xdr:row>
      <xdr:rowOff>119380</xdr:rowOff>
    </xdr:to>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3244850" y="111760"/>
          <a:ext cx="8648700" cy="566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t>Union Government Monthly Accounts Dashboard</a:t>
          </a:r>
        </a:p>
      </xdr:txBody>
    </xdr:sp>
    <xdr:clientData/>
  </xdr:twoCellAnchor>
  <xdr:twoCellAnchor>
    <xdr:from>
      <xdr:col>0</xdr:col>
      <xdr:colOff>142875</xdr:colOff>
      <xdr:row>4</xdr:row>
      <xdr:rowOff>9526</xdr:rowOff>
    </xdr:from>
    <xdr:to>
      <xdr:col>26</xdr:col>
      <xdr:colOff>520700</xdr:colOff>
      <xdr:row>4</xdr:row>
      <xdr:rowOff>12700</xdr:rowOff>
    </xdr:to>
    <xdr:cxnSp macro="">
      <xdr:nvCxnSpPr>
        <xdr:cNvPr id="26" name="Straight Connector 25">
          <a:extLst>
            <a:ext uri="{FF2B5EF4-FFF2-40B4-BE49-F238E27FC236}">
              <a16:creationId xmlns:a16="http://schemas.microsoft.com/office/drawing/2014/main" id="{00000000-0008-0000-0100-00001A000000}"/>
            </a:ext>
          </a:extLst>
        </xdr:cNvPr>
        <xdr:cNvCxnSpPr/>
      </xdr:nvCxnSpPr>
      <xdr:spPr>
        <a:xfrm>
          <a:off x="142875" y="720726"/>
          <a:ext cx="16227425" cy="3174"/>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38100</xdr:colOff>
      <xdr:row>0</xdr:row>
      <xdr:rowOff>133350</xdr:rowOff>
    </xdr:from>
    <xdr:to>
      <xdr:col>26</xdr:col>
      <xdr:colOff>609600</xdr:colOff>
      <xdr:row>3</xdr:row>
      <xdr:rowOff>57150</xdr:rowOff>
    </xdr:to>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3373100" y="133350"/>
          <a:ext cx="248412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800"/>
            <a:t>All amounts</a:t>
          </a:r>
          <a:r>
            <a:rPr lang="en-US" sz="800" baseline="0"/>
            <a:t> are Rupees in Crore</a:t>
          </a:r>
        </a:p>
        <a:p>
          <a:r>
            <a:rPr lang="en-US" sz="800"/>
            <a:t>Actuals are unaudited provisional figures</a:t>
          </a:r>
        </a:p>
        <a:p>
          <a:r>
            <a:rPr lang="en-US" sz="800"/>
            <a:t>Financial year</a:t>
          </a:r>
          <a:r>
            <a:rPr lang="en-US" sz="800" baseline="0"/>
            <a:t> runs from April to March</a:t>
          </a:r>
          <a:endParaRPr lang="en-US" sz="800"/>
        </a:p>
      </xdr:txBody>
    </xdr:sp>
    <xdr:clientData/>
  </xdr:twoCellAnchor>
  <xdr:twoCellAnchor>
    <xdr:from>
      <xdr:col>23</xdr:col>
      <xdr:colOff>68581</xdr:colOff>
      <xdr:row>0</xdr:row>
      <xdr:rowOff>123825</xdr:rowOff>
    </xdr:from>
    <xdr:to>
      <xdr:col>23</xdr:col>
      <xdr:colOff>161925</xdr:colOff>
      <xdr:row>3</xdr:row>
      <xdr:rowOff>66675</xdr:rowOff>
    </xdr:to>
    <xdr:sp macro="" textlink="">
      <xdr:nvSpPr>
        <xdr:cNvPr id="28" name="Left Bracket 27">
          <a:extLst>
            <a:ext uri="{FF2B5EF4-FFF2-40B4-BE49-F238E27FC236}">
              <a16:creationId xmlns:a16="http://schemas.microsoft.com/office/drawing/2014/main" id="{00000000-0008-0000-0100-00001C000000}"/>
            </a:ext>
          </a:extLst>
        </xdr:cNvPr>
        <xdr:cNvSpPr/>
      </xdr:nvSpPr>
      <xdr:spPr>
        <a:xfrm>
          <a:off x="13403581" y="123825"/>
          <a:ext cx="93344" cy="491490"/>
        </a:xfrm>
        <a:prstGeom prst="leftBracket">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25</xdr:col>
      <xdr:colOff>504825</xdr:colOff>
      <xdr:row>0</xdr:row>
      <xdr:rowOff>152400</xdr:rowOff>
    </xdr:from>
    <xdr:to>
      <xdr:col>26</xdr:col>
      <xdr:colOff>85725</xdr:colOff>
      <xdr:row>3</xdr:row>
      <xdr:rowOff>66675</xdr:rowOff>
    </xdr:to>
    <xdr:sp macro="" textlink="">
      <xdr:nvSpPr>
        <xdr:cNvPr id="29" name="Right Bracket 28">
          <a:extLst>
            <a:ext uri="{FF2B5EF4-FFF2-40B4-BE49-F238E27FC236}">
              <a16:creationId xmlns:a16="http://schemas.microsoft.com/office/drawing/2014/main" id="{00000000-0008-0000-0100-00001D000000}"/>
            </a:ext>
          </a:extLst>
        </xdr:cNvPr>
        <xdr:cNvSpPr/>
      </xdr:nvSpPr>
      <xdr:spPr>
        <a:xfrm>
          <a:off x="15226665" y="152400"/>
          <a:ext cx="106680" cy="462915"/>
        </a:xfrm>
        <a:prstGeom prst="rightBracket">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1</xdr:col>
      <xdr:colOff>25507</xdr:colOff>
      <xdr:row>4</xdr:row>
      <xdr:rowOff>152399</xdr:rowOff>
    </xdr:from>
    <xdr:to>
      <xdr:col>12</xdr:col>
      <xdr:colOff>289983</xdr:colOff>
      <xdr:row>27</xdr:row>
      <xdr:rowOff>41274</xdr:rowOff>
    </xdr:to>
    <xdr:grpSp>
      <xdr:nvGrpSpPr>
        <xdr:cNvPr id="62" name="Group 61">
          <a:extLst>
            <a:ext uri="{FF2B5EF4-FFF2-40B4-BE49-F238E27FC236}">
              <a16:creationId xmlns:a16="http://schemas.microsoft.com/office/drawing/2014/main" id="{00000000-0008-0000-0100-00003E000000}"/>
            </a:ext>
          </a:extLst>
        </xdr:cNvPr>
        <xdr:cNvGrpSpPr/>
      </xdr:nvGrpSpPr>
      <xdr:grpSpPr>
        <a:xfrm>
          <a:off x="641457" y="888999"/>
          <a:ext cx="7039926" cy="4124325"/>
          <a:chOff x="646220" y="896619"/>
          <a:chExt cx="7092313" cy="4168140"/>
        </a:xfrm>
      </xdr:grpSpPr>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646220" y="896619"/>
          <a:ext cx="7092313" cy="4168140"/>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51" name="Group 50">
            <a:extLst>
              <a:ext uri="{FF2B5EF4-FFF2-40B4-BE49-F238E27FC236}">
                <a16:creationId xmlns:a16="http://schemas.microsoft.com/office/drawing/2014/main" id="{00000000-0008-0000-0100-000033000000}"/>
              </a:ext>
            </a:extLst>
          </xdr:cNvPr>
          <xdr:cNvGrpSpPr/>
        </xdr:nvGrpSpPr>
        <xdr:grpSpPr>
          <a:xfrm>
            <a:off x="1323340" y="4660742"/>
            <a:ext cx="5893009" cy="311132"/>
            <a:chOff x="1323340" y="4660742"/>
            <a:chExt cx="5893009" cy="311132"/>
          </a:xfrm>
        </xdr:grpSpPr>
        <xdr:grpSp>
          <xdr:nvGrpSpPr>
            <xdr:cNvPr id="22" name="Group 21">
              <a:extLst>
                <a:ext uri="{FF2B5EF4-FFF2-40B4-BE49-F238E27FC236}">
                  <a16:creationId xmlns:a16="http://schemas.microsoft.com/office/drawing/2014/main" id="{00000000-0008-0000-0100-000016000000}"/>
                </a:ext>
              </a:extLst>
            </xdr:cNvPr>
            <xdr:cNvGrpSpPr/>
          </xdr:nvGrpSpPr>
          <xdr:grpSpPr>
            <a:xfrm>
              <a:off x="3203008" y="4678691"/>
              <a:ext cx="1504247" cy="289550"/>
              <a:chOff x="16821853" y="5332105"/>
              <a:chExt cx="1504247" cy="287645"/>
            </a:xfrm>
          </xdr:grpSpPr>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6821853" y="5349393"/>
                <a:ext cx="1433244" cy="242228"/>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grpSp>
            <xdr:nvGrpSpPr>
              <xdr:cNvPr id="18" name="Group 17">
                <a:extLst>
                  <a:ext uri="{FF2B5EF4-FFF2-40B4-BE49-F238E27FC236}">
                    <a16:creationId xmlns:a16="http://schemas.microsoft.com/office/drawing/2014/main" id="{00000000-0008-0000-0100-000012000000}"/>
                  </a:ext>
                </a:extLst>
              </xdr:cNvPr>
              <xdr:cNvGrpSpPr/>
            </xdr:nvGrpSpPr>
            <xdr:grpSpPr>
              <a:xfrm>
                <a:off x="16944975" y="5332105"/>
                <a:ext cx="1381125" cy="287645"/>
                <a:chOff x="16944975" y="5332105"/>
                <a:chExt cx="1381125" cy="287645"/>
              </a:xfrm>
            </xdr:grpSpPr>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7090235" y="5342890"/>
                  <a:ext cx="1235865" cy="2768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Non Tax Revenue</a:t>
                  </a:r>
                </a:p>
              </xdr:txBody>
            </xdr:sp>
            <mc:AlternateContent xmlns:mc="http://schemas.openxmlformats.org/markup-compatibility/2006">
              <mc:Choice xmlns:a14="http://schemas.microsoft.com/office/drawing/2010/main" Requires="a14">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16944975" y="5332105"/>
                      <a:ext cx="1219200" cy="27817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6576" rIns="0" bIns="36576" anchor="ctr" upright="1"/>
                    <a:lstStyle/>
                    <a:p>
                      <a:pPr algn="l" rtl="0">
                        <a:defRPr sz="1000"/>
                      </a:pPr>
                      <a:r>
                        <a:rPr lang="en-IN" sz="1100" b="0" i="0" u="none" strike="noStrike" baseline="0">
                          <a:solidFill>
                            <a:srgbClr val="000000"/>
                          </a:solidFill>
                          <a:latin typeface="Calibri"/>
                          <a:ea typeface="Calibri"/>
                          <a:cs typeface="Calibri"/>
                        </a:rPr>
                        <a:t>                                  </a:t>
                      </a:r>
                    </a:p>
                  </xdr:txBody>
                </xdr:sp>
              </mc:Choice>
              <mc:Fallback/>
            </mc:AlternateContent>
          </xdr:grpSp>
        </xdr:grpSp>
        <xdr:grpSp>
          <xdr:nvGrpSpPr>
            <xdr:cNvPr id="39" name="Group 38">
              <a:extLst>
                <a:ext uri="{FF2B5EF4-FFF2-40B4-BE49-F238E27FC236}">
                  <a16:creationId xmlns:a16="http://schemas.microsoft.com/office/drawing/2014/main" id="{00000000-0008-0000-0100-000027000000}"/>
                </a:ext>
              </a:extLst>
            </xdr:cNvPr>
            <xdr:cNvGrpSpPr/>
          </xdr:nvGrpSpPr>
          <xdr:grpSpPr>
            <a:xfrm>
              <a:off x="1323340" y="4672964"/>
              <a:ext cx="1496059" cy="287655"/>
              <a:chOff x="16883380" y="5884544"/>
              <a:chExt cx="1496059" cy="287655"/>
            </a:xfrm>
          </xdr:grpSpPr>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6883380" y="5907558"/>
                <a:ext cx="1496059" cy="24178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grpSp>
            <xdr:nvGrpSpPr>
              <xdr:cNvPr id="32" name="Group 31">
                <a:extLst>
                  <a:ext uri="{FF2B5EF4-FFF2-40B4-BE49-F238E27FC236}">
                    <a16:creationId xmlns:a16="http://schemas.microsoft.com/office/drawing/2014/main" id="{00000000-0008-0000-0100-000020000000}"/>
                  </a:ext>
                </a:extLst>
              </xdr:cNvPr>
              <xdr:cNvGrpSpPr/>
            </xdr:nvGrpSpPr>
            <xdr:grpSpPr>
              <a:xfrm>
                <a:off x="16996362" y="5884544"/>
                <a:ext cx="1352751" cy="287655"/>
                <a:chOff x="16516302" y="5594984"/>
                <a:chExt cx="1352751" cy="287655"/>
              </a:xfrm>
            </xdr:grpSpPr>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6675097" y="5610013"/>
                  <a:ext cx="1193956" cy="27262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t>Net Tax Revenue</a:t>
                  </a:r>
                </a:p>
              </xdr:txBody>
            </xdr:sp>
            <mc:AlternateContent xmlns:mc="http://schemas.openxmlformats.org/markup-compatibility/2006">
              <mc:Choice xmlns:a14="http://schemas.microsoft.com/office/drawing/2010/main" Requires="a14">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100-000002180000}"/>
                        </a:ext>
                      </a:extLst>
                    </xdr:cNvPr>
                    <xdr:cNvSpPr/>
                  </xdr:nvSpPr>
                  <xdr:spPr bwMode="auto">
                    <a:xfrm>
                      <a:off x="16516302" y="5594984"/>
                      <a:ext cx="1238271" cy="2857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40618B"/>
                          </a:solidFill>
                          <a:miter lim="800000"/>
                          <a:headEnd/>
                          <a:tailEnd/>
                        </a14:hiddenLine>
                      </a:ext>
                    </a:extLst>
                  </xdr:spPr>
                  <xdr:txBody>
                    <a:bodyPr vertOverflow="clip" wrap="square" lIns="36576" tIns="36576" rIns="0" bIns="36576" anchor="ctr" upright="1"/>
                    <a:lstStyle/>
                    <a:p>
                      <a:pPr algn="l" rtl="0">
                        <a:defRPr sz="1000"/>
                      </a:pPr>
                      <a:r>
                        <a:rPr lang="en-IN" sz="1100" b="0" i="0" u="none" strike="noStrike" baseline="0">
                          <a:solidFill>
                            <a:srgbClr val="000000"/>
                          </a:solidFill>
                          <a:latin typeface="Calibri"/>
                          <a:ea typeface="Calibri"/>
                          <a:cs typeface="Calibri"/>
                        </a:rPr>
                        <a:t>                                    </a:t>
                      </a:r>
                    </a:p>
                  </xdr:txBody>
                </xdr:sp>
              </mc:Choice>
              <mc:Fallback/>
            </mc:AlternateContent>
          </xdr:grpSp>
        </xdr:grpSp>
        <xdr:grpSp>
          <xdr:nvGrpSpPr>
            <xdr:cNvPr id="16" name="Group 15">
              <a:extLst>
                <a:ext uri="{FF2B5EF4-FFF2-40B4-BE49-F238E27FC236}">
                  <a16:creationId xmlns:a16="http://schemas.microsoft.com/office/drawing/2014/main" id="{00000000-0008-0000-0100-000010000000}"/>
                </a:ext>
              </a:extLst>
            </xdr:cNvPr>
            <xdr:cNvGrpSpPr/>
          </xdr:nvGrpSpPr>
          <xdr:grpSpPr>
            <a:xfrm>
              <a:off x="4989029" y="4660742"/>
              <a:ext cx="2227320" cy="311132"/>
              <a:chOff x="16091369" y="4296900"/>
              <a:chExt cx="2227320" cy="307323"/>
            </a:xfrm>
          </xdr:grpSpPr>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6091369" y="4327219"/>
                <a:ext cx="2145196" cy="251468"/>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grpSp>
            <xdr:nvGrpSpPr>
              <xdr:cNvPr id="13" name="Group 12">
                <a:extLst>
                  <a:ext uri="{FF2B5EF4-FFF2-40B4-BE49-F238E27FC236}">
                    <a16:creationId xmlns:a16="http://schemas.microsoft.com/office/drawing/2014/main" id="{00000000-0008-0000-0100-00000D000000}"/>
                  </a:ext>
                </a:extLst>
              </xdr:cNvPr>
              <xdr:cNvGrpSpPr/>
            </xdr:nvGrpSpPr>
            <xdr:grpSpPr>
              <a:xfrm>
                <a:off x="16180078" y="4296900"/>
                <a:ext cx="2138611" cy="307323"/>
                <a:chOff x="15703292" y="4506440"/>
                <a:chExt cx="2062951" cy="326372"/>
              </a:xfrm>
            </xdr:grpSpPr>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5884813" y="4537075"/>
                  <a:ext cx="1881430" cy="28786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Non Debt Capital Receipts</a:t>
                  </a:r>
                </a:p>
              </xdr:txBody>
            </xdr:sp>
            <mc:AlternateContent xmlns:mc="http://schemas.openxmlformats.org/markup-compatibility/2006">
              <mc:Choice xmlns:a14="http://schemas.microsoft.com/office/drawing/2010/main" Requires="a14">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100-000003180000}"/>
                        </a:ext>
                      </a:extLst>
                    </xdr:cNvPr>
                    <xdr:cNvSpPr/>
                  </xdr:nvSpPr>
                  <xdr:spPr bwMode="auto">
                    <a:xfrm>
                      <a:off x="15703292" y="4506440"/>
                      <a:ext cx="1795950" cy="32637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grpSp>
        </xdr:grpSp>
      </xdr:grpSp>
    </xdr:grpSp>
    <xdr:clientData/>
  </xdr:twoCellAnchor>
  <xdr:twoCellAnchor>
    <xdr:from>
      <xdr:col>7</xdr:col>
      <xdr:colOff>533400</xdr:colOff>
      <xdr:row>28</xdr:row>
      <xdr:rowOff>126999</xdr:rowOff>
    </xdr:from>
    <xdr:to>
      <xdr:col>9</xdr:col>
      <xdr:colOff>503113</xdr:colOff>
      <xdr:row>30</xdr:row>
      <xdr:rowOff>4004</xdr:rowOff>
    </xdr:to>
    <xdr:sp macro="" textlink="Sheet4!A2">
      <xdr:nvSpPr>
        <xdr:cNvPr id="43" name="TextBox 1">
          <a:extLst>
            <a:ext uri="{FF2B5EF4-FFF2-40B4-BE49-F238E27FC236}">
              <a16:creationId xmlns:a16="http://schemas.microsoft.com/office/drawing/2014/main" id="{00000000-0008-0000-0100-00002B000000}"/>
            </a:ext>
          </a:extLst>
        </xdr:cNvPr>
        <xdr:cNvSpPr txBox="1"/>
      </xdr:nvSpPr>
      <xdr:spPr>
        <a:xfrm>
          <a:off x="4800600" y="5342466"/>
          <a:ext cx="1188913" cy="24953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932C1845-F557-44E2-B786-023C72F689E6}" type="TxLink">
            <a:rPr lang="en-US" sz="1400" b="1" i="0" u="none" strike="noStrike">
              <a:solidFill>
                <a:srgbClr val="000000"/>
              </a:solidFill>
              <a:latin typeface="Calibri"/>
              <a:ea typeface="Calibri"/>
              <a:cs typeface="Calibri"/>
            </a:rPr>
            <a:pPr/>
            <a:t>(Upto Dec)</a:t>
          </a:fld>
          <a:endParaRPr lang="en-IN" sz="1400" b="1"/>
        </a:p>
      </xdr:txBody>
    </xdr:sp>
    <xdr:clientData/>
  </xdr:twoCellAnchor>
  <xdr:twoCellAnchor>
    <xdr:from>
      <xdr:col>1</xdr:col>
      <xdr:colOff>12700</xdr:colOff>
      <xdr:row>27</xdr:row>
      <xdr:rowOff>92063</xdr:rowOff>
    </xdr:from>
    <xdr:to>
      <xdr:col>12</xdr:col>
      <xdr:colOff>304270</xdr:colOff>
      <xdr:row>50</xdr:row>
      <xdr:rowOff>1733</xdr:rowOff>
    </xdr:to>
    <xdr:grpSp>
      <xdr:nvGrpSpPr>
        <xdr:cNvPr id="64" name="Group 63">
          <a:extLst>
            <a:ext uri="{FF2B5EF4-FFF2-40B4-BE49-F238E27FC236}">
              <a16:creationId xmlns:a16="http://schemas.microsoft.com/office/drawing/2014/main" id="{00000000-0008-0000-0100-000040000000}"/>
            </a:ext>
          </a:extLst>
        </xdr:cNvPr>
        <xdr:cNvGrpSpPr/>
      </xdr:nvGrpSpPr>
      <xdr:grpSpPr>
        <a:xfrm>
          <a:off x="628650" y="5064113"/>
          <a:ext cx="7067020" cy="4145120"/>
          <a:chOff x="633142" y="5115559"/>
          <a:chExt cx="7124441" cy="4188929"/>
        </a:xfrm>
      </xdr:grpSpPr>
      <xdr:grpSp>
        <xdr:nvGrpSpPr>
          <xdr:cNvPr id="35" name="Group 34">
            <a:extLst>
              <a:ext uri="{FF2B5EF4-FFF2-40B4-BE49-F238E27FC236}">
                <a16:creationId xmlns:a16="http://schemas.microsoft.com/office/drawing/2014/main" id="{00000000-0008-0000-0100-000023000000}"/>
              </a:ext>
            </a:extLst>
          </xdr:cNvPr>
          <xdr:cNvGrpSpPr/>
        </xdr:nvGrpSpPr>
        <xdr:grpSpPr>
          <a:xfrm>
            <a:off x="633142" y="5115559"/>
            <a:ext cx="7124441" cy="4163907"/>
            <a:chOff x="622559" y="5266266"/>
            <a:chExt cx="7124441" cy="4241800"/>
          </a:xfrm>
        </xdr:grpSpPr>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622559" y="5266266"/>
            <a:ext cx="7124441" cy="42418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3" name="Rectangle 32">
              <a:extLst>
                <a:ext uri="{FF2B5EF4-FFF2-40B4-BE49-F238E27FC236}">
                  <a16:creationId xmlns:a16="http://schemas.microsoft.com/office/drawing/2014/main" id="{00000000-0008-0000-0100-000021000000}"/>
                </a:ext>
              </a:extLst>
            </xdr:cNvPr>
            <xdr:cNvSpPr/>
          </xdr:nvSpPr>
          <xdr:spPr>
            <a:xfrm>
              <a:off x="1659467" y="9211733"/>
              <a:ext cx="5223933" cy="228600"/>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grpSp>
      <xdr:grpSp>
        <xdr:nvGrpSpPr>
          <xdr:cNvPr id="63" name="Group 62">
            <a:extLst>
              <a:ext uri="{FF2B5EF4-FFF2-40B4-BE49-F238E27FC236}">
                <a16:creationId xmlns:a16="http://schemas.microsoft.com/office/drawing/2014/main" id="{00000000-0008-0000-0100-00003F000000}"/>
              </a:ext>
            </a:extLst>
          </xdr:cNvPr>
          <xdr:cNvGrpSpPr/>
        </xdr:nvGrpSpPr>
        <xdr:grpSpPr>
          <a:xfrm>
            <a:off x="1566813" y="8929420"/>
            <a:ext cx="5799331" cy="375068"/>
            <a:chOff x="1566813" y="8929420"/>
            <a:chExt cx="5799331" cy="375068"/>
          </a:xfrm>
        </xdr:grpSpPr>
        <xdr:grpSp>
          <xdr:nvGrpSpPr>
            <xdr:cNvPr id="38" name="Group 37">
              <a:extLst>
                <a:ext uri="{FF2B5EF4-FFF2-40B4-BE49-F238E27FC236}">
                  <a16:creationId xmlns:a16="http://schemas.microsoft.com/office/drawing/2014/main" id="{00000000-0008-0000-0100-000026000000}"/>
                </a:ext>
              </a:extLst>
            </xdr:cNvPr>
            <xdr:cNvGrpSpPr/>
          </xdr:nvGrpSpPr>
          <xdr:grpSpPr>
            <a:xfrm>
              <a:off x="1566813" y="8929420"/>
              <a:ext cx="1755695" cy="375068"/>
              <a:chOff x="1551464" y="10237016"/>
              <a:chExt cx="1764264" cy="365039"/>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551464" y="10313539"/>
                <a:ext cx="1372495" cy="241435"/>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4" name="Group 13">
                <a:extLst>
                  <a:ext uri="{FF2B5EF4-FFF2-40B4-BE49-F238E27FC236}">
                    <a16:creationId xmlns:a16="http://schemas.microsoft.com/office/drawing/2014/main" id="{00000000-0008-0000-0100-00000E000000}"/>
                  </a:ext>
                </a:extLst>
              </xdr:cNvPr>
              <xdr:cNvGrpSpPr/>
            </xdr:nvGrpSpPr>
            <xdr:grpSpPr>
              <a:xfrm>
                <a:off x="1584594" y="10237016"/>
                <a:ext cx="1731134" cy="365039"/>
                <a:chOff x="1395286" y="9936997"/>
                <a:chExt cx="1728914" cy="370397"/>
              </a:xfrm>
            </xdr:grpSpPr>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507068" y="9983078"/>
                  <a:ext cx="1617132" cy="28553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Interest Receipts</a:t>
                  </a:r>
                </a:p>
              </xdr:txBody>
            </xdr:sp>
            <mc:AlternateContent xmlns:mc="http://schemas.openxmlformats.org/markup-compatibility/2006">
              <mc:Choice xmlns:a14="http://schemas.microsoft.com/office/drawing/2010/main" Requires="a14">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100-000007180000}"/>
                        </a:ext>
                      </a:extLst>
                    </xdr:cNvPr>
                    <xdr:cNvSpPr/>
                  </xdr:nvSpPr>
                  <xdr:spPr bwMode="auto">
                    <a:xfrm>
                      <a:off x="1395286" y="9936997"/>
                      <a:ext cx="1432565" cy="37039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                                                                                                </a:t>
                      </a:r>
                    </a:p>
                  </xdr:txBody>
                </xdr:sp>
              </mc:Choice>
              <mc:Fallback/>
            </mc:AlternateContent>
          </xdr:grpSp>
        </xdr:grpSp>
        <xdr:grpSp>
          <xdr:nvGrpSpPr>
            <xdr:cNvPr id="41" name="Group 40">
              <a:extLst>
                <a:ext uri="{FF2B5EF4-FFF2-40B4-BE49-F238E27FC236}">
                  <a16:creationId xmlns:a16="http://schemas.microsoft.com/office/drawing/2014/main" id="{00000000-0008-0000-0100-000029000000}"/>
                </a:ext>
              </a:extLst>
            </xdr:cNvPr>
            <xdr:cNvGrpSpPr/>
          </xdr:nvGrpSpPr>
          <xdr:grpSpPr>
            <a:xfrm>
              <a:off x="3419970" y="8959528"/>
              <a:ext cx="1763427" cy="327314"/>
              <a:chOff x="3334479" y="10280102"/>
              <a:chExt cx="1777579" cy="316789"/>
            </a:xfrm>
          </xdr:grpSpPr>
          <xdr:sp macro="" textlink="">
            <xdr:nvSpPr>
              <xdr:cNvPr id="58" name="Rectangle 57">
                <a:extLst>
                  <a:ext uri="{FF2B5EF4-FFF2-40B4-BE49-F238E27FC236}">
                    <a16:creationId xmlns:a16="http://schemas.microsoft.com/office/drawing/2014/main" id="{00000000-0008-0000-0100-00003A000000}"/>
                  </a:ext>
                </a:extLst>
              </xdr:cNvPr>
              <xdr:cNvSpPr/>
            </xdr:nvSpPr>
            <xdr:spPr>
              <a:xfrm>
                <a:off x="3334479" y="10326608"/>
                <a:ext cx="1529744" cy="246450"/>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0" name="Group 39">
                <a:extLst>
                  <a:ext uri="{FF2B5EF4-FFF2-40B4-BE49-F238E27FC236}">
                    <a16:creationId xmlns:a16="http://schemas.microsoft.com/office/drawing/2014/main" id="{00000000-0008-0000-0100-000028000000}"/>
                  </a:ext>
                </a:extLst>
              </xdr:cNvPr>
              <xdr:cNvGrpSpPr/>
            </xdr:nvGrpSpPr>
            <xdr:grpSpPr>
              <a:xfrm>
                <a:off x="3358275" y="10280102"/>
                <a:ext cx="1753783" cy="316789"/>
                <a:chOff x="2918091" y="10783170"/>
                <a:chExt cx="1753783" cy="316789"/>
              </a:xfrm>
            </xdr:grpSpPr>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3024197" y="10812510"/>
                  <a:ext cx="1647677" cy="27783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Dividends</a:t>
                  </a:r>
                  <a:r>
                    <a:rPr lang="en-IN" sz="1200" baseline="0"/>
                    <a:t> &amp; Profits</a:t>
                  </a:r>
                  <a:endParaRPr lang="en-IN" sz="1200"/>
                </a:p>
              </xdr:txBody>
            </xdr:sp>
            <mc:AlternateContent xmlns:mc="http://schemas.openxmlformats.org/markup-compatibility/2006">
              <mc:Choice xmlns:a14="http://schemas.microsoft.com/office/drawing/2010/main" Requires="a14">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100-000008180000}"/>
                        </a:ext>
                      </a:extLst>
                    </xdr:cNvPr>
                    <xdr:cNvSpPr/>
                  </xdr:nvSpPr>
                  <xdr:spPr bwMode="auto">
                    <a:xfrm>
                      <a:off x="2918091" y="10783170"/>
                      <a:ext cx="1616919" cy="31678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                                                  </a:t>
                      </a:r>
                    </a:p>
                  </xdr:txBody>
                </xdr:sp>
              </mc:Choice>
              <mc:Fallback/>
            </mc:AlternateContent>
          </xdr:grpSp>
        </xdr:grpSp>
        <xdr:grpSp>
          <xdr:nvGrpSpPr>
            <xdr:cNvPr id="50" name="Group 49">
              <a:extLst>
                <a:ext uri="{FF2B5EF4-FFF2-40B4-BE49-F238E27FC236}">
                  <a16:creationId xmlns:a16="http://schemas.microsoft.com/office/drawing/2014/main" id="{00000000-0008-0000-0100-000032000000}"/>
                </a:ext>
              </a:extLst>
            </xdr:cNvPr>
            <xdr:cNvGrpSpPr/>
          </xdr:nvGrpSpPr>
          <xdr:grpSpPr>
            <a:xfrm>
              <a:off x="5293713" y="8957933"/>
              <a:ext cx="2072431" cy="334196"/>
              <a:chOff x="5673005" y="9804596"/>
              <a:chExt cx="2083858" cy="328035"/>
            </a:xfrm>
          </xdr:grpSpPr>
          <xdr:sp macro="" textlink="">
            <xdr:nvSpPr>
              <xdr:cNvPr id="59" name="Rectangle 58">
                <a:extLst>
                  <a:ext uri="{FF2B5EF4-FFF2-40B4-BE49-F238E27FC236}">
                    <a16:creationId xmlns:a16="http://schemas.microsoft.com/office/drawing/2014/main" id="{00000000-0008-0000-0100-00003B000000}"/>
                  </a:ext>
                </a:extLst>
              </xdr:cNvPr>
              <xdr:cNvSpPr/>
            </xdr:nvSpPr>
            <xdr:spPr>
              <a:xfrm>
                <a:off x="5673005" y="9845652"/>
                <a:ext cx="1776840" cy="246449"/>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9" name="Group 48">
                <a:extLst>
                  <a:ext uri="{FF2B5EF4-FFF2-40B4-BE49-F238E27FC236}">
                    <a16:creationId xmlns:a16="http://schemas.microsoft.com/office/drawing/2014/main" id="{00000000-0008-0000-0100-000031000000}"/>
                  </a:ext>
                </a:extLst>
              </xdr:cNvPr>
              <xdr:cNvGrpSpPr/>
            </xdr:nvGrpSpPr>
            <xdr:grpSpPr>
              <a:xfrm>
                <a:off x="5697999" y="9804596"/>
                <a:ext cx="2058864" cy="328035"/>
                <a:chOff x="5697999" y="9804596"/>
                <a:chExt cx="2058864" cy="328035"/>
              </a:xfrm>
            </xdr:grpSpPr>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5819312" y="9821664"/>
                  <a:ext cx="1937551" cy="27783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Other Non Tax Receipts</a:t>
                  </a:r>
                </a:p>
              </xdr:txBody>
            </xdr:sp>
            <mc:AlternateContent xmlns:mc="http://schemas.openxmlformats.org/markup-compatibility/2006">
              <mc:Choice xmlns:a14="http://schemas.microsoft.com/office/drawing/2010/main" Requires="a14">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100-000009180000}"/>
                        </a:ext>
                      </a:extLst>
                    </xdr:cNvPr>
                    <xdr:cNvSpPr/>
                  </xdr:nvSpPr>
                  <xdr:spPr bwMode="auto">
                    <a:xfrm>
                      <a:off x="5697999" y="9804596"/>
                      <a:ext cx="1696360" cy="32803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                                            </a:t>
                      </a:r>
                    </a:p>
                  </xdr:txBody>
                </xdr:sp>
              </mc:Choice>
              <mc:Fallback/>
            </mc:AlternateContent>
          </xdr:grpSp>
        </xdr:grpSp>
      </xdr:grpSp>
    </xdr:grpSp>
    <xdr:clientData/>
  </xdr:twoCellAnchor>
  <xdr:twoCellAnchor>
    <xdr:from>
      <xdr:col>13</xdr:col>
      <xdr:colOff>117473</xdr:colOff>
      <xdr:row>27</xdr:row>
      <xdr:rowOff>104775</xdr:rowOff>
    </xdr:from>
    <xdr:to>
      <xdr:col>24</xdr:col>
      <xdr:colOff>445474</xdr:colOff>
      <xdr:row>50</xdr:row>
      <xdr:rowOff>4079</xdr:rowOff>
    </xdr:to>
    <xdr:grpSp>
      <xdr:nvGrpSpPr>
        <xdr:cNvPr id="68" name="Group 67">
          <a:extLst>
            <a:ext uri="{FF2B5EF4-FFF2-40B4-BE49-F238E27FC236}">
              <a16:creationId xmlns:a16="http://schemas.microsoft.com/office/drawing/2014/main" id="{00000000-0008-0000-0100-000044000000}"/>
            </a:ext>
          </a:extLst>
        </xdr:cNvPr>
        <xdr:cNvGrpSpPr/>
      </xdr:nvGrpSpPr>
      <xdr:grpSpPr>
        <a:xfrm>
          <a:off x="8124823" y="5076825"/>
          <a:ext cx="7103451" cy="4134754"/>
          <a:chOff x="8186643" y="5128596"/>
          <a:chExt cx="7160694" cy="4178234"/>
        </a:xfrm>
      </xdr:grpSpPr>
      <xdr:graphicFrame macro="">
        <xdr:nvGraphicFramePr>
          <xdr:cNvPr id="19" name="Chart 18">
            <a:extLst>
              <a:ext uri="{FF2B5EF4-FFF2-40B4-BE49-F238E27FC236}">
                <a16:creationId xmlns:a16="http://schemas.microsoft.com/office/drawing/2014/main" id="{00000000-0008-0000-0100-000013000000}"/>
              </a:ext>
            </a:extLst>
          </xdr:cNvPr>
          <xdr:cNvGraphicFramePr>
            <a:graphicFrameLocks/>
          </xdr:cNvGraphicFramePr>
        </xdr:nvGraphicFramePr>
        <xdr:xfrm>
          <a:off x="8186643" y="5128596"/>
          <a:ext cx="7160694" cy="4178234"/>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65" name="Group 64">
            <a:extLst>
              <a:ext uri="{FF2B5EF4-FFF2-40B4-BE49-F238E27FC236}">
                <a16:creationId xmlns:a16="http://schemas.microsoft.com/office/drawing/2014/main" id="{00000000-0008-0000-0100-000041000000}"/>
              </a:ext>
            </a:extLst>
          </xdr:cNvPr>
          <xdr:cNvGrpSpPr/>
        </xdr:nvGrpSpPr>
        <xdr:grpSpPr>
          <a:xfrm>
            <a:off x="9572609" y="8957135"/>
            <a:ext cx="4807478" cy="293165"/>
            <a:chOff x="9572609" y="8957135"/>
            <a:chExt cx="4807478" cy="293165"/>
          </a:xfrm>
        </xdr:grpSpPr>
        <xdr:grpSp>
          <xdr:nvGrpSpPr>
            <xdr:cNvPr id="55" name="Group 54">
              <a:extLst>
                <a:ext uri="{FF2B5EF4-FFF2-40B4-BE49-F238E27FC236}">
                  <a16:creationId xmlns:a16="http://schemas.microsoft.com/office/drawing/2014/main" id="{00000000-0008-0000-0100-000037000000}"/>
                </a:ext>
              </a:extLst>
            </xdr:cNvPr>
            <xdr:cNvGrpSpPr/>
          </xdr:nvGrpSpPr>
          <xdr:grpSpPr>
            <a:xfrm>
              <a:off x="12536031" y="8958871"/>
              <a:ext cx="1844056" cy="272974"/>
              <a:chOff x="11579188" y="10143361"/>
              <a:chExt cx="1847778" cy="270639"/>
            </a:xfrm>
          </xdr:grpSpPr>
          <xdr:sp macro="" textlink="">
            <xdr:nvSpPr>
              <xdr:cNvPr id="61" name="Rectangle 60">
                <a:extLst>
                  <a:ext uri="{FF2B5EF4-FFF2-40B4-BE49-F238E27FC236}">
                    <a16:creationId xmlns:a16="http://schemas.microsoft.com/office/drawing/2014/main" id="{00000000-0008-0000-0100-00003D000000}"/>
                  </a:ext>
                </a:extLst>
              </xdr:cNvPr>
              <xdr:cNvSpPr/>
            </xdr:nvSpPr>
            <xdr:spPr>
              <a:xfrm>
                <a:off x="11579188" y="10164872"/>
                <a:ext cx="1716397" cy="249128"/>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4" name="Group 53">
                <a:extLst>
                  <a:ext uri="{FF2B5EF4-FFF2-40B4-BE49-F238E27FC236}">
                    <a16:creationId xmlns:a16="http://schemas.microsoft.com/office/drawing/2014/main" id="{00000000-0008-0000-0100-000036000000}"/>
                  </a:ext>
                </a:extLst>
              </xdr:cNvPr>
              <xdr:cNvGrpSpPr/>
            </xdr:nvGrpSpPr>
            <xdr:grpSpPr>
              <a:xfrm>
                <a:off x="11656583" y="10143361"/>
                <a:ext cx="1770383" cy="270639"/>
                <a:chOff x="11656583" y="10143361"/>
                <a:chExt cx="1770383" cy="270639"/>
              </a:xfrm>
            </xdr:grpSpPr>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1749130" y="10143361"/>
                  <a:ext cx="1677836" cy="270639"/>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Misc. Capital</a:t>
                  </a:r>
                  <a:r>
                    <a:rPr lang="en-IN" sz="1200" baseline="0"/>
                    <a:t> Receipts</a:t>
                  </a:r>
                  <a:endParaRPr lang="en-IN" sz="1200"/>
                </a:p>
              </xdr:txBody>
            </xdr:sp>
            <mc:AlternateContent xmlns:mc="http://schemas.openxmlformats.org/markup-compatibility/2006">
              <mc:Choice xmlns:a14="http://schemas.microsoft.com/office/drawing/2010/main" Requires="a14">
                <xdr:sp macro="" textlink="">
                  <xdr:nvSpPr>
                    <xdr:cNvPr id="6156" name="Check Box 12" hidden="1">
                      <a:extLst>
                        <a:ext uri="{63B3BB69-23CF-44E3-9099-C40C66FF867C}">
                          <a14:compatExt spid="_x0000_s6156"/>
                        </a:ext>
                        <a:ext uri="{FF2B5EF4-FFF2-40B4-BE49-F238E27FC236}">
                          <a16:creationId xmlns:a16="http://schemas.microsoft.com/office/drawing/2014/main" id="{00000000-0008-0000-0100-00000C180000}"/>
                        </a:ext>
                      </a:extLst>
                    </xdr:cNvPr>
                    <xdr:cNvSpPr/>
                  </xdr:nvSpPr>
                  <xdr:spPr bwMode="auto">
                    <a:xfrm>
                      <a:off x="11656583" y="10151241"/>
                      <a:ext cx="1617113" cy="2583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                                  </a:t>
                      </a:r>
                    </a:p>
                  </xdr:txBody>
                </xdr:sp>
              </mc:Choice>
              <mc:Fallback/>
            </mc:AlternateContent>
          </xdr:grpSp>
        </xdr:grpSp>
        <xdr:grpSp>
          <xdr:nvGrpSpPr>
            <xdr:cNvPr id="53" name="Group 52">
              <a:extLst>
                <a:ext uri="{FF2B5EF4-FFF2-40B4-BE49-F238E27FC236}">
                  <a16:creationId xmlns:a16="http://schemas.microsoft.com/office/drawing/2014/main" id="{00000000-0008-0000-0100-000035000000}"/>
                </a:ext>
              </a:extLst>
            </xdr:cNvPr>
            <xdr:cNvGrpSpPr/>
          </xdr:nvGrpSpPr>
          <xdr:grpSpPr>
            <a:xfrm>
              <a:off x="9572609" y="8957135"/>
              <a:ext cx="2336507" cy="293165"/>
              <a:chOff x="8895839" y="10066239"/>
              <a:chExt cx="2341470" cy="290830"/>
            </a:xfrm>
          </xdr:grpSpPr>
          <xdr:sp macro="" textlink="">
            <xdr:nvSpPr>
              <xdr:cNvPr id="60" name="Rectangle 59">
                <a:extLst>
                  <a:ext uri="{FF2B5EF4-FFF2-40B4-BE49-F238E27FC236}">
                    <a16:creationId xmlns:a16="http://schemas.microsoft.com/office/drawing/2014/main" id="{00000000-0008-0000-0100-00003C000000}"/>
                  </a:ext>
                </a:extLst>
              </xdr:cNvPr>
              <xdr:cNvSpPr/>
            </xdr:nvSpPr>
            <xdr:spPr>
              <a:xfrm>
                <a:off x="8895839" y="10090717"/>
                <a:ext cx="2249506" cy="246792"/>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2" name="Group 51">
                <a:extLst>
                  <a:ext uri="{FF2B5EF4-FFF2-40B4-BE49-F238E27FC236}">
                    <a16:creationId xmlns:a16="http://schemas.microsoft.com/office/drawing/2014/main" id="{00000000-0008-0000-0100-000034000000}"/>
                  </a:ext>
                </a:extLst>
              </xdr:cNvPr>
              <xdr:cNvGrpSpPr/>
            </xdr:nvGrpSpPr>
            <xdr:grpSpPr>
              <a:xfrm>
                <a:off x="8941477" y="10066239"/>
                <a:ext cx="2295832" cy="290830"/>
                <a:chOff x="8880167" y="9689619"/>
                <a:chExt cx="2212626" cy="290830"/>
              </a:xfrm>
            </xdr:grpSpPr>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9019335" y="9694919"/>
                  <a:ext cx="2073458" cy="28553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Recovery</a:t>
                  </a:r>
                  <a:r>
                    <a:rPr lang="en-IN" sz="1200" baseline="0"/>
                    <a:t> of Loans &amp; Advances</a:t>
                  </a:r>
                  <a:endParaRPr lang="en-IN" sz="1200"/>
                </a:p>
              </xdr:txBody>
            </xdr:sp>
            <mc:AlternateContent xmlns:mc="http://schemas.openxmlformats.org/markup-compatibility/2006">
              <mc:Choice xmlns:a14="http://schemas.microsoft.com/office/drawing/2010/main" Requires="a14">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100-00000A180000}"/>
                        </a:ext>
                      </a:extLst>
                    </xdr:cNvPr>
                    <xdr:cNvSpPr/>
                  </xdr:nvSpPr>
                  <xdr:spPr bwMode="auto">
                    <a:xfrm>
                      <a:off x="8880167" y="9689619"/>
                      <a:ext cx="2094377" cy="28648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                                  </a:t>
                      </a:r>
                    </a:p>
                  </xdr:txBody>
                </xdr:sp>
              </mc:Choice>
              <mc:Fallback/>
            </mc:AlternateContent>
          </xdr:grpSp>
        </xdr:grpSp>
      </xdr:grpSp>
    </xdr:grpSp>
    <xdr:clientData/>
  </xdr:twoCellAnchor>
  <xdr:twoCellAnchor>
    <xdr:from>
      <xdr:col>23</xdr:col>
      <xdr:colOff>191559</xdr:colOff>
      <xdr:row>26</xdr:row>
      <xdr:rowOff>187324</xdr:rowOff>
    </xdr:from>
    <xdr:to>
      <xdr:col>25</xdr:col>
      <xdr:colOff>161272</xdr:colOff>
      <xdr:row>28</xdr:row>
      <xdr:rowOff>60096</xdr:rowOff>
    </xdr:to>
    <xdr:sp macro="" textlink="Sheet4!A2">
      <xdr:nvSpPr>
        <xdr:cNvPr id="66" name="TextBox 1">
          <a:extLst>
            <a:ext uri="{FF2B5EF4-FFF2-40B4-BE49-F238E27FC236}">
              <a16:creationId xmlns:a16="http://schemas.microsoft.com/office/drawing/2014/main" id="{00000000-0008-0000-0100-000042000000}"/>
            </a:ext>
          </a:extLst>
        </xdr:cNvPr>
        <xdr:cNvSpPr txBox="1"/>
      </xdr:nvSpPr>
      <xdr:spPr>
        <a:xfrm>
          <a:off x="13774209" y="5140324"/>
          <a:ext cx="1150813" cy="2537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932C1845-F557-44E2-B786-023C72F689E6}" type="TxLink">
            <a:rPr lang="en-US" sz="1400" b="1" i="0" u="none" strike="noStrike">
              <a:solidFill>
                <a:srgbClr val="000000"/>
              </a:solidFill>
              <a:latin typeface="Calibri"/>
              <a:ea typeface="Calibri"/>
              <a:cs typeface="Calibri"/>
            </a:rPr>
            <a:pPr/>
            <a:t>(Upto Dec)</a:t>
          </a:fld>
          <a:endParaRPr lang="en-IN" sz="1400" b="1"/>
        </a:p>
      </xdr:txBody>
    </xdr:sp>
    <xdr:clientData/>
  </xdr:twoCellAnchor>
  <xdr:twoCellAnchor>
    <xdr:from>
      <xdr:col>0</xdr:col>
      <xdr:colOff>142875</xdr:colOff>
      <xdr:row>51</xdr:row>
      <xdr:rowOff>82551</xdr:rowOff>
    </xdr:from>
    <xdr:to>
      <xdr:col>26</xdr:col>
      <xdr:colOff>520700</xdr:colOff>
      <xdr:row>51</xdr:row>
      <xdr:rowOff>85725</xdr:rowOff>
    </xdr:to>
    <xdr:cxnSp macro="">
      <xdr:nvCxnSpPr>
        <xdr:cNvPr id="67" name="Straight Connector 66">
          <a:extLst>
            <a:ext uri="{FF2B5EF4-FFF2-40B4-BE49-F238E27FC236}">
              <a16:creationId xmlns:a16="http://schemas.microsoft.com/office/drawing/2014/main" id="{00000000-0008-0000-0100-000043000000}"/>
            </a:ext>
          </a:extLst>
        </xdr:cNvPr>
        <xdr:cNvCxnSpPr/>
      </xdr:nvCxnSpPr>
      <xdr:spPr>
        <a:xfrm>
          <a:off x="142875" y="9798051"/>
          <a:ext cx="15732125" cy="3174"/>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129857</xdr:colOff>
      <xdr:row>4</xdr:row>
      <xdr:rowOff>137583</xdr:rowOff>
    </xdr:from>
    <xdr:to>
      <xdr:col>24</xdr:col>
      <xdr:colOff>431271</xdr:colOff>
      <xdr:row>27</xdr:row>
      <xdr:rowOff>43815</xdr:rowOff>
    </xdr:to>
    <xdr:grpSp>
      <xdr:nvGrpSpPr>
        <xdr:cNvPr id="3" name="Group 2">
          <a:extLst>
            <a:ext uri="{FF2B5EF4-FFF2-40B4-BE49-F238E27FC236}">
              <a16:creationId xmlns:a16="http://schemas.microsoft.com/office/drawing/2014/main" id="{00000000-0008-0000-0100-000003000000}"/>
            </a:ext>
          </a:extLst>
        </xdr:cNvPr>
        <xdr:cNvGrpSpPr/>
      </xdr:nvGrpSpPr>
      <xdr:grpSpPr>
        <a:xfrm>
          <a:off x="8137207" y="874183"/>
          <a:ext cx="7076864" cy="4141682"/>
          <a:chOff x="8199120" y="874183"/>
          <a:chExt cx="7134014" cy="4141920"/>
        </a:xfrm>
      </xdr:grpSpPr>
      <xdr:grpSp>
        <xdr:nvGrpSpPr>
          <xdr:cNvPr id="17" name="Group 16">
            <a:extLst>
              <a:ext uri="{FF2B5EF4-FFF2-40B4-BE49-F238E27FC236}">
                <a16:creationId xmlns:a16="http://schemas.microsoft.com/office/drawing/2014/main" id="{00000000-0008-0000-0100-000011000000}"/>
              </a:ext>
            </a:extLst>
          </xdr:cNvPr>
          <xdr:cNvGrpSpPr/>
        </xdr:nvGrpSpPr>
        <xdr:grpSpPr>
          <a:xfrm>
            <a:off x="8199120" y="874183"/>
            <a:ext cx="7134014" cy="4141920"/>
            <a:chOff x="8199120" y="895350"/>
            <a:chExt cx="7134014" cy="4262967"/>
          </a:xfrm>
        </xdr:grpSpPr>
        <xdr:graphicFrame macro="">
          <xdr:nvGraphicFramePr>
            <xdr:cNvPr id="11" name="Chart 10">
              <a:extLst>
                <a:ext uri="{FF2B5EF4-FFF2-40B4-BE49-F238E27FC236}">
                  <a16:creationId xmlns:a16="http://schemas.microsoft.com/office/drawing/2014/main" id="{00000000-0008-0000-0100-00000B000000}"/>
                </a:ext>
              </a:extLst>
            </xdr:cNvPr>
            <xdr:cNvGraphicFramePr>
              <a:graphicFrameLocks/>
            </xdr:cNvGraphicFramePr>
          </xdr:nvGraphicFramePr>
          <xdr:xfrm>
            <a:off x="8199120" y="895350"/>
            <a:ext cx="7134014" cy="4262967"/>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9808632" y="4936067"/>
              <a:ext cx="3800475" cy="171450"/>
            </a:xfrm>
            <a:prstGeom prst="rect">
              <a:avLst/>
            </a:prstGeom>
            <a:solidFill>
              <a:schemeClr val="accent3">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grpSp>
      <xdr:grpSp>
        <xdr:nvGrpSpPr>
          <xdr:cNvPr id="8" name="Group 7">
            <a:extLst>
              <a:ext uri="{FF2B5EF4-FFF2-40B4-BE49-F238E27FC236}">
                <a16:creationId xmlns:a16="http://schemas.microsoft.com/office/drawing/2014/main" id="{00000000-0008-0000-0100-000008000000}"/>
              </a:ext>
            </a:extLst>
          </xdr:cNvPr>
          <xdr:cNvGrpSpPr/>
        </xdr:nvGrpSpPr>
        <xdr:grpSpPr>
          <a:xfrm>
            <a:off x="9095432" y="4650148"/>
            <a:ext cx="5349836" cy="314833"/>
            <a:chOff x="8850380" y="4861604"/>
            <a:chExt cx="5334271" cy="318643"/>
          </a:xfrm>
        </xdr:grpSpPr>
        <xdr:grpSp>
          <xdr:nvGrpSpPr>
            <xdr:cNvPr id="44" name="Group 43">
              <a:extLst>
                <a:ext uri="{FF2B5EF4-FFF2-40B4-BE49-F238E27FC236}">
                  <a16:creationId xmlns:a16="http://schemas.microsoft.com/office/drawing/2014/main" id="{00000000-0008-0000-0100-00002C000000}"/>
                </a:ext>
              </a:extLst>
            </xdr:cNvPr>
            <xdr:cNvGrpSpPr/>
          </xdr:nvGrpSpPr>
          <xdr:grpSpPr>
            <a:xfrm>
              <a:off x="8850380" y="4861604"/>
              <a:ext cx="1869583" cy="309283"/>
              <a:chOff x="15093584" y="5701536"/>
              <a:chExt cx="1869583" cy="309283"/>
            </a:xfrm>
          </xdr:grpSpPr>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5093584" y="5707983"/>
                <a:ext cx="1634912" cy="29869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grpSp>
            <xdr:nvGrpSpPr>
              <xdr:cNvPr id="42" name="Group 41">
                <a:extLst>
                  <a:ext uri="{FF2B5EF4-FFF2-40B4-BE49-F238E27FC236}">
                    <a16:creationId xmlns:a16="http://schemas.microsoft.com/office/drawing/2014/main" id="{00000000-0008-0000-0100-00002A000000}"/>
                  </a:ext>
                </a:extLst>
              </xdr:cNvPr>
              <xdr:cNvGrpSpPr/>
            </xdr:nvGrpSpPr>
            <xdr:grpSpPr>
              <a:xfrm>
                <a:off x="15170172" y="5701536"/>
                <a:ext cx="1792995" cy="309283"/>
                <a:chOff x="14434142" y="5372491"/>
                <a:chExt cx="1784334" cy="309283"/>
              </a:xfrm>
            </xdr:grpSpPr>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677157" y="5393924"/>
                  <a:ext cx="1541319" cy="2878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Net Tax Revenue</a:t>
                  </a:r>
                </a:p>
              </xdr:txBody>
            </xdr:sp>
            <mc:AlternateContent xmlns:mc="http://schemas.openxmlformats.org/markup-compatibility/2006">
              <mc:Choice xmlns:a14="http://schemas.microsoft.com/office/drawing/2010/main" Requires="a14">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100-000006180000}"/>
                        </a:ext>
                      </a:extLst>
                    </xdr:cNvPr>
                    <xdr:cNvSpPr/>
                  </xdr:nvSpPr>
                  <xdr:spPr bwMode="auto">
                    <a:xfrm>
                      <a:off x="14434142" y="5372491"/>
                      <a:ext cx="1420647" cy="28677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grpSp>
        </xdr:grpSp>
        <xdr:grpSp>
          <xdr:nvGrpSpPr>
            <xdr:cNvPr id="57" name="Group 56">
              <a:extLst>
                <a:ext uri="{FF2B5EF4-FFF2-40B4-BE49-F238E27FC236}">
                  <a16:creationId xmlns:a16="http://schemas.microsoft.com/office/drawing/2014/main" id="{00000000-0008-0000-0100-000039000000}"/>
                </a:ext>
              </a:extLst>
            </xdr:cNvPr>
            <xdr:cNvGrpSpPr/>
          </xdr:nvGrpSpPr>
          <xdr:grpSpPr>
            <a:xfrm>
              <a:off x="10982003" y="4886340"/>
              <a:ext cx="3202648" cy="293907"/>
              <a:chOff x="15069094" y="6678771"/>
              <a:chExt cx="3202648" cy="293907"/>
            </a:xfrm>
          </xdr:grpSpPr>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5069094" y="6678771"/>
                <a:ext cx="3066990" cy="283224"/>
              </a:xfrm>
              <a:prstGeom prst="rect">
                <a:avLst/>
              </a:prstGeom>
              <a:solidFill>
                <a:schemeClr val="accent6">
                  <a:lumMod val="75000"/>
                  <a:alpha val="96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grpSp>
            <xdr:nvGrpSpPr>
              <xdr:cNvPr id="56" name="Group 55">
                <a:extLst>
                  <a:ext uri="{FF2B5EF4-FFF2-40B4-BE49-F238E27FC236}">
                    <a16:creationId xmlns:a16="http://schemas.microsoft.com/office/drawing/2014/main" id="{00000000-0008-0000-0100-000038000000}"/>
                  </a:ext>
                </a:extLst>
              </xdr:cNvPr>
              <xdr:cNvGrpSpPr/>
            </xdr:nvGrpSpPr>
            <xdr:grpSpPr>
              <a:xfrm>
                <a:off x="15243011" y="6684827"/>
                <a:ext cx="3028731" cy="287851"/>
                <a:chOff x="15104466" y="6745441"/>
                <a:chExt cx="3028731" cy="287851"/>
              </a:xfrm>
            </xdr:grpSpPr>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5241229" y="6745441"/>
                  <a:ext cx="2891968" cy="28785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Devolution to States &amp;</a:t>
                  </a:r>
                  <a:r>
                    <a:rPr lang="en-IN" sz="1200" baseline="0"/>
                    <a:t> Transfer to NCCD</a:t>
                  </a:r>
                  <a:endParaRPr lang="en-IN" sz="1200"/>
                </a:p>
              </xdr:txBody>
            </xdr:sp>
            <mc:AlternateContent xmlns:mc="http://schemas.openxmlformats.org/markup-compatibility/2006">
              <mc:Choice xmlns:a14="http://schemas.microsoft.com/office/drawing/2010/main" Requires="a14">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100-000005180000}"/>
                        </a:ext>
                      </a:extLst>
                    </xdr:cNvPr>
                    <xdr:cNvSpPr/>
                  </xdr:nvSpPr>
                  <xdr:spPr bwMode="auto">
                    <a:xfrm>
                      <a:off x="15104466" y="6763862"/>
                      <a:ext cx="2776557" cy="23077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                                                                                </a:t>
                      </a:r>
                    </a:p>
                  </xdr:txBody>
                </xdr:sp>
              </mc:Choice>
              <mc:Fallback/>
            </mc:AlternateContent>
          </xdr:grpSp>
        </xdr:grpSp>
      </xdr:grpSp>
    </xdr:grpSp>
    <xdr:clientData/>
  </xdr:twoCellAnchor>
  <xdr:twoCellAnchor>
    <xdr:from>
      <xdr:col>10</xdr:col>
      <xdr:colOff>200025</xdr:colOff>
      <xdr:row>27</xdr:row>
      <xdr:rowOff>9525</xdr:rowOff>
    </xdr:from>
    <xdr:to>
      <xdr:col>12</xdr:col>
      <xdr:colOff>169738</xdr:colOff>
      <xdr:row>28</xdr:row>
      <xdr:rowOff>72797</xdr:rowOff>
    </xdr:to>
    <xdr:sp macro="" textlink="Sheet4!A2">
      <xdr:nvSpPr>
        <xdr:cNvPr id="79" name="TextBox 1">
          <a:extLst>
            <a:ext uri="{FF2B5EF4-FFF2-40B4-BE49-F238E27FC236}">
              <a16:creationId xmlns:a16="http://schemas.microsoft.com/office/drawing/2014/main" id="{00000000-0008-0000-0100-00004F000000}"/>
            </a:ext>
          </a:extLst>
        </xdr:cNvPr>
        <xdr:cNvSpPr txBox="1"/>
      </xdr:nvSpPr>
      <xdr:spPr>
        <a:xfrm>
          <a:off x="6105525" y="5153025"/>
          <a:ext cx="1150813" cy="2537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932C1845-F557-44E2-B786-023C72F689E6}" type="TxLink">
            <a:rPr lang="en-US" sz="1400" b="1" i="0" u="none" strike="noStrike">
              <a:solidFill>
                <a:srgbClr val="000000"/>
              </a:solidFill>
              <a:latin typeface="Calibri"/>
              <a:ea typeface="Calibri"/>
              <a:cs typeface="Calibri"/>
            </a:rPr>
            <a:pPr/>
            <a:t>(Upto Dec)</a:t>
          </a:fld>
          <a:endParaRPr lang="en-IN" sz="1400" b="1"/>
        </a:p>
      </xdr:txBody>
    </xdr:sp>
    <xdr:clientData/>
  </xdr:twoCellAnchor>
</xdr:wsDr>
</file>

<file path=xl/drawings/drawing5.xml><?xml version="1.0" encoding="utf-8"?>
<c:userShapes xmlns:c="http://schemas.openxmlformats.org/drawingml/2006/chart">
  <cdr:relSizeAnchor xmlns:cdr="http://schemas.openxmlformats.org/drawingml/2006/chartDrawing">
    <cdr:from>
      <cdr:x>0.60197</cdr:x>
      <cdr:y>0.00404</cdr:y>
    </cdr:from>
    <cdr:to>
      <cdr:x>0.7696</cdr:x>
      <cdr:y>0.06281</cdr:y>
    </cdr:to>
    <cdr:sp macro="" textlink="Sheet4!$A$2">
      <cdr:nvSpPr>
        <cdr:cNvPr id="2" name="TextBox 1"/>
        <cdr:cNvSpPr txBox="1"/>
      </cdr:nvSpPr>
      <cdr:spPr>
        <a:xfrm xmlns:a="http://schemas.openxmlformats.org/drawingml/2006/main">
          <a:off x="4269333" y="17163"/>
          <a:ext cx="1188913" cy="2495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D7D8F5BC-636D-4CC5-9CC4-9DECCDEFCEA1}" type="TxLink">
            <a:rPr lang="en-US" sz="1400" b="1" i="0" u="none" strike="noStrike">
              <a:solidFill>
                <a:srgbClr val="000000"/>
              </a:solidFill>
              <a:latin typeface="Calibri"/>
              <a:ea typeface="Calibri"/>
              <a:cs typeface="Calibri"/>
            </a:rPr>
            <a:pPr/>
            <a:t>(Upto Dec)</a:t>
          </a:fld>
          <a:endParaRPr lang="en-IN" sz="1400" b="1"/>
        </a:p>
      </cdr:txBody>
    </cdr:sp>
  </cdr:relSizeAnchor>
  <cdr:relSizeAnchor xmlns:cdr="http://schemas.openxmlformats.org/drawingml/2006/chartDrawing">
    <cdr:from>
      <cdr:x>0.19259</cdr:x>
      <cdr:y>0.93706</cdr:y>
    </cdr:from>
    <cdr:to>
      <cdr:x>0.79794</cdr:x>
      <cdr:y>0.97671</cdr:y>
    </cdr:to>
    <cdr:sp macro="" textlink="">
      <cdr:nvSpPr>
        <cdr:cNvPr id="3" name="TextBox 6">
          <a:extLst xmlns:a="http://schemas.openxmlformats.org/drawingml/2006/main">
            <a:ext uri="{FF2B5EF4-FFF2-40B4-BE49-F238E27FC236}">
              <a16:creationId xmlns:a16="http://schemas.microsoft.com/office/drawing/2014/main" id="{A42635BB-6BDF-49F3-8B76-FCCA900FBB28}"/>
            </a:ext>
          </a:extLst>
        </cdr:cNvPr>
        <cdr:cNvSpPr txBox="1"/>
      </cdr:nvSpPr>
      <cdr:spPr>
        <a:xfrm xmlns:a="http://schemas.openxmlformats.org/drawingml/2006/main">
          <a:off x="1403350" y="3355975"/>
          <a:ext cx="4410941" cy="142010"/>
        </a:xfrm>
        <a:prstGeom xmlns:a="http://schemas.openxmlformats.org/drawingml/2006/main" prst="rect">
          <a:avLst/>
        </a:prstGeom>
        <a:solidFill xmlns:a="http://schemas.openxmlformats.org/drawingml/2006/main">
          <a:schemeClr val="accent3">
            <a:lumMod val="20000"/>
            <a:lumOff val="8000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IN" sz="1100"/>
        </a:p>
      </cdr:txBody>
    </cdr:sp>
  </cdr:relSizeAnchor>
</c:userShapes>
</file>

<file path=xl/drawings/drawing6.xml><?xml version="1.0" encoding="utf-8"?>
<c:userShapes xmlns:c="http://schemas.openxmlformats.org/drawingml/2006/chart">
  <cdr:relSizeAnchor xmlns:cdr="http://schemas.openxmlformats.org/drawingml/2006/chartDrawing">
    <cdr:from>
      <cdr:x>0.67422</cdr:x>
      <cdr:y>0.0134</cdr:y>
    </cdr:from>
    <cdr:to>
      <cdr:x>0.85489</cdr:x>
      <cdr:y>0.08043</cdr:y>
    </cdr:to>
    <cdr:sp macro="" textlink="Sheet4!$A$2">
      <cdr:nvSpPr>
        <cdr:cNvPr id="2" name="TextBox 1">
          <a:extLst xmlns:a="http://schemas.openxmlformats.org/drawingml/2006/main">
            <a:ext uri="{FF2B5EF4-FFF2-40B4-BE49-F238E27FC236}">
              <a16:creationId xmlns:a16="http://schemas.microsoft.com/office/drawing/2014/main" id="{133D0043-69D3-41CF-A862-74D6BFD038C4}"/>
            </a:ext>
          </a:extLst>
        </cdr:cNvPr>
        <cdr:cNvSpPr txBox="1"/>
      </cdr:nvSpPr>
      <cdr:spPr>
        <a:xfrm xmlns:a="http://schemas.openxmlformats.org/drawingml/2006/main">
          <a:off x="4692302" y="58740"/>
          <a:ext cx="1257382" cy="2938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27E0805A-4FB5-44EB-BA0D-00F02F05E44A}" type="TxLink">
            <a:rPr lang="en-US" sz="1400" b="1" i="0" u="none" strike="noStrike">
              <a:solidFill>
                <a:srgbClr val="000000"/>
              </a:solidFill>
              <a:latin typeface="Calibri"/>
              <a:ea typeface="Calibri"/>
              <a:cs typeface="Calibri"/>
            </a:rPr>
            <a:pPr/>
            <a:t>(Upto Dec)</a:t>
          </a:fld>
          <a:endParaRPr lang="en-IN" sz="1400" b="1"/>
        </a:p>
      </cdr:txBody>
    </cdr:sp>
  </cdr:relSizeAnchor>
</c:userShapes>
</file>

<file path=xl/drawings/drawing7.xml><?xml version="1.0" encoding="utf-8"?>
<xdr:wsDr xmlns:xdr="http://schemas.openxmlformats.org/drawingml/2006/spreadsheetDrawing" xmlns:a="http://schemas.openxmlformats.org/drawingml/2006/main">
  <xdr:twoCellAnchor>
    <xdr:from>
      <xdr:col>8</xdr:col>
      <xdr:colOff>546973</xdr:colOff>
      <xdr:row>4</xdr:row>
      <xdr:rowOff>154780</xdr:rowOff>
    </xdr:from>
    <xdr:to>
      <xdr:col>17</xdr:col>
      <xdr:colOff>142875</xdr:colOff>
      <xdr:row>24</xdr:row>
      <xdr:rowOff>38099</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196203</xdr:colOff>
      <xdr:row>4</xdr:row>
      <xdr:rowOff>152400</xdr:rowOff>
    </xdr:from>
    <xdr:to>
      <xdr:col>29</xdr:col>
      <xdr:colOff>561234</xdr:colOff>
      <xdr:row>24</xdr:row>
      <xdr:rowOff>36503</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76201</xdr:colOff>
      <xdr:row>24</xdr:row>
      <xdr:rowOff>152400</xdr:rowOff>
    </xdr:from>
    <xdr:to>
      <xdr:col>6</xdr:col>
      <xdr:colOff>18601</xdr:colOff>
      <xdr:row>39</xdr:row>
      <xdr:rowOff>174900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47625</xdr:colOff>
      <xdr:row>24</xdr:row>
      <xdr:rowOff>156963</xdr:rowOff>
    </xdr:from>
    <xdr:to>
      <xdr:col>11</xdr:col>
      <xdr:colOff>599625</xdr:colOff>
      <xdr:row>39</xdr:row>
      <xdr:rowOff>179463</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28575</xdr:colOff>
      <xdr:row>24</xdr:row>
      <xdr:rowOff>161925</xdr:rowOff>
    </xdr:from>
    <xdr:to>
      <xdr:col>17</xdr:col>
      <xdr:colOff>580575</xdr:colOff>
      <xdr:row>39</xdr:row>
      <xdr:rowOff>184425</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18412</xdr:colOff>
      <xdr:row>24</xdr:row>
      <xdr:rowOff>168505</xdr:rowOff>
    </xdr:from>
    <xdr:to>
      <xdr:col>23</xdr:col>
      <xdr:colOff>571500</xdr:colOff>
      <xdr:row>40</xdr:row>
      <xdr:rowOff>1</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22624</xdr:colOff>
      <xdr:row>24</xdr:row>
      <xdr:rowOff>175975</xdr:rowOff>
    </xdr:from>
    <xdr:to>
      <xdr:col>29</xdr:col>
      <xdr:colOff>574624</xdr:colOff>
      <xdr:row>40</xdr:row>
      <xdr:rowOff>7975</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28576</xdr:colOff>
      <xdr:row>0</xdr:row>
      <xdr:rowOff>125942</xdr:rowOff>
    </xdr:from>
    <xdr:to>
      <xdr:col>25</xdr:col>
      <xdr:colOff>22226</xdr:colOff>
      <xdr:row>3</xdr:row>
      <xdr:rowOff>15875</xdr:rowOff>
    </xdr:to>
    <xdr:sp macro="" textlink="">
      <xdr:nvSpPr>
        <xdr:cNvPr id="11" name="Rectangle 10">
          <a:hlinkClick xmlns:r="http://schemas.openxmlformats.org/officeDocument/2006/relationships" r:id="rId8"/>
          <a:extLst>
            <a:ext uri="{FF2B5EF4-FFF2-40B4-BE49-F238E27FC236}">
              <a16:creationId xmlns:a16="http://schemas.microsoft.com/office/drawing/2014/main" id="{00000000-0008-0000-0200-00000B000000}"/>
            </a:ext>
          </a:extLst>
        </xdr:cNvPr>
        <xdr:cNvSpPr/>
      </xdr:nvSpPr>
      <xdr:spPr>
        <a:xfrm>
          <a:off x="13020676" y="125942"/>
          <a:ext cx="1765300" cy="461433"/>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1600"/>
            <a:t>Back to Main Page</a:t>
          </a:r>
        </a:p>
      </xdr:txBody>
    </xdr:sp>
    <xdr:clientData/>
  </xdr:twoCellAnchor>
  <xdr:twoCellAnchor>
    <xdr:from>
      <xdr:col>0</xdr:col>
      <xdr:colOff>0</xdr:colOff>
      <xdr:row>0</xdr:row>
      <xdr:rowOff>20955</xdr:rowOff>
    </xdr:from>
    <xdr:to>
      <xdr:col>8</xdr:col>
      <xdr:colOff>219075</xdr:colOff>
      <xdr:row>3</xdr:row>
      <xdr:rowOff>171450</xdr:rowOff>
    </xdr:to>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0" y="20955"/>
          <a:ext cx="5095875" cy="693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IN" sz="1100" b="1" i="0">
              <a:solidFill>
                <a:schemeClr val="tx2">
                  <a:lumMod val="60000"/>
                  <a:lumOff val="40000"/>
                </a:schemeClr>
              </a:solidFill>
              <a:effectLst/>
              <a:latin typeface="+mn-lt"/>
              <a:ea typeface="+mn-ea"/>
              <a:cs typeface="+mn-cs"/>
            </a:rPr>
            <a:t>                       </a:t>
          </a:r>
          <a:r>
            <a:rPr lang="en-IN" sz="1400" b="1" i="0">
              <a:solidFill>
                <a:schemeClr val="tx2">
                  <a:lumMod val="60000"/>
                  <a:lumOff val="40000"/>
                </a:schemeClr>
              </a:solidFill>
              <a:effectLst/>
              <a:latin typeface="+mn-lt"/>
              <a:ea typeface="+mn-ea"/>
              <a:cs typeface="+mn-cs"/>
            </a:rPr>
            <a:t>CONTROLLER GENERAL OF ACCOUNTS</a:t>
          </a:r>
        </a:p>
        <a:p>
          <a:r>
            <a:rPr lang="en-IN" sz="1100" b="0" i="0">
              <a:solidFill>
                <a:schemeClr val="dk1"/>
              </a:solidFill>
              <a:effectLst/>
              <a:latin typeface="+mn-lt"/>
              <a:ea typeface="+mn-ea"/>
              <a:cs typeface="+mn-cs"/>
            </a:rPr>
            <a:t>                       </a:t>
          </a:r>
          <a:r>
            <a:rPr lang="en-IN" sz="1200" b="0" i="0">
              <a:solidFill>
                <a:schemeClr val="dk1"/>
              </a:solidFill>
              <a:effectLst/>
              <a:latin typeface="+mn-lt"/>
              <a:ea typeface="+mn-ea"/>
              <a:cs typeface="+mn-cs"/>
            </a:rPr>
            <a:t>MINISTRY OF FINANCE</a:t>
          </a:r>
        </a:p>
        <a:p>
          <a:r>
            <a:rPr lang="en-IN" sz="1200" b="0" i="0">
              <a:solidFill>
                <a:schemeClr val="dk1"/>
              </a:solidFill>
              <a:effectLst/>
              <a:latin typeface="+mn-lt"/>
              <a:ea typeface="+mn-ea"/>
              <a:cs typeface="+mn-cs"/>
            </a:rPr>
            <a:t>                     GOVERNMENT OF INDIA</a:t>
          </a:r>
          <a:endParaRPr lang="en-IN" sz="1200"/>
        </a:p>
      </xdr:txBody>
    </xdr:sp>
    <xdr:clientData/>
  </xdr:twoCellAnchor>
  <xdr:twoCellAnchor editAs="oneCell">
    <xdr:from>
      <xdr:col>0</xdr:col>
      <xdr:colOff>68580</xdr:colOff>
      <xdr:row>0</xdr:row>
      <xdr:rowOff>68580</xdr:rowOff>
    </xdr:from>
    <xdr:to>
      <xdr:col>1</xdr:col>
      <xdr:colOff>28162</xdr:colOff>
      <xdr:row>3</xdr:row>
      <xdr:rowOff>167640</xdr:rowOff>
    </xdr:to>
    <xdr:pic>
      <xdr:nvPicPr>
        <xdr:cNvPr id="13" name="Picture 12" descr="Image result for national em">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8580" y="68580"/>
          <a:ext cx="569182"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206375</xdr:colOff>
      <xdr:row>0</xdr:row>
      <xdr:rowOff>111760</xdr:rowOff>
    </xdr:from>
    <xdr:to>
      <xdr:col>20</xdr:col>
      <xdr:colOff>320675</xdr:colOff>
      <xdr:row>3</xdr:row>
      <xdr:rowOff>119380</xdr:rowOff>
    </xdr:to>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3749675" y="111760"/>
          <a:ext cx="838200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t>Union Government Monthly Accounts Dashboard</a:t>
          </a:r>
        </a:p>
      </xdr:txBody>
    </xdr:sp>
    <xdr:clientData/>
  </xdr:twoCellAnchor>
  <xdr:twoCellAnchor>
    <xdr:from>
      <xdr:col>0</xdr:col>
      <xdr:colOff>142875</xdr:colOff>
      <xdr:row>4</xdr:row>
      <xdr:rowOff>9526</xdr:rowOff>
    </xdr:from>
    <xdr:to>
      <xdr:col>29</xdr:col>
      <xdr:colOff>579120</xdr:colOff>
      <xdr:row>4</xdr:row>
      <xdr:rowOff>50800</xdr:rowOff>
    </xdr:to>
    <xdr:cxnSp macro="">
      <xdr:nvCxnSpPr>
        <xdr:cNvPr id="15" name="Straight Connector 14">
          <a:extLst>
            <a:ext uri="{FF2B5EF4-FFF2-40B4-BE49-F238E27FC236}">
              <a16:creationId xmlns:a16="http://schemas.microsoft.com/office/drawing/2014/main" id="{00000000-0008-0000-0200-00000F000000}"/>
            </a:ext>
          </a:extLst>
        </xdr:cNvPr>
        <xdr:cNvCxnSpPr/>
      </xdr:nvCxnSpPr>
      <xdr:spPr>
        <a:xfrm>
          <a:off x="142875" y="741046"/>
          <a:ext cx="18114645" cy="41274"/>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487088</xdr:colOff>
      <xdr:row>0</xdr:row>
      <xdr:rowOff>101162</xdr:rowOff>
    </xdr:from>
    <xdr:to>
      <xdr:col>29</xdr:col>
      <xdr:colOff>70037</xdr:colOff>
      <xdr:row>3</xdr:row>
      <xdr:rowOff>24962</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15250838" y="101162"/>
          <a:ext cx="1945149"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800"/>
            <a:t>All amounts</a:t>
          </a:r>
          <a:r>
            <a:rPr lang="en-US" sz="800" baseline="0"/>
            <a:t> are Rupees in Crore</a:t>
          </a:r>
        </a:p>
        <a:p>
          <a:r>
            <a:rPr lang="en-US" sz="800"/>
            <a:t>Actuals are unaudited provisional figures</a:t>
          </a:r>
        </a:p>
        <a:p>
          <a:r>
            <a:rPr lang="en-US" sz="800"/>
            <a:t>Financial year</a:t>
          </a:r>
          <a:r>
            <a:rPr lang="en-US" sz="800" baseline="0"/>
            <a:t> runs from April to March</a:t>
          </a:r>
          <a:endParaRPr lang="en-US" sz="800"/>
        </a:p>
      </xdr:txBody>
    </xdr:sp>
    <xdr:clientData/>
  </xdr:twoCellAnchor>
  <xdr:twoCellAnchor>
    <xdr:from>
      <xdr:col>25</xdr:col>
      <xdr:colOff>430531</xdr:colOff>
      <xdr:row>0</xdr:row>
      <xdr:rowOff>85725</xdr:rowOff>
    </xdr:from>
    <xdr:to>
      <xdr:col>25</xdr:col>
      <xdr:colOff>523875</xdr:colOff>
      <xdr:row>3</xdr:row>
      <xdr:rowOff>28575</xdr:rowOff>
    </xdr:to>
    <xdr:sp macro="" textlink="">
      <xdr:nvSpPr>
        <xdr:cNvPr id="17" name="Left Bracket 16">
          <a:extLst>
            <a:ext uri="{FF2B5EF4-FFF2-40B4-BE49-F238E27FC236}">
              <a16:creationId xmlns:a16="http://schemas.microsoft.com/office/drawing/2014/main" id="{00000000-0008-0000-0200-000011000000}"/>
            </a:ext>
          </a:extLst>
        </xdr:cNvPr>
        <xdr:cNvSpPr/>
      </xdr:nvSpPr>
      <xdr:spPr>
        <a:xfrm>
          <a:off x="15194281" y="85725"/>
          <a:ext cx="93344" cy="514350"/>
        </a:xfrm>
        <a:prstGeom prst="leftBracket">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28</xdr:col>
      <xdr:colOff>504825</xdr:colOff>
      <xdr:row>0</xdr:row>
      <xdr:rowOff>95250</xdr:rowOff>
    </xdr:from>
    <xdr:to>
      <xdr:col>29</xdr:col>
      <xdr:colOff>85725</xdr:colOff>
      <xdr:row>3</xdr:row>
      <xdr:rowOff>9525</xdr:rowOff>
    </xdr:to>
    <xdr:sp macro="" textlink="">
      <xdr:nvSpPr>
        <xdr:cNvPr id="18" name="Right Bracket 17">
          <a:extLst>
            <a:ext uri="{FF2B5EF4-FFF2-40B4-BE49-F238E27FC236}">
              <a16:creationId xmlns:a16="http://schemas.microsoft.com/office/drawing/2014/main" id="{00000000-0008-0000-0200-000012000000}"/>
            </a:ext>
          </a:extLst>
        </xdr:cNvPr>
        <xdr:cNvSpPr/>
      </xdr:nvSpPr>
      <xdr:spPr>
        <a:xfrm>
          <a:off x="17040225" y="95250"/>
          <a:ext cx="171450" cy="485775"/>
        </a:xfrm>
        <a:prstGeom prst="rightBracket">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0</xdr:col>
      <xdr:colOff>76200</xdr:colOff>
      <xdr:row>4</xdr:row>
      <xdr:rowOff>168276</xdr:rowOff>
    </xdr:from>
    <xdr:to>
      <xdr:col>8</xdr:col>
      <xdr:colOff>273050</xdr:colOff>
      <xdr:row>24</xdr:row>
      <xdr:rowOff>180975</xdr:rowOff>
    </xdr:to>
    <xdr:grpSp>
      <xdr:nvGrpSpPr>
        <xdr:cNvPr id="10" name="Group 9">
          <a:extLst>
            <a:ext uri="{FF2B5EF4-FFF2-40B4-BE49-F238E27FC236}">
              <a16:creationId xmlns:a16="http://schemas.microsoft.com/office/drawing/2014/main" id="{00000000-0008-0000-0200-00000A000000}"/>
            </a:ext>
          </a:extLst>
        </xdr:cNvPr>
        <xdr:cNvGrpSpPr/>
      </xdr:nvGrpSpPr>
      <xdr:grpSpPr>
        <a:xfrm>
          <a:off x="76200" y="904876"/>
          <a:ext cx="5124450" cy="3695699"/>
          <a:chOff x="76200" y="904876"/>
          <a:chExt cx="5162550" cy="3695699"/>
        </a:xfrm>
      </xdr:grpSpPr>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76200" y="904876"/>
          <a:ext cx="5162550" cy="3695699"/>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7172" name="Group 7171">
            <a:extLst>
              <a:ext uri="{FF2B5EF4-FFF2-40B4-BE49-F238E27FC236}">
                <a16:creationId xmlns:a16="http://schemas.microsoft.com/office/drawing/2014/main" id="{00000000-0008-0000-0200-0000041C0000}"/>
              </a:ext>
            </a:extLst>
          </xdr:cNvPr>
          <xdr:cNvGrpSpPr/>
        </xdr:nvGrpSpPr>
        <xdr:grpSpPr>
          <a:xfrm>
            <a:off x="934030" y="4218457"/>
            <a:ext cx="3683938" cy="315761"/>
            <a:chOff x="934030" y="4406057"/>
            <a:chExt cx="3683938" cy="317682"/>
          </a:xfrm>
        </xdr:grpSpPr>
        <xdr:grpSp>
          <xdr:nvGrpSpPr>
            <xdr:cNvPr id="30" name="Group 29">
              <a:extLst>
                <a:ext uri="{FF2B5EF4-FFF2-40B4-BE49-F238E27FC236}">
                  <a16:creationId xmlns:a16="http://schemas.microsoft.com/office/drawing/2014/main" id="{00000000-0008-0000-0200-00001E000000}"/>
                </a:ext>
              </a:extLst>
            </xdr:cNvPr>
            <xdr:cNvGrpSpPr/>
          </xdr:nvGrpSpPr>
          <xdr:grpSpPr>
            <a:xfrm>
              <a:off x="934030" y="4411189"/>
              <a:ext cx="1669289" cy="280099"/>
              <a:chOff x="851187" y="7867786"/>
              <a:chExt cx="1722882" cy="269466"/>
            </a:xfrm>
          </xdr:grpSpPr>
          <xdr:grpSp>
            <xdr:nvGrpSpPr>
              <xdr:cNvPr id="25" name="Group 24">
                <a:extLst>
                  <a:ext uri="{FF2B5EF4-FFF2-40B4-BE49-F238E27FC236}">
                    <a16:creationId xmlns:a16="http://schemas.microsoft.com/office/drawing/2014/main" id="{00000000-0008-0000-0200-000019000000}"/>
                  </a:ext>
                </a:extLst>
              </xdr:cNvPr>
              <xdr:cNvGrpSpPr/>
            </xdr:nvGrpSpPr>
            <xdr:grpSpPr>
              <a:xfrm>
                <a:off x="851187" y="7867786"/>
                <a:ext cx="1722882" cy="269466"/>
                <a:chOff x="870796" y="8054933"/>
                <a:chExt cx="1730632" cy="278581"/>
              </a:xfrm>
            </xdr:grpSpPr>
            <xdr:sp macro="" textlink="">
              <xdr:nvSpPr>
                <xdr:cNvPr id="19" name="Rectangle 18">
                  <a:extLst>
                    <a:ext uri="{FF2B5EF4-FFF2-40B4-BE49-F238E27FC236}">
                      <a16:creationId xmlns:a16="http://schemas.microsoft.com/office/drawing/2014/main" id="{00000000-0008-0000-0200-000013000000}"/>
                    </a:ext>
                  </a:extLst>
                </xdr:cNvPr>
                <xdr:cNvSpPr/>
              </xdr:nvSpPr>
              <xdr:spPr>
                <a:xfrm>
                  <a:off x="870796" y="8081152"/>
                  <a:ext cx="1700424" cy="245992"/>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1000617" y="8054933"/>
                  <a:ext cx="1600811" cy="278581"/>
                </a:xfrm>
                <a:prstGeom prst="rect">
                  <a:avLst/>
                </a:prstGeom>
                <a:solidFill>
                  <a:schemeClr val="lt1">
                    <a:alpha val="6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Calibri" panose="020F0502020204030204" pitchFamily="34" charset="0"/>
                      <a:ea typeface="Calibri" panose="020F0502020204030204" pitchFamily="34" charset="0"/>
                      <a:cs typeface="Calibri" panose="020F0502020204030204" pitchFamily="34" charset="0"/>
                    </a:rPr>
                    <a:t>Revenue Expenditure</a:t>
                  </a:r>
                </a:p>
              </xdr:txBody>
            </xdr:sp>
          </xdr:grpSp>
          <mc:AlternateContent xmlns:mc="http://schemas.openxmlformats.org/markup-compatibility/2006">
            <mc:Choice xmlns:a14="http://schemas.microsoft.com/office/drawing/2010/main" Requires="a14">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200-0000011C0000}"/>
                      </a:ext>
                    </a:extLst>
                  </xdr:cNvPr>
                  <xdr:cNvSpPr/>
                </xdr:nvSpPr>
                <xdr:spPr bwMode="auto">
                  <a:xfrm>
                    <a:off x="855469" y="7926711"/>
                    <a:ext cx="1554874" cy="16140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                      </a:t>
                    </a:r>
                  </a:p>
                </xdr:txBody>
              </xdr:sp>
            </mc:Choice>
            <mc:Fallback/>
          </mc:AlternateContent>
        </xdr:grpSp>
        <xdr:grpSp>
          <xdr:nvGrpSpPr>
            <xdr:cNvPr id="7171" name="Group 7170">
              <a:extLst>
                <a:ext uri="{FF2B5EF4-FFF2-40B4-BE49-F238E27FC236}">
                  <a16:creationId xmlns:a16="http://schemas.microsoft.com/office/drawing/2014/main" id="{00000000-0008-0000-0200-0000031C0000}"/>
                </a:ext>
              </a:extLst>
            </xdr:cNvPr>
            <xdr:cNvGrpSpPr/>
          </xdr:nvGrpSpPr>
          <xdr:grpSpPr>
            <a:xfrm>
              <a:off x="2786369" y="4406057"/>
              <a:ext cx="1831599" cy="317682"/>
              <a:chOff x="2121097" y="9074895"/>
              <a:chExt cx="1828153" cy="317682"/>
            </a:xfrm>
          </xdr:grpSpPr>
          <xdr:sp macro="" textlink="">
            <xdr:nvSpPr>
              <xdr:cNvPr id="27" name="Rectangle 26">
                <a:extLst>
                  <a:ext uri="{FF2B5EF4-FFF2-40B4-BE49-F238E27FC236}">
                    <a16:creationId xmlns:a16="http://schemas.microsoft.com/office/drawing/2014/main" id="{00000000-0008-0000-0200-00001B000000}"/>
                  </a:ext>
                </a:extLst>
              </xdr:cNvPr>
              <xdr:cNvSpPr/>
            </xdr:nvSpPr>
            <xdr:spPr>
              <a:xfrm>
                <a:off x="2121097" y="9093962"/>
                <a:ext cx="1646986" cy="250079"/>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7168" name="Group 7167">
                <a:extLst>
                  <a:ext uri="{FF2B5EF4-FFF2-40B4-BE49-F238E27FC236}">
                    <a16:creationId xmlns:a16="http://schemas.microsoft.com/office/drawing/2014/main" id="{00000000-0008-0000-0200-0000001C0000}"/>
                  </a:ext>
                </a:extLst>
              </xdr:cNvPr>
              <xdr:cNvGrpSpPr/>
            </xdr:nvGrpSpPr>
            <xdr:grpSpPr>
              <a:xfrm>
                <a:off x="2144768" y="9074895"/>
                <a:ext cx="1804482" cy="317682"/>
                <a:chOff x="4686752" y="9009411"/>
                <a:chExt cx="1804482" cy="317682"/>
              </a:xfrm>
            </xdr:grpSpPr>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4832911" y="9025072"/>
                  <a:ext cx="1658323" cy="302021"/>
                </a:xfrm>
                <a:prstGeom prst="rect">
                  <a:avLst/>
                </a:prstGeom>
                <a:solidFill>
                  <a:schemeClr val="lt1">
                    <a:alpha val="6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Calibri" panose="020F0502020204030204" pitchFamily="34" charset="0"/>
                      <a:ea typeface="Calibri" panose="020F0502020204030204" pitchFamily="34" charset="0"/>
                      <a:cs typeface="Calibri" panose="020F0502020204030204" pitchFamily="34" charset="0"/>
                    </a:rPr>
                    <a:t>Capital Expenditure</a:t>
                  </a:r>
                </a:p>
              </xdr:txBody>
            </xdr:sp>
            <mc:AlternateContent xmlns:mc="http://schemas.openxmlformats.org/markup-compatibility/2006">
              <mc:Choice xmlns:a14="http://schemas.microsoft.com/office/drawing/2010/main" Requires="a14">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200-0000021C0000}"/>
                        </a:ext>
                      </a:extLst>
                    </xdr:cNvPr>
                    <xdr:cNvSpPr/>
                  </xdr:nvSpPr>
                  <xdr:spPr bwMode="auto">
                    <a:xfrm>
                      <a:off x="4686752" y="9009411"/>
                      <a:ext cx="1713088" cy="29836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                      </a:t>
                      </a:r>
                    </a:p>
                  </xdr:txBody>
                </xdr:sp>
              </mc:Choice>
              <mc:Fallback/>
            </mc:AlternateContent>
          </xdr:grpSp>
        </xdr:grpSp>
      </xdr:grpSp>
    </xdr:grpSp>
    <xdr:clientData/>
  </xdr:twoCellAnchor>
  <xdr:twoCellAnchor>
    <xdr:from>
      <xdr:col>15</xdr:col>
      <xdr:colOff>96396</xdr:colOff>
      <xdr:row>5</xdr:row>
      <xdr:rowOff>14202</xdr:rowOff>
    </xdr:from>
    <xdr:to>
      <xdr:col>17</xdr:col>
      <xdr:colOff>66109</xdr:colOff>
      <xdr:row>6</xdr:row>
      <xdr:rowOff>84446</xdr:rowOff>
    </xdr:to>
    <xdr:sp macro="" textlink="Sheet4!A2">
      <xdr:nvSpPr>
        <xdr:cNvPr id="42" name="TextBox 1">
          <a:extLst>
            <a:ext uri="{FF2B5EF4-FFF2-40B4-BE49-F238E27FC236}">
              <a16:creationId xmlns:a16="http://schemas.microsoft.com/office/drawing/2014/main" id="{00000000-0008-0000-0200-00002A000000}"/>
            </a:ext>
          </a:extLst>
        </xdr:cNvPr>
        <xdr:cNvSpPr txBox="1"/>
      </xdr:nvSpPr>
      <xdr:spPr>
        <a:xfrm>
          <a:off x="9240396" y="910673"/>
          <a:ext cx="1188913" cy="24953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71B72AAA-5C49-4F5C-B4DD-512850CF73E7}"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(Upto Dec)</a:t>
          </a:fld>
          <a:endParaRPr lang="en-IN"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27</xdr:col>
      <xdr:colOff>338444</xdr:colOff>
      <xdr:row>4</xdr:row>
      <xdr:rowOff>166603</xdr:rowOff>
    </xdr:from>
    <xdr:to>
      <xdr:col>29</xdr:col>
      <xdr:colOff>308157</xdr:colOff>
      <xdr:row>6</xdr:row>
      <xdr:rowOff>57552</xdr:rowOff>
    </xdr:to>
    <xdr:sp macro="" textlink="Sheet4!A2">
      <xdr:nvSpPr>
        <xdr:cNvPr id="44" name="TextBox 1">
          <a:extLst>
            <a:ext uri="{FF2B5EF4-FFF2-40B4-BE49-F238E27FC236}">
              <a16:creationId xmlns:a16="http://schemas.microsoft.com/office/drawing/2014/main" id="{00000000-0008-0000-0200-00002C000000}"/>
            </a:ext>
          </a:extLst>
        </xdr:cNvPr>
        <xdr:cNvSpPr txBox="1"/>
      </xdr:nvSpPr>
      <xdr:spPr>
        <a:xfrm>
          <a:off x="16797644" y="883779"/>
          <a:ext cx="1188913" cy="24953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71B72AAA-5C49-4F5C-B4DD-512850CF73E7}"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(Upto Dec)</a:t>
          </a:fld>
          <a:endParaRPr lang="en-IN"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152400</xdr:colOff>
      <xdr:row>40</xdr:row>
      <xdr:rowOff>188596</xdr:rowOff>
    </xdr:from>
    <xdr:to>
      <xdr:col>29</xdr:col>
      <xdr:colOff>588645</xdr:colOff>
      <xdr:row>41</xdr:row>
      <xdr:rowOff>39370</xdr:rowOff>
    </xdr:to>
    <xdr:cxnSp macro="">
      <xdr:nvCxnSpPr>
        <xdr:cNvPr id="35" name="Straight Connector 34">
          <a:extLst>
            <a:ext uri="{FF2B5EF4-FFF2-40B4-BE49-F238E27FC236}">
              <a16:creationId xmlns:a16="http://schemas.microsoft.com/office/drawing/2014/main" id="{00000000-0008-0000-0200-000023000000}"/>
            </a:ext>
          </a:extLst>
        </xdr:cNvPr>
        <xdr:cNvCxnSpPr/>
      </xdr:nvCxnSpPr>
      <xdr:spPr>
        <a:xfrm>
          <a:off x="152400" y="7808596"/>
          <a:ext cx="17562195" cy="41274"/>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c:userShapes xmlns:c="http://schemas.openxmlformats.org/drawingml/2006/chart">
  <cdr:relSizeAnchor xmlns:cdr="http://schemas.openxmlformats.org/drawingml/2006/chartDrawing">
    <cdr:from>
      <cdr:x>0.73396</cdr:x>
      <cdr:y>0.01479</cdr:y>
    </cdr:from>
    <cdr:to>
      <cdr:x>0.96425</cdr:x>
      <cdr:y>0.08743</cdr:y>
    </cdr:to>
    <cdr:sp macro="" textlink="Sheet4!$A$2">
      <cdr:nvSpPr>
        <cdr:cNvPr id="3" name="TextBox 1"/>
        <cdr:cNvSpPr txBox="1"/>
      </cdr:nvSpPr>
      <cdr:spPr>
        <a:xfrm xmlns:a="http://schemas.openxmlformats.org/drawingml/2006/main">
          <a:off x="3789082" y="50800"/>
          <a:ext cx="1188913" cy="24953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E3716C96-F9A2-4339-9DBC-16D380216FEC}"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(Upto Dec)</a:t>
          </a:fld>
          <a:endParaRPr lang="en-IN" sz="1800" b="1">
            <a:latin typeface="Calibri" panose="020F0502020204030204" pitchFamily="34" charset="0"/>
            <a:ea typeface="Calibri" panose="020F0502020204030204" pitchFamily="34" charset="0"/>
            <a:cs typeface="Calibri" panose="020F050202020403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422909</xdr:colOff>
      <xdr:row>4</xdr:row>
      <xdr:rowOff>152398</xdr:rowOff>
    </xdr:from>
    <xdr:to>
      <xdr:col>12</xdr:col>
      <xdr:colOff>307709</xdr:colOff>
      <xdr:row>26</xdr:row>
      <xdr:rowOff>89038</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524433</xdr:colOff>
      <xdr:row>4</xdr:row>
      <xdr:rowOff>155427</xdr:rowOff>
    </xdr:from>
    <xdr:to>
      <xdr:col>24</xdr:col>
      <xdr:colOff>409233</xdr:colOff>
      <xdr:row>26</xdr:row>
      <xdr:rowOff>95652</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424143</xdr:colOff>
      <xdr:row>26</xdr:row>
      <xdr:rowOff>152961</xdr:rowOff>
    </xdr:from>
    <xdr:to>
      <xdr:col>12</xdr:col>
      <xdr:colOff>308943</xdr:colOff>
      <xdr:row>48</xdr:row>
      <xdr:rowOff>168490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528918</xdr:colOff>
      <xdr:row>26</xdr:row>
      <xdr:rowOff>161924</xdr:rowOff>
    </xdr:from>
    <xdr:to>
      <xdr:col>24</xdr:col>
      <xdr:colOff>413718</xdr:colOff>
      <xdr:row>48</xdr:row>
      <xdr:rowOff>177453</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287866</xdr:colOff>
      <xdr:row>0</xdr:row>
      <xdr:rowOff>135467</xdr:rowOff>
    </xdr:from>
    <xdr:to>
      <xdr:col>22</xdr:col>
      <xdr:colOff>247650</xdr:colOff>
      <xdr:row>3</xdr:row>
      <xdr:rowOff>25400</xdr:rowOff>
    </xdr:to>
    <xdr:sp macro="" textlink="">
      <xdr:nvSpPr>
        <xdr:cNvPr id="7" name="Rectangle 6">
          <a:hlinkClick xmlns:r="http://schemas.openxmlformats.org/officeDocument/2006/relationships" r:id="rId5"/>
          <a:extLst>
            <a:ext uri="{FF2B5EF4-FFF2-40B4-BE49-F238E27FC236}">
              <a16:creationId xmlns:a16="http://schemas.microsoft.com/office/drawing/2014/main" id="{00000000-0008-0000-0300-000007000000}"/>
            </a:ext>
          </a:extLst>
        </xdr:cNvPr>
        <xdr:cNvSpPr/>
      </xdr:nvSpPr>
      <xdr:spPr>
        <a:xfrm>
          <a:off x="11508316" y="135467"/>
          <a:ext cx="1731434" cy="461433"/>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1600"/>
            <a:t>Back to Main Page</a:t>
          </a:r>
        </a:p>
      </xdr:txBody>
    </xdr:sp>
    <xdr:clientData/>
  </xdr:twoCellAnchor>
  <xdr:twoCellAnchor>
    <xdr:from>
      <xdr:col>0</xdr:col>
      <xdr:colOff>0</xdr:colOff>
      <xdr:row>0</xdr:row>
      <xdr:rowOff>30479</xdr:rowOff>
    </xdr:from>
    <xdr:to>
      <xdr:col>8</xdr:col>
      <xdr:colOff>171450</xdr:colOff>
      <xdr:row>4</xdr:row>
      <xdr:rowOff>28574</xdr:rowOff>
    </xdr:to>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0" y="30479"/>
          <a:ext cx="5048250" cy="721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IN" sz="1100" b="1" i="0">
              <a:solidFill>
                <a:schemeClr val="tx2">
                  <a:lumMod val="60000"/>
                  <a:lumOff val="40000"/>
                </a:schemeClr>
              </a:solidFill>
              <a:effectLst/>
              <a:latin typeface="+mn-lt"/>
              <a:ea typeface="+mn-ea"/>
              <a:cs typeface="+mn-cs"/>
            </a:rPr>
            <a:t>                       </a:t>
          </a:r>
          <a:r>
            <a:rPr lang="en-IN" sz="1400" b="1" i="0">
              <a:solidFill>
                <a:schemeClr val="tx2">
                  <a:lumMod val="60000"/>
                  <a:lumOff val="40000"/>
                </a:schemeClr>
              </a:solidFill>
              <a:effectLst/>
              <a:latin typeface="+mn-lt"/>
              <a:ea typeface="+mn-ea"/>
              <a:cs typeface="+mn-cs"/>
            </a:rPr>
            <a:t>CONTROLLER GENERAL OF ACCOUNTS</a:t>
          </a:r>
        </a:p>
        <a:p>
          <a:r>
            <a:rPr lang="en-IN" sz="1100" b="0" i="0">
              <a:solidFill>
                <a:schemeClr val="dk1"/>
              </a:solidFill>
              <a:effectLst/>
              <a:latin typeface="+mn-lt"/>
              <a:ea typeface="+mn-ea"/>
              <a:cs typeface="+mn-cs"/>
            </a:rPr>
            <a:t>                       </a:t>
          </a:r>
          <a:r>
            <a:rPr lang="en-IN" sz="1200" b="0" i="0">
              <a:solidFill>
                <a:schemeClr val="dk1"/>
              </a:solidFill>
              <a:effectLst/>
              <a:latin typeface="+mn-lt"/>
              <a:ea typeface="+mn-ea"/>
              <a:cs typeface="+mn-cs"/>
            </a:rPr>
            <a:t>MINISTRY OF FINANCE</a:t>
          </a:r>
        </a:p>
        <a:p>
          <a:r>
            <a:rPr lang="en-IN" sz="1200" b="0" i="0">
              <a:solidFill>
                <a:schemeClr val="dk1"/>
              </a:solidFill>
              <a:effectLst/>
              <a:latin typeface="+mn-lt"/>
              <a:ea typeface="+mn-ea"/>
              <a:cs typeface="+mn-cs"/>
            </a:rPr>
            <a:t>                     GOVERNMENT OF INDIA</a:t>
          </a:r>
          <a:endParaRPr lang="en-IN" sz="1200"/>
        </a:p>
      </xdr:txBody>
    </xdr:sp>
    <xdr:clientData/>
  </xdr:twoCellAnchor>
  <xdr:twoCellAnchor editAs="oneCell">
    <xdr:from>
      <xdr:col>0</xdr:col>
      <xdr:colOff>68580</xdr:colOff>
      <xdr:row>0</xdr:row>
      <xdr:rowOff>68580</xdr:rowOff>
    </xdr:from>
    <xdr:to>
      <xdr:col>1</xdr:col>
      <xdr:colOff>28162</xdr:colOff>
      <xdr:row>3</xdr:row>
      <xdr:rowOff>167640</xdr:rowOff>
    </xdr:to>
    <xdr:pic>
      <xdr:nvPicPr>
        <xdr:cNvPr id="9" name="Picture 8" descr="Image result for national em">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8580" y="68580"/>
          <a:ext cx="569182"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196850</xdr:colOff>
      <xdr:row>0</xdr:row>
      <xdr:rowOff>111760</xdr:rowOff>
    </xdr:from>
    <xdr:to>
      <xdr:col>19</xdr:col>
      <xdr:colOff>311150</xdr:colOff>
      <xdr:row>3</xdr:row>
      <xdr:rowOff>119380</xdr:rowOff>
    </xdr:to>
    <xdr:sp macro="" textlink="">
      <xdr:nvSpPr>
        <xdr:cNvPr id="10" name="TextBox 9">
          <a:extLst>
            <a:ext uri="{FF2B5EF4-FFF2-40B4-BE49-F238E27FC236}">
              <a16:creationId xmlns:a16="http://schemas.microsoft.com/office/drawing/2014/main" id="{00000000-0008-0000-0300-00000A000000}"/>
            </a:ext>
          </a:extLst>
        </xdr:cNvPr>
        <xdr:cNvSpPr txBox="1"/>
      </xdr:nvSpPr>
      <xdr:spPr>
        <a:xfrm>
          <a:off x="3244850" y="111760"/>
          <a:ext cx="864870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t>Union Government Monthly Accounts Dashboard</a:t>
          </a:r>
        </a:p>
      </xdr:txBody>
    </xdr:sp>
    <xdr:clientData/>
  </xdr:twoCellAnchor>
  <xdr:twoCellAnchor>
    <xdr:from>
      <xdr:col>0</xdr:col>
      <xdr:colOff>142875</xdr:colOff>
      <xdr:row>4</xdr:row>
      <xdr:rowOff>40006</xdr:rowOff>
    </xdr:from>
    <xdr:to>
      <xdr:col>26</xdr:col>
      <xdr:colOff>93133</xdr:colOff>
      <xdr:row>4</xdr:row>
      <xdr:rowOff>42333</xdr:rowOff>
    </xdr:to>
    <xdr:cxnSp macro="">
      <xdr:nvCxnSpPr>
        <xdr:cNvPr id="11" name="Straight Connector 10">
          <a:extLst>
            <a:ext uri="{FF2B5EF4-FFF2-40B4-BE49-F238E27FC236}">
              <a16:creationId xmlns:a16="http://schemas.microsoft.com/office/drawing/2014/main" id="{00000000-0008-0000-0300-00000B000000}"/>
            </a:ext>
          </a:extLst>
        </xdr:cNvPr>
        <xdr:cNvCxnSpPr/>
      </xdr:nvCxnSpPr>
      <xdr:spPr>
        <a:xfrm>
          <a:off x="142875" y="785073"/>
          <a:ext cx="15799858" cy="2327"/>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77513</xdr:colOff>
      <xdr:row>0</xdr:row>
      <xdr:rowOff>120212</xdr:rowOff>
    </xdr:from>
    <xdr:to>
      <xdr:col>26</xdr:col>
      <xdr:colOff>251012</xdr:colOff>
      <xdr:row>3</xdr:row>
      <xdr:rowOff>44012</xdr:rowOff>
    </xdr:to>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14098313" y="120212"/>
          <a:ext cx="2002299"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800"/>
            <a:t>All amounts</a:t>
          </a:r>
          <a:r>
            <a:rPr lang="en-US" sz="800" baseline="0"/>
            <a:t> are Rupees in Crore</a:t>
          </a:r>
        </a:p>
        <a:p>
          <a:r>
            <a:rPr lang="en-US" sz="800"/>
            <a:t>Actuals are unaudited provisional figures</a:t>
          </a:r>
        </a:p>
        <a:p>
          <a:r>
            <a:rPr lang="en-US" sz="800"/>
            <a:t>Financial year</a:t>
          </a:r>
          <a:r>
            <a:rPr lang="en-US" sz="800" baseline="0"/>
            <a:t> runs from April to March</a:t>
          </a:r>
          <a:endParaRPr lang="en-US" sz="800"/>
        </a:p>
      </xdr:txBody>
    </xdr:sp>
    <xdr:clientData/>
  </xdr:twoCellAnchor>
  <xdr:twoCellAnchor>
    <xdr:from>
      <xdr:col>23</xdr:col>
      <xdr:colOff>68581</xdr:colOff>
      <xdr:row>0</xdr:row>
      <xdr:rowOff>123825</xdr:rowOff>
    </xdr:from>
    <xdr:to>
      <xdr:col>23</xdr:col>
      <xdr:colOff>161925</xdr:colOff>
      <xdr:row>3</xdr:row>
      <xdr:rowOff>66675</xdr:rowOff>
    </xdr:to>
    <xdr:sp macro="" textlink="">
      <xdr:nvSpPr>
        <xdr:cNvPr id="13" name="Left Bracket 12">
          <a:extLst>
            <a:ext uri="{FF2B5EF4-FFF2-40B4-BE49-F238E27FC236}">
              <a16:creationId xmlns:a16="http://schemas.microsoft.com/office/drawing/2014/main" id="{00000000-0008-0000-0300-00000D000000}"/>
            </a:ext>
          </a:extLst>
        </xdr:cNvPr>
        <xdr:cNvSpPr/>
      </xdr:nvSpPr>
      <xdr:spPr>
        <a:xfrm>
          <a:off x="14089381" y="123825"/>
          <a:ext cx="93344" cy="491490"/>
        </a:xfrm>
        <a:prstGeom prst="leftBracket">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25</xdr:col>
      <xdr:colOff>504825</xdr:colOff>
      <xdr:row>0</xdr:row>
      <xdr:rowOff>152400</xdr:rowOff>
    </xdr:from>
    <xdr:to>
      <xdr:col>26</xdr:col>
      <xdr:colOff>85725</xdr:colOff>
      <xdr:row>3</xdr:row>
      <xdr:rowOff>66675</xdr:rowOff>
    </xdr:to>
    <xdr:sp macro="" textlink="">
      <xdr:nvSpPr>
        <xdr:cNvPr id="14" name="Right Bracket 13">
          <a:extLst>
            <a:ext uri="{FF2B5EF4-FFF2-40B4-BE49-F238E27FC236}">
              <a16:creationId xmlns:a16="http://schemas.microsoft.com/office/drawing/2014/main" id="{00000000-0008-0000-0300-00000E000000}"/>
            </a:ext>
          </a:extLst>
        </xdr:cNvPr>
        <xdr:cNvSpPr/>
      </xdr:nvSpPr>
      <xdr:spPr>
        <a:xfrm>
          <a:off x="15744825" y="152400"/>
          <a:ext cx="190500" cy="462915"/>
        </a:xfrm>
        <a:prstGeom prst="rightBracket">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22</xdr:col>
      <xdr:colOff>331197</xdr:colOff>
      <xdr:row>27</xdr:row>
      <xdr:rowOff>10959</xdr:rowOff>
    </xdr:from>
    <xdr:to>
      <xdr:col>24</xdr:col>
      <xdr:colOff>294252</xdr:colOff>
      <xdr:row>28</xdr:row>
      <xdr:rowOff>74703</xdr:rowOff>
    </xdr:to>
    <xdr:sp macro="" textlink="Sheet4!A2">
      <xdr:nvSpPr>
        <xdr:cNvPr id="20" name="TextBox 1">
          <a:extLst>
            <a:ext uri="{FF2B5EF4-FFF2-40B4-BE49-F238E27FC236}">
              <a16:creationId xmlns:a16="http://schemas.microsoft.com/office/drawing/2014/main" id="{00000000-0008-0000-0300-000014000000}"/>
            </a:ext>
          </a:extLst>
        </xdr:cNvPr>
        <xdr:cNvSpPr txBox="1"/>
      </xdr:nvSpPr>
      <xdr:spPr>
        <a:xfrm>
          <a:off x="13742397" y="5040159"/>
          <a:ext cx="1182255" cy="250011"/>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01CFF714-CE44-4B85-B394-8E35ACAADC12}"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(Upto Dec)</a:t>
          </a:fld>
          <a:endParaRPr lang="en-IN"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142875</xdr:colOff>
      <xdr:row>49</xdr:row>
      <xdr:rowOff>99273</xdr:rowOff>
    </xdr:from>
    <xdr:to>
      <xdr:col>26</xdr:col>
      <xdr:colOff>93133</xdr:colOff>
      <xdr:row>49</xdr:row>
      <xdr:rowOff>101600</xdr:rowOff>
    </xdr:to>
    <xdr:cxnSp macro="">
      <xdr:nvCxnSpPr>
        <xdr:cNvPr id="18" name="Straight Connector 17">
          <a:extLst>
            <a:ext uri="{FF2B5EF4-FFF2-40B4-BE49-F238E27FC236}">
              <a16:creationId xmlns:a16="http://schemas.microsoft.com/office/drawing/2014/main" id="{00000000-0008-0000-0300-000012000000}"/>
            </a:ext>
          </a:extLst>
        </xdr:cNvPr>
        <xdr:cNvCxnSpPr/>
      </xdr:nvCxnSpPr>
      <xdr:spPr>
        <a:xfrm>
          <a:off x="142875" y="9433773"/>
          <a:ext cx="15304558" cy="2327"/>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203200</xdr:colOff>
          <xdr:row>73</xdr:row>
          <xdr:rowOff>88900</xdr:rowOff>
        </xdr:from>
        <xdr:to>
          <xdr:col>11</xdr:col>
          <xdr:colOff>285750</xdr:colOff>
          <xdr:row>76</xdr:row>
          <xdr:rowOff>171450</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9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40618B"/>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Devolution to States &amp; Transfer to NCCD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285750</xdr:colOff>
          <xdr:row>74</xdr:row>
          <xdr:rowOff>88900</xdr:rowOff>
        </xdr:from>
        <xdr:to>
          <xdr:col>14</xdr:col>
          <xdr:colOff>552450</xdr:colOff>
          <xdr:row>76</xdr:row>
          <xdr:rowOff>50800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9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40618B"/>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Net Tax Revenue</a:t>
              </a:r>
            </a:p>
          </xdr:txBody>
        </xdr:sp>
        <xdr:clientData/>
      </xdr:twoCellAnchor>
    </mc:Choice>
    <mc:Fallback/>
  </mc:AlternateContent>
  <xdr:twoCellAnchor>
    <xdr:from>
      <xdr:col>10</xdr:col>
      <xdr:colOff>46760</xdr:colOff>
      <xdr:row>90</xdr:row>
      <xdr:rowOff>19050</xdr:rowOff>
    </xdr:from>
    <xdr:to>
      <xdr:col>11</xdr:col>
      <xdr:colOff>580160</xdr:colOff>
      <xdr:row>91</xdr:row>
      <xdr:rowOff>138545</xdr:rowOff>
    </xdr:to>
    <xdr:sp macro="" textlink="">
      <xdr:nvSpPr>
        <xdr:cNvPr id="5127" name="Check Box 7" hidden="1">
          <a:extLst>
            <a:ext uri="{63B3BB69-23CF-44E3-9099-C40C66FF867C}">
              <a14:compatExt xmlns:a14="http://schemas.microsoft.com/office/drawing/2010/main" spid="_x0000_s5127"/>
            </a:ext>
            <a:ext uri="{FF2B5EF4-FFF2-40B4-BE49-F238E27FC236}">
              <a16:creationId xmlns:a16="http://schemas.microsoft.com/office/drawing/2014/main" id="{00000000-0008-0000-0900-000007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cap="flat" cmpd="sng">
              <a:solidFill>
                <a:srgbClr xmlns:mc="http://schemas.openxmlformats.org/markup-compatibility/2006" val="000000" mc:Ignorable="a14" a14:legacySpreadsheetColorIndex="64"/>
              </a:solidFill>
              <a:prstDash val="solid"/>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Interest Receipts</a:t>
          </a:r>
        </a:p>
      </xdr:txBody>
    </xdr:sp>
    <xdr:clientData/>
  </xdr:twoCellAnchor>
  <mc:AlternateContent xmlns:mc="http://schemas.openxmlformats.org/markup-compatibility/2006">
    <mc:Choice xmlns:a14="http://schemas.microsoft.com/office/drawing/2010/main" Requires="a14">
      <xdr:twoCellAnchor editAs="oneCell">
        <xdr:from>
          <xdr:col>12</xdr:col>
          <xdr:colOff>12700</xdr:colOff>
          <xdr:row>90</xdr:row>
          <xdr:rowOff>19050</xdr:rowOff>
        </xdr:from>
        <xdr:to>
          <xdr:col>13</xdr:col>
          <xdr:colOff>552450</xdr:colOff>
          <xdr:row>91</xdr:row>
          <xdr:rowOff>95250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9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Dividend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12700</xdr:colOff>
          <xdr:row>90</xdr:row>
          <xdr:rowOff>19050</xdr:rowOff>
        </xdr:from>
        <xdr:to>
          <xdr:col>15</xdr:col>
          <xdr:colOff>552450</xdr:colOff>
          <xdr:row>91</xdr:row>
          <xdr:rowOff>95250</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9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Others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590550</xdr:colOff>
          <xdr:row>96</xdr:row>
          <xdr:rowOff>12700</xdr:rowOff>
        </xdr:from>
        <xdr:to>
          <xdr:col>14</xdr:col>
          <xdr:colOff>438150</xdr:colOff>
          <xdr:row>97</xdr:row>
          <xdr:rowOff>50800</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09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Recovery of Loans &amp; Advances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96</xdr:row>
          <xdr:rowOff>19050</xdr:rowOff>
        </xdr:from>
        <xdr:to>
          <xdr:col>17</xdr:col>
          <xdr:colOff>361950</xdr:colOff>
          <xdr:row>97</xdr:row>
          <xdr:rowOff>57150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9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Misc. Capital Receipts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xdr:colOff>
          <xdr:row>105</xdr:row>
          <xdr:rowOff>133350</xdr:rowOff>
        </xdr:from>
        <xdr:to>
          <xdr:col>5</xdr:col>
          <xdr:colOff>590550</xdr:colOff>
          <xdr:row>107</xdr:row>
          <xdr:rowOff>19050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9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Revenue Expenditure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203200</xdr:colOff>
          <xdr:row>105</xdr:row>
          <xdr:rowOff>152400</xdr:rowOff>
        </xdr:from>
        <xdr:to>
          <xdr:col>8</xdr:col>
          <xdr:colOff>146050</xdr:colOff>
          <xdr:row>107</xdr:row>
          <xdr:rowOff>50800</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9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Capital Expenditure</a:t>
              </a:r>
            </a:p>
          </xdr:txBody>
        </xdr:sp>
        <xdr:clientData/>
      </xdr:twoCellAnchor>
    </mc:Choice>
    <mc:Fallback/>
  </mc:AlternateContent>
  <xdr:twoCellAnchor>
    <xdr:from>
      <xdr:col>8</xdr:col>
      <xdr:colOff>580159</xdr:colOff>
      <xdr:row>117</xdr:row>
      <xdr:rowOff>164522</xdr:rowOff>
    </xdr:from>
    <xdr:to>
      <xdr:col>18</xdr:col>
      <xdr:colOff>140277</xdr:colOff>
      <xdr:row>136</xdr:row>
      <xdr:rowOff>91787</xdr:rowOff>
    </xdr:to>
    <xdr:graphicFrame macro="">
      <xdr:nvGraphicFramePr>
        <xdr:cNvPr id="13" name="Chart 12">
          <a:extLst>
            <a:ext uri="{FF2B5EF4-FFF2-40B4-BE49-F238E27FC236}">
              <a16:creationId xmlns:a16="http://schemas.microsoft.com/office/drawing/2014/main" id="{00000000-0008-0000-09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172315</xdr:colOff>
      <xdr:row>84</xdr:row>
      <xdr:rowOff>119495</xdr:rowOff>
    </xdr:from>
    <xdr:to>
      <xdr:col>22</xdr:col>
      <xdr:colOff>3463</xdr:colOff>
      <xdr:row>102</xdr:row>
      <xdr:rowOff>122958</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576696</xdr:colOff>
      <xdr:row>98</xdr:row>
      <xdr:rowOff>96982</xdr:rowOff>
    </xdr:from>
    <xdr:to>
      <xdr:col>17</xdr:col>
      <xdr:colOff>404379</xdr:colOff>
      <xdr:row>116</xdr:row>
      <xdr:rowOff>100444</xdr:rowOff>
    </xdr:to>
    <xdr:graphicFrame macro="">
      <xdr:nvGraphicFramePr>
        <xdr:cNvPr id="15" name="Chart 14">
          <a:extLst>
            <a:ext uri="{FF2B5EF4-FFF2-40B4-BE49-F238E27FC236}">
              <a16:creationId xmlns:a16="http://schemas.microsoft.com/office/drawing/2014/main" id="{00000000-0008-0000-09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623455</xdr:colOff>
      <xdr:row>62</xdr:row>
      <xdr:rowOff>65809</xdr:rowOff>
    </xdr:from>
    <xdr:to>
      <xdr:col>10</xdr:col>
      <xdr:colOff>277091</xdr:colOff>
      <xdr:row>77</xdr:row>
      <xdr:rowOff>107373</xdr:rowOff>
    </xdr:to>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303067</xdr:colOff>
      <xdr:row>138</xdr:row>
      <xdr:rowOff>77932</xdr:rowOff>
    </xdr:from>
    <xdr:to>
      <xdr:col>19</xdr:col>
      <xdr:colOff>155863</xdr:colOff>
      <xdr:row>155</xdr:row>
      <xdr:rowOff>69273</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393988</xdr:colOff>
      <xdr:row>135</xdr:row>
      <xdr:rowOff>5195</xdr:rowOff>
    </xdr:from>
    <xdr:to>
      <xdr:col>13</xdr:col>
      <xdr:colOff>467591</xdr:colOff>
      <xdr:row>151</xdr:row>
      <xdr:rowOff>86591</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157</xdr:row>
      <xdr:rowOff>0</xdr:rowOff>
    </xdr:from>
    <xdr:to>
      <xdr:col>14</xdr:col>
      <xdr:colOff>73603</xdr:colOff>
      <xdr:row>173</xdr:row>
      <xdr:rowOff>81396</xdr:rowOff>
    </xdr:to>
    <xdr:graphicFrame macro="">
      <xdr:nvGraphicFramePr>
        <xdr:cNvPr id="18" name="Chart 17">
          <a:extLst>
            <a:ext uri="{FF2B5EF4-FFF2-40B4-BE49-F238E27FC236}">
              <a16:creationId xmlns:a16="http://schemas.microsoft.com/office/drawing/2014/main" id="{00000000-0008-0000-09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164523</xdr:colOff>
      <xdr:row>156</xdr:row>
      <xdr:rowOff>77932</xdr:rowOff>
    </xdr:from>
    <xdr:to>
      <xdr:col>20</xdr:col>
      <xdr:colOff>90921</xdr:colOff>
      <xdr:row>172</xdr:row>
      <xdr:rowOff>159328</xdr:rowOff>
    </xdr:to>
    <xdr:graphicFrame macro="">
      <xdr:nvGraphicFramePr>
        <xdr:cNvPr id="19" name="Chart 18">
          <a:extLst>
            <a:ext uri="{FF2B5EF4-FFF2-40B4-BE49-F238E27FC236}">
              <a16:creationId xmlns:a16="http://schemas.microsoft.com/office/drawing/2014/main" id="{00000000-0008-0000-09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8661</xdr:colOff>
      <xdr:row>156</xdr:row>
      <xdr:rowOff>51955</xdr:rowOff>
    </xdr:from>
    <xdr:to>
      <xdr:col>26</xdr:col>
      <xdr:colOff>82264</xdr:colOff>
      <xdr:row>172</xdr:row>
      <xdr:rowOff>133351</xdr:rowOff>
    </xdr:to>
    <xdr:graphicFrame macro="">
      <xdr:nvGraphicFramePr>
        <xdr:cNvPr id="20" name="Chart 19">
          <a:extLst>
            <a:ext uri="{FF2B5EF4-FFF2-40B4-BE49-F238E27FC236}">
              <a16:creationId xmlns:a16="http://schemas.microsoft.com/office/drawing/2014/main" id="{00000000-0008-0000-09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xdr:colOff>
      <xdr:row>138</xdr:row>
      <xdr:rowOff>138546</xdr:rowOff>
    </xdr:from>
    <xdr:to>
      <xdr:col>25</xdr:col>
      <xdr:colOff>73604</xdr:colOff>
      <xdr:row>155</xdr:row>
      <xdr:rowOff>29442</xdr:rowOff>
    </xdr:to>
    <xdr:graphicFrame macro="">
      <xdr:nvGraphicFramePr>
        <xdr:cNvPr id="21" name="Chart 20">
          <a:extLst>
            <a:ext uri="{FF2B5EF4-FFF2-40B4-BE49-F238E27FC236}">
              <a16:creationId xmlns:a16="http://schemas.microsoft.com/office/drawing/2014/main" id="{00000000-0008-0000-09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454601</xdr:colOff>
      <xdr:row>174</xdr:row>
      <xdr:rowOff>169716</xdr:rowOff>
    </xdr:from>
    <xdr:to>
      <xdr:col>19</xdr:col>
      <xdr:colOff>337703</xdr:colOff>
      <xdr:row>194</xdr:row>
      <xdr:rowOff>181839</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580158</xdr:colOff>
      <xdr:row>177</xdr:row>
      <xdr:rowOff>17318</xdr:rowOff>
    </xdr:from>
    <xdr:to>
      <xdr:col>7</xdr:col>
      <xdr:colOff>558511</xdr:colOff>
      <xdr:row>193</xdr:row>
      <xdr:rowOff>98714</xdr:rowOff>
    </xdr:to>
    <xdr:graphicFrame macro="">
      <xdr:nvGraphicFramePr>
        <xdr:cNvPr id="23" name="Chart 22">
          <a:extLst>
            <a:ext uri="{FF2B5EF4-FFF2-40B4-BE49-F238E27FC236}">
              <a16:creationId xmlns:a16="http://schemas.microsoft.com/office/drawing/2014/main" id="{00000000-0008-0000-09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0</xdr:colOff>
      <xdr:row>198</xdr:row>
      <xdr:rowOff>0</xdr:rowOff>
    </xdr:from>
    <xdr:to>
      <xdr:col>8</xdr:col>
      <xdr:colOff>47626</xdr:colOff>
      <xdr:row>214</xdr:row>
      <xdr:rowOff>81396</xdr:rowOff>
    </xdr:to>
    <xdr:graphicFrame macro="">
      <xdr:nvGraphicFramePr>
        <xdr:cNvPr id="24" name="Chart 23">
          <a:extLst>
            <a:ext uri="{FF2B5EF4-FFF2-40B4-BE49-F238E27FC236}">
              <a16:creationId xmlns:a16="http://schemas.microsoft.com/office/drawing/2014/main" id="{00000000-0008-0000-09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0</xdr:colOff>
      <xdr:row>198</xdr:row>
      <xdr:rowOff>0</xdr:rowOff>
    </xdr:from>
    <xdr:to>
      <xdr:col>15</xdr:col>
      <xdr:colOff>73603</xdr:colOff>
      <xdr:row>214</xdr:row>
      <xdr:rowOff>81396</xdr:rowOff>
    </xdr:to>
    <xdr:graphicFrame macro="">
      <xdr:nvGraphicFramePr>
        <xdr:cNvPr id="25" name="Chart 24">
          <a:extLst>
            <a:ext uri="{FF2B5EF4-FFF2-40B4-BE49-F238E27FC236}">
              <a16:creationId xmlns:a16="http://schemas.microsoft.com/office/drawing/2014/main" id="{00000000-0008-0000-09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35</xdr:col>
      <xdr:colOff>388620</xdr:colOff>
      <xdr:row>20</xdr:row>
      <xdr:rowOff>177165</xdr:rowOff>
    </xdr:from>
    <xdr:to>
      <xdr:col>43</xdr:col>
      <xdr:colOff>83820</xdr:colOff>
      <xdr:row>35</xdr:row>
      <xdr:rowOff>177165</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0</xdr:colOff>
      <xdr:row>6</xdr:row>
      <xdr:rowOff>0</xdr:rowOff>
    </xdr:from>
    <xdr:to>
      <xdr:col>21</xdr:col>
      <xdr:colOff>525780</xdr:colOff>
      <xdr:row>24</xdr:row>
      <xdr:rowOff>182880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114300</xdr:colOff>
      <xdr:row>27</xdr:row>
      <xdr:rowOff>106680</xdr:rowOff>
    </xdr:from>
    <xdr:to>
      <xdr:col>15</xdr:col>
      <xdr:colOff>445770</xdr:colOff>
      <xdr:row>39</xdr:row>
      <xdr:rowOff>68580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388620</xdr:colOff>
      <xdr:row>40</xdr:row>
      <xdr:rowOff>7620</xdr:rowOff>
    </xdr:from>
    <xdr:to>
      <xdr:col>15</xdr:col>
      <xdr:colOff>521970</xdr:colOff>
      <xdr:row>49</xdr:row>
      <xdr:rowOff>36194</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56</xdr:row>
      <xdr:rowOff>0</xdr:rowOff>
    </xdr:from>
    <xdr:to>
      <xdr:col>11</xdr:col>
      <xdr:colOff>133350</xdr:colOff>
      <xdr:row>65</xdr:row>
      <xdr:rowOff>28574</xdr:rowOff>
    </xdr:to>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590550</xdr:colOff>
      <xdr:row>70</xdr:row>
      <xdr:rowOff>0</xdr:rowOff>
    </xdr:from>
    <xdr:to>
      <xdr:col>11</xdr:col>
      <xdr:colOff>114300</xdr:colOff>
      <xdr:row>79</xdr:row>
      <xdr:rowOff>28574</xdr:rowOff>
    </xdr:to>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571500</xdr:colOff>
      <xdr:row>83</xdr:row>
      <xdr:rowOff>180975</xdr:rowOff>
    </xdr:from>
    <xdr:to>
      <xdr:col>11</xdr:col>
      <xdr:colOff>95250</xdr:colOff>
      <xdr:row>93</xdr:row>
      <xdr:rowOff>19049</xdr:rowOff>
    </xdr:to>
    <xdr:graphicFrame macro="">
      <xdr:nvGraphicFramePr>
        <xdr:cNvPr id="7" name="Chart 6">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600075</xdr:colOff>
      <xdr:row>98</xdr:row>
      <xdr:rowOff>0</xdr:rowOff>
    </xdr:from>
    <xdr:to>
      <xdr:col>11</xdr:col>
      <xdr:colOff>123825</xdr:colOff>
      <xdr:row>107</xdr:row>
      <xdr:rowOff>28574</xdr:rowOff>
    </xdr:to>
    <xdr:graphicFrame macro="">
      <xdr:nvGraphicFramePr>
        <xdr:cNvPr id="8" name="Chart 7">
          <a:extLst>
            <a:ext uri="{FF2B5EF4-FFF2-40B4-BE49-F238E27FC236}">
              <a16:creationId xmlns:a16="http://schemas.microsoft.com/office/drawing/2014/main" id="{00000000-0008-0000-0B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112</xdr:row>
      <xdr:rowOff>0</xdr:rowOff>
    </xdr:from>
    <xdr:to>
      <xdr:col>11</xdr:col>
      <xdr:colOff>133350</xdr:colOff>
      <xdr:row>121</xdr:row>
      <xdr:rowOff>28574</xdr:rowOff>
    </xdr:to>
    <xdr:graphicFrame macro="">
      <xdr:nvGraphicFramePr>
        <xdr:cNvPr id="9" name="Chart 8">
          <a:extLst>
            <a:ext uri="{FF2B5EF4-FFF2-40B4-BE49-F238E27FC236}">
              <a16:creationId xmlns:a16="http://schemas.microsoft.com/office/drawing/2014/main" id="{00000000-0008-0000-0B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126</xdr:row>
      <xdr:rowOff>0</xdr:rowOff>
    </xdr:from>
    <xdr:to>
      <xdr:col>11</xdr:col>
      <xdr:colOff>133350</xdr:colOff>
      <xdr:row>135</xdr:row>
      <xdr:rowOff>28574</xdr:rowOff>
    </xdr:to>
    <xdr:graphicFrame macro="">
      <xdr:nvGraphicFramePr>
        <xdr:cNvPr id="10" name="Chart 9">
          <a:extLst>
            <a:ext uri="{FF2B5EF4-FFF2-40B4-BE49-F238E27FC236}">
              <a16:creationId xmlns:a16="http://schemas.microsoft.com/office/drawing/2014/main" id="{00000000-0008-0000-0B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0</xdr:colOff>
      <xdr:row>140</xdr:row>
      <xdr:rowOff>0</xdr:rowOff>
    </xdr:from>
    <xdr:to>
      <xdr:col>11</xdr:col>
      <xdr:colOff>133350</xdr:colOff>
      <xdr:row>149</xdr:row>
      <xdr:rowOff>28574</xdr:rowOff>
    </xdr:to>
    <xdr:graphicFrame macro="">
      <xdr:nvGraphicFramePr>
        <xdr:cNvPr id="11" name="Chart 10">
          <a:extLst>
            <a:ext uri="{FF2B5EF4-FFF2-40B4-BE49-F238E27FC236}">
              <a16:creationId xmlns:a16="http://schemas.microsoft.com/office/drawing/2014/main" id="{00000000-0008-0000-0B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542925</xdr:colOff>
      <xdr:row>154</xdr:row>
      <xdr:rowOff>76200</xdr:rowOff>
    </xdr:from>
    <xdr:to>
      <xdr:col>11</xdr:col>
      <xdr:colOff>66675</xdr:colOff>
      <xdr:row>163</xdr:row>
      <xdr:rowOff>104774</xdr:rowOff>
    </xdr:to>
    <xdr:graphicFrame macro="">
      <xdr:nvGraphicFramePr>
        <xdr:cNvPr id="12" name="Chart 11">
          <a:extLst>
            <a:ext uri="{FF2B5EF4-FFF2-40B4-BE49-F238E27FC236}">
              <a16:creationId xmlns:a16="http://schemas.microsoft.com/office/drawing/2014/main" id="{00000000-0008-0000-0B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17</xdr:col>
      <xdr:colOff>327660</xdr:colOff>
      <xdr:row>1</xdr:row>
      <xdr:rowOff>152400</xdr:rowOff>
    </xdr:from>
    <xdr:to>
      <xdr:col>18</xdr:col>
      <xdr:colOff>480060</xdr:colOff>
      <xdr:row>11</xdr:row>
      <xdr:rowOff>91440</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161925</xdr:colOff>
      <xdr:row>13</xdr:row>
      <xdr:rowOff>123825</xdr:rowOff>
    </xdr:from>
    <xdr:to>
      <xdr:col>24</xdr:col>
      <xdr:colOff>276225</xdr:colOff>
      <xdr:row>26</xdr:row>
      <xdr:rowOff>19050</xdr:rowOff>
    </xdr:to>
    <xdr:graphicFrame macro="">
      <xdr:nvGraphicFramePr>
        <xdr:cNvPr id="4" name="Chart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409575</xdr:colOff>
      <xdr:row>28</xdr:row>
      <xdr:rowOff>142875</xdr:rowOff>
    </xdr:from>
    <xdr:to>
      <xdr:col>27</xdr:col>
      <xdr:colOff>57149</xdr:colOff>
      <xdr:row>46</xdr:row>
      <xdr:rowOff>57150</xdr:rowOff>
    </xdr:to>
    <xdr:graphicFrame macro="">
      <xdr:nvGraphicFramePr>
        <xdr:cNvPr id="6" name="Chart 5">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420437</xdr:colOff>
      <xdr:row>3</xdr:row>
      <xdr:rowOff>161925</xdr:rowOff>
    </xdr:from>
    <xdr:to>
      <xdr:col>32</xdr:col>
      <xdr:colOff>581026</xdr:colOff>
      <xdr:row>8</xdr:row>
      <xdr:rowOff>66675</xdr:rowOff>
    </xdr:to>
    <xdr:grpSp>
      <xdr:nvGrpSpPr>
        <xdr:cNvPr id="13" name="Group 12">
          <a:extLst>
            <a:ext uri="{FF2B5EF4-FFF2-40B4-BE49-F238E27FC236}">
              <a16:creationId xmlns:a16="http://schemas.microsoft.com/office/drawing/2014/main" id="{00000000-0008-0000-0C00-00000D000000}"/>
            </a:ext>
          </a:extLst>
        </xdr:cNvPr>
        <xdr:cNvGrpSpPr/>
      </xdr:nvGrpSpPr>
      <xdr:grpSpPr>
        <a:xfrm>
          <a:off x="16238287" y="714375"/>
          <a:ext cx="4427789" cy="825500"/>
          <a:chOff x="10154986" y="228598"/>
          <a:chExt cx="4493548" cy="2647953"/>
        </a:xfrm>
      </xdr:grpSpPr>
      <xdr:grpSp>
        <xdr:nvGrpSpPr>
          <xdr:cNvPr id="11" name="Group 10">
            <a:extLst>
              <a:ext uri="{FF2B5EF4-FFF2-40B4-BE49-F238E27FC236}">
                <a16:creationId xmlns:a16="http://schemas.microsoft.com/office/drawing/2014/main" id="{00000000-0008-0000-0C00-00000B000000}"/>
              </a:ext>
            </a:extLst>
          </xdr:cNvPr>
          <xdr:cNvGrpSpPr/>
        </xdr:nvGrpSpPr>
        <xdr:grpSpPr>
          <a:xfrm>
            <a:off x="10154986" y="228598"/>
            <a:ext cx="4493548" cy="2647953"/>
            <a:chOff x="10163175" y="495298"/>
            <a:chExt cx="3940203" cy="2114552"/>
          </a:xfrm>
        </xdr:grpSpPr>
        <xdr:sp macro="" textlink="">
          <xdr:nvSpPr>
            <xdr:cNvPr id="9" name="Rectangle 8">
              <a:extLst>
                <a:ext uri="{FF2B5EF4-FFF2-40B4-BE49-F238E27FC236}">
                  <a16:creationId xmlns:a16="http://schemas.microsoft.com/office/drawing/2014/main" id="{00000000-0008-0000-0C00-000009000000}"/>
                </a:ext>
              </a:extLst>
            </xdr:cNvPr>
            <xdr:cNvSpPr/>
          </xdr:nvSpPr>
          <xdr:spPr>
            <a:xfrm>
              <a:off x="10163175" y="495300"/>
              <a:ext cx="3914775" cy="2114550"/>
            </a:xfrm>
            <a:prstGeom prst="rect">
              <a:avLst/>
            </a:prstGeom>
            <a:noFill/>
          </xdr:spPr>
          <xdr:style>
            <a:lnRef idx="2">
              <a:schemeClr val="accent1"/>
            </a:lnRef>
            <a:fillRef idx="1">
              <a:schemeClr val="lt1"/>
            </a:fillRef>
            <a:effectRef idx="0">
              <a:schemeClr val="accent1"/>
            </a:effectRef>
            <a:fontRef idx="minor">
              <a:schemeClr val="dk1"/>
            </a:fontRef>
          </xdr:style>
          <xdr:txBody>
            <a:bodyPr numCol="2" rtlCol="0" anchor="ctr"/>
            <a:lstStyle/>
            <a:p>
              <a:pPr algn="ctr"/>
              <a:endParaRPr lang="en-US" sz="1100"/>
            </a:p>
          </xdr:txBody>
        </xdr:sp>
        <xdr:sp macro="" textlink="">
          <xdr:nvSpPr>
            <xdr:cNvPr id="10" name="Rectangle 9">
              <a:extLst>
                <a:ext uri="{FF2B5EF4-FFF2-40B4-BE49-F238E27FC236}">
                  <a16:creationId xmlns:a16="http://schemas.microsoft.com/office/drawing/2014/main" id="{00000000-0008-0000-0C00-00000A000000}"/>
                </a:ext>
              </a:extLst>
            </xdr:cNvPr>
            <xdr:cNvSpPr/>
          </xdr:nvSpPr>
          <xdr:spPr>
            <a:xfrm>
              <a:off x="10178708" y="495298"/>
              <a:ext cx="3924670" cy="9397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sp macro="" textlink="">
        <xdr:nvSpPr>
          <xdr:cNvPr id="12" name="TextBox 11">
            <a:extLst>
              <a:ext uri="{FF2B5EF4-FFF2-40B4-BE49-F238E27FC236}">
                <a16:creationId xmlns:a16="http://schemas.microsoft.com/office/drawing/2014/main" id="{00000000-0008-0000-0C00-00000C000000}"/>
              </a:ext>
            </a:extLst>
          </xdr:cNvPr>
          <xdr:cNvSpPr txBox="1"/>
        </xdr:nvSpPr>
        <xdr:spPr>
          <a:xfrm>
            <a:off x="10563225" y="304800"/>
            <a:ext cx="35147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2000">
                <a:solidFill>
                  <a:schemeClr val="bg1"/>
                </a:solidFill>
              </a:rPr>
              <a:t>Receipts</a:t>
            </a:r>
          </a:p>
        </xdr:txBody>
      </xdr:sp>
    </xdr:grpSp>
    <xdr:clientData/>
  </xdr:twoCellAnchor>
  <xdr:twoCellAnchor>
    <xdr:from>
      <xdr:col>9</xdr:col>
      <xdr:colOff>457200</xdr:colOff>
      <xdr:row>12</xdr:row>
      <xdr:rowOff>171450</xdr:rowOff>
    </xdr:from>
    <xdr:to>
      <xdr:col>16</xdr:col>
      <xdr:colOff>352425</xdr:colOff>
      <xdr:row>15</xdr:row>
      <xdr:rowOff>180976</xdr:rowOff>
    </xdr:to>
    <xdr:graphicFrame macro="">
      <xdr:nvGraphicFramePr>
        <xdr:cNvPr id="14" name="Chart 13">
          <a:extLst>
            <a:ext uri="{FF2B5EF4-FFF2-40B4-BE49-F238E27FC236}">
              <a16:creationId xmlns:a16="http://schemas.microsoft.com/office/drawing/2014/main" id="{00000000-0008-0000-0C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4</xdr:row>
      <xdr:rowOff>0</xdr:rowOff>
    </xdr:from>
    <xdr:to>
      <xdr:col>16</xdr:col>
      <xdr:colOff>581025</xdr:colOff>
      <xdr:row>8</xdr:row>
      <xdr:rowOff>57151</xdr:rowOff>
    </xdr:to>
    <xdr:graphicFrame macro="">
      <xdr:nvGraphicFramePr>
        <xdr:cNvPr id="15" name="Chart 14">
          <a:extLst>
            <a:ext uri="{FF2B5EF4-FFF2-40B4-BE49-F238E27FC236}">
              <a16:creationId xmlns:a16="http://schemas.microsoft.com/office/drawing/2014/main" id="{00000000-0008-0000-0C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295276</xdr:colOff>
      <xdr:row>41</xdr:row>
      <xdr:rowOff>1</xdr:rowOff>
    </xdr:from>
    <xdr:to>
      <xdr:col>10</xdr:col>
      <xdr:colOff>428626</xdr:colOff>
      <xdr:row>50</xdr:row>
      <xdr:rowOff>28575</xdr:rowOff>
    </xdr:to>
    <xdr:graphicFrame macro="">
      <xdr:nvGraphicFramePr>
        <xdr:cNvPr id="16" name="Chart 15">
          <a:extLst>
            <a:ext uri="{FF2B5EF4-FFF2-40B4-BE49-F238E27FC236}">
              <a16:creationId xmlns:a16="http://schemas.microsoft.com/office/drawing/2014/main" id="{00000000-0008-0000-0C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379096</xdr:colOff>
      <xdr:row>57</xdr:row>
      <xdr:rowOff>83821</xdr:rowOff>
    </xdr:from>
    <xdr:to>
      <xdr:col>10</xdr:col>
      <xdr:colOff>512446</xdr:colOff>
      <xdr:row>66</xdr:row>
      <xdr:rowOff>112395</xdr:rowOff>
    </xdr:to>
    <xdr:graphicFrame macro="">
      <xdr:nvGraphicFramePr>
        <xdr:cNvPr id="17" name="Chart 16">
          <a:extLst>
            <a:ext uri="{FF2B5EF4-FFF2-40B4-BE49-F238E27FC236}">
              <a16:creationId xmlns:a16="http://schemas.microsoft.com/office/drawing/2014/main" id="{00000000-0008-0000-0C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356236</xdr:colOff>
      <xdr:row>72</xdr:row>
      <xdr:rowOff>144781</xdr:rowOff>
    </xdr:from>
    <xdr:to>
      <xdr:col>10</xdr:col>
      <xdr:colOff>489586</xdr:colOff>
      <xdr:row>81</xdr:row>
      <xdr:rowOff>173355</xdr:rowOff>
    </xdr:to>
    <xdr:graphicFrame macro="">
      <xdr:nvGraphicFramePr>
        <xdr:cNvPr id="18" name="Chart 17">
          <a:extLst>
            <a:ext uri="{FF2B5EF4-FFF2-40B4-BE49-F238E27FC236}">
              <a16:creationId xmlns:a16="http://schemas.microsoft.com/office/drawing/2014/main" id="{00000000-0008-0000-0C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493396</xdr:colOff>
      <xdr:row>88</xdr:row>
      <xdr:rowOff>30481</xdr:rowOff>
    </xdr:from>
    <xdr:to>
      <xdr:col>11</xdr:col>
      <xdr:colOff>17146</xdr:colOff>
      <xdr:row>97</xdr:row>
      <xdr:rowOff>59055</xdr:rowOff>
    </xdr:to>
    <xdr:graphicFrame macro="">
      <xdr:nvGraphicFramePr>
        <xdr:cNvPr id="19" name="Chart 18">
          <a:extLst>
            <a:ext uri="{FF2B5EF4-FFF2-40B4-BE49-F238E27FC236}">
              <a16:creationId xmlns:a16="http://schemas.microsoft.com/office/drawing/2014/main" id="{00000000-0008-0000-0C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529590</xdr:colOff>
      <xdr:row>100</xdr:row>
      <xdr:rowOff>123825</xdr:rowOff>
    </xdr:from>
    <xdr:to>
      <xdr:col>21</xdr:col>
      <xdr:colOff>445770</xdr:colOff>
      <xdr:row>119</xdr:row>
      <xdr:rowOff>116205</xdr:rowOff>
    </xdr:to>
    <xdr:graphicFrame macro="">
      <xdr:nvGraphicFramePr>
        <xdr:cNvPr id="7" name="Chart 6">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0</xdr:colOff>
      <xdr:row>123</xdr:row>
      <xdr:rowOff>0</xdr:rowOff>
    </xdr:from>
    <xdr:to>
      <xdr:col>12</xdr:col>
      <xdr:colOff>133350</xdr:colOff>
      <xdr:row>132</xdr:row>
      <xdr:rowOff>28574</xdr:rowOff>
    </xdr:to>
    <xdr:graphicFrame macro="">
      <xdr:nvGraphicFramePr>
        <xdr:cNvPr id="20" name="Chart 19">
          <a:extLst>
            <a:ext uri="{FF2B5EF4-FFF2-40B4-BE49-F238E27FC236}">
              <a16:creationId xmlns:a16="http://schemas.microsoft.com/office/drawing/2014/main" id="{00000000-0008-0000-0C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0</xdr:colOff>
      <xdr:row>136</xdr:row>
      <xdr:rowOff>0</xdr:rowOff>
    </xdr:from>
    <xdr:to>
      <xdr:col>12</xdr:col>
      <xdr:colOff>133350</xdr:colOff>
      <xdr:row>145</xdr:row>
      <xdr:rowOff>28574</xdr:rowOff>
    </xdr:to>
    <xdr:graphicFrame macro="">
      <xdr:nvGraphicFramePr>
        <xdr:cNvPr id="21" name="Chart 20">
          <a:extLst>
            <a:ext uri="{FF2B5EF4-FFF2-40B4-BE49-F238E27FC236}">
              <a16:creationId xmlns:a16="http://schemas.microsoft.com/office/drawing/2014/main" id="{00000000-0008-0000-0C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0</xdr:colOff>
      <xdr:row>152</xdr:row>
      <xdr:rowOff>0</xdr:rowOff>
    </xdr:from>
    <xdr:to>
      <xdr:col>12</xdr:col>
      <xdr:colOff>133350</xdr:colOff>
      <xdr:row>161</xdr:row>
      <xdr:rowOff>28574</xdr:rowOff>
    </xdr:to>
    <xdr:graphicFrame macro="">
      <xdr:nvGraphicFramePr>
        <xdr:cNvPr id="22" name="Chart 21">
          <a:extLst>
            <a:ext uri="{FF2B5EF4-FFF2-40B4-BE49-F238E27FC236}">
              <a16:creationId xmlns:a16="http://schemas.microsoft.com/office/drawing/2014/main" id="{00000000-0008-0000-0C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0</xdr:colOff>
      <xdr:row>169</xdr:row>
      <xdr:rowOff>0</xdr:rowOff>
    </xdr:from>
    <xdr:to>
      <xdr:col>13</xdr:col>
      <xdr:colOff>133350</xdr:colOff>
      <xdr:row>178</xdr:row>
      <xdr:rowOff>28574</xdr:rowOff>
    </xdr:to>
    <xdr:graphicFrame macro="">
      <xdr:nvGraphicFramePr>
        <xdr:cNvPr id="23" name="Chart 22">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28576</xdr:colOff>
      <xdr:row>41</xdr:row>
      <xdr:rowOff>7620</xdr:rowOff>
    </xdr:from>
    <xdr:to>
      <xdr:col>21</xdr:col>
      <xdr:colOff>198120</xdr:colOff>
      <xdr:row>53</xdr:row>
      <xdr:rowOff>106679</xdr:rowOff>
    </xdr:to>
    <xdr:graphicFrame macro="">
      <xdr:nvGraphicFramePr>
        <xdr:cNvPr id="24" name="Chart 23">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0.32049</cdr:x>
      <cdr:y>0.40741</cdr:y>
    </cdr:from>
    <cdr:to>
      <cdr:x>0.68763</cdr:x>
      <cdr:y>0.5755</cdr:y>
    </cdr:to>
    <cdr:sp macro="" textlink="">
      <cdr:nvSpPr>
        <cdr:cNvPr id="2" name="TextBox 1"/>
        <cdr:cNvSpPr txBox="1"/>
      </cdr:nvSpPr>
      <cdr:spPr>
        <a:xfrm xmlns:a="http://schemas.openxmlformats.org/drawingml/2006/main">
          <a:off x="1504950" y="1362075"/>
          <a:ext cx="1724025" cy="561975"/>
        </a:xfrm>
        <a:prstGeom xmlns:a="http://schemas.openxmlformats.org/drawingml/2006/main" prst="rect">
          <a:avLst/>
        </a:prstGeom>
      </cdr:spPr>
      <cdr:txBody>
        <a:bodyPr xmlns:a="http://schemas.openxmlformats.org/drawingml/2006/main" wrap="square" rtlCol="0" anchor="ctr"/>
        <a:lstStyle xmlns:a="http://schemas.openxmlformats.org/drawingml/2006/main"/>
        <a:p xmlns:a="http://schemas.openxmlformats.org/drawingml/2006/main">
          <a:pPr algn="ctr"/>
          <a:r>
            <a:rPr lang="en-US" sz="1400" b="1"/>
            <a:t>Expenditure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07.532004050925" createdVersion="3" refreshedVersion="6" minRefreshableVersion="3" recordCount="149" xr:uid="{00000000-000A-0000-FFFF-FFFF00000000}">
  <cacheSource type="worksheet">
    <worksheetSource name="actual1"/>
  </cacheSource>
  <cacheFields count="28">
    <cacheField name="FY" numFmtId="0">
      <sharedItems containsBlank="1" count="13">
        <s v="2014-15"/>
        <s v="2015-16"/>
        <s v="2016-17"/>
        <s v="2017-18"/>
        <s v="2018-19"/>
        <s v="2019-20"/>
        <s v="2020-21"/>
        <s v="2021-22"/>
        <s v="2022-23"/>
        <s v="2023-24"/>
        <s v="2024-25"/>
        <s v="2025-26"/>
        <m/>
      </sharedItems>
    </cacheField>
    <cacheField name="Month" numFmtId="49">
      <sharedItems containsBlank="1"/>
    </cacheField>
    <cacheField name="Corporation Tax" numFmtId="0">
      <sharedItems containsString="0" containsBlank="1" containsNumber="1" containsInteger="1" minValue="-5845" maxValue="986767"/>
    </cacheField>
    <cacheField name="Income Tax" numFmtId="0">
      <sharedItems containsString="0" containsBlank="1" containsNumber="1" containsInteger="1" minValue="19878" maxValue="1182964"/>
    </cacheField>
    <cacheField name="Securities Transcation Tax" numFmtId="0">
      <sharedItems containsString="0" containsBlank="1" containsNumber="1" containsInteger="1" minValue="168" maxValue="52197"/>
    </cacheField>
    <cacheField name="CGST" numFmtId="0">
      <sharedItems containsString="0" containsBlank="1" containsNumber="1" containsInteger="1" minValue="0" maxValue="908980"/>
    </cacheField>
    <cacheField name="IGST" numFmtId="0">
      <sharedItems containsString="0" containsBlank="1" containsNumber="1" containsInteger="1" minValue="-43291" maxValue="176688"/>
    </cacheField>
    <cacheField name="UTGST" numFmtId="0">
      <sharedItems containsString="0" containsBlank="1" containsNumber="1" containsInteger="1" minValue="0" maxValue="5094"/>
    </cacheField>
    <cacheField name="Compensation Cess" numFmtId="0">
      <sharedItems containsString="0" containsBlank="1" containsNumber="1" containsInteger="1" minValue="0" maxValue="150506"/>
    </cacheField>
    <cacheField name="Customs" numFmtId="0">
      <sharedItems containsString="0" containsBlank="1" containsNumber="1" containsInteger="1" minValue="3934" maxValue="233067"/>
    </cacheField>
    <cacheField name="Union Excise" numFmtId="0">
      <sharedItems containsString="0" containsBlank="1" containsNumber="1" containsInteger="1" minValue="-2817" maxValue="390808"/>
    </cacheField>
    <cacheField name="Service Tax" numFmtId="0">
      <sharedItems containsString="0" containsBlank="1" containsNumber="1" containsInteger="1" minValue="-171" maxValue="254499"/>
    </cacheField>
    <cacheField name="Other Taxes" numFmtId="0">
      <sharedItems containsString="0" containsBlank="1" containsNumber="1" containsInteger="1" minValue="81" maxValue="20943"/>
    </cacheField>
    <cacheField name="Surcharge for financing of NCCF" numFmtId="0">
      <sharedItems containsString="0" containsBlank="1" containsNumber="1" containsInteger="1" minValue="8" maxValue="9455"/>
    </cacheField>
    <cacheField name="Devolution to State" numFmtId="0">
      <sharedItems containsString="0" containsBlank="1" containsNumber="1" containsInteger="1" minValue="27695" maxValue="1286885"/>
    </cacheField>
    <cacheField name="Interest receipts" numFmtId="0">
      <sharedItems containsString="0" containsBlank="1" containsNumber="1" containsInteger="1" minValue="294" maxValue="41223"/>
    </cacheField>
    <cacheField name="Dividends and Profits" numFmtId="0">
      <sharedItems containsString="0" containsBlank="1" containsNumber="1" containsInteger="1" minValue="1" maxValue="308423"/>
    </cacheField>
    <cacheField name="Other Non Tax Receipts" numFmtId="0">
      <sharedItems containsString="0" containsBlank="1" containsNumber="1" containsInteger="1" minValue="4613" maxValue="193147"/>
    </cacheField>
    <cacheField name="Recovery of Loans &amp; Advances" numFmtId="0">
      <sharedItems containsString="0" containsBlank="1" containsNumber="1" containsInteger="1" minValue="144" maxValue="27338"/>
    </cacheField>
    <cacheField name="Disinvestment Receipts" numFmtId="0">
      <sharedItems containsString="0" containsBlank="1" containsNumber="1" containsInteger="1" minValue="0" maxValue="100045"/>
    </cacheField>
    <cacheField name="Revenue Expenditure" numFmtId="0">
      <sharedItems containsString="0" containsBlank="1" containsNumber="1" containsInteger="1" minValue="108084" maxValue="3603510"/>
    </cacheField>
    <cacheField name="Interest Payments" numFmtId="0">
      <sharedItems containsString="0" containsBlank="1" containsNumber="1" containsInteger="1" minValue="15618" maxValue="1116343"/>
    </cacheField>
    <cacheField name="Defence  Services" numFmtId="0">
      <sharedItems containsString="0" containsBlank="1" containsNumber="1" containsInteger="1" minValue="16101" maxValue="290769"/>
    </cacheField>
    <cacheField name="Grants in Aid  to States &amp; UTs" numFmtId="0">
      <sharedItems containsString="0" containsBlank="1" containsNumber="1" containsInteger="1" minValue="962" maxValue="651648"/>
    </cacheField>
    <cacheField name="Pensions" numFmtId="0">
      <sharedItems containsString="0" containsBlank="1" containsNumber="1" containsInteger="1" minValue="5507" maxValue="273772"/>
    </cacheField>
    <cacheField name="Major Subsidies" numFmtId="0">
      <sharedItems containsString="0" containsBlank="1" containsNumber="1" containsInteger="1" minValue="10151" maxValue="707130"/>
    </cacheField>
    <cacheField name="Grants for Creation of Capital Assets" numFmtId="0">
      <sharedItems containsString="0" containsBlank="1" containsNumber="1" containsInteger="1" minValue="4929" maxValue="306264"/>
    </cacheField>
    <cacheField name="Capital Expenditure" numFmtId="0">
      <sharedItems containsString="0" containsBlank="1" containsNumber="1" containsInteger="1" minValue="12443" maxValue="10520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s v="Apr-14"/>
    <n v="-5845"/>
    <n v="20348"/>
    <n v="168"/>
    <m/>
    <m/>
    <m/>
    <m/>
    <n v="11754"/>
    <n v="-2817"/>
    <n v="4876"/>
    <n v="310"/>
    <n v="122"/>
    <n v="27695"/>
    <n v="514"/>
    <n v="825"/>
    <n v="4613"/>
    <n v="144"/>
    <n v="0"/>
    <n v="108084"/>
    <n v="23284"/>
    <n v="19381"/>
    <n v="962"/>
    <n v="5507"/>
    <n v="31779"/>
    <n v="10112"/>
    <n v="12443"/>
  </r>
  <r>
    <x v="0"/>
    <s v="May-14"/>
    <n v="2980"/>
    <n v="35449"/>
    <n v="626"/>
    <m/>
    <m/>
    <m/>
    <m/>
    <n v="24800"/>
    <n v="5569"/>
    <n v="14431"/>
    <n v="661"/>
    <n v="474"/>
    <n v="55391"/>
    <n v="645"/>
    <n v="837"/>
    <n v="8372"/>
    <n v="997"/>
    <n v="0"/>
    <n v="243585"/>
    <n v="54857"/>
    <n v="35705"/>
    <n v="2122"/>
    <n v="14766"/>
    <n v="71250"/>
    <n v="21456"/>
    <n v="36754"/>
  </r>
  <r>
    <x v="0"/>
    <s v="Jun-14"/>
    <n v="50447"/>
    <n v="46398"/>
    <n v="1374"/>
    <m/>
    <m/>
    <m/>
    <m/>
    <n v="38649"/>
    <n v="18403"/>
    <n v="26628"/>
    <n v="1129"/>
    <n v="856"/>
    <n v="83086"/>
    <n v="2005"/>
    <n v="2195"/>
    <n v="11140"/>
    <n v="1208"/>
    <n v="109"/>
    <n v="363785"/>
    <n v="90694"/>
    <n v="49351"/>
    <n v="5501"/>
    <n v="22449"/>
    <n v="81443"/>
    <n v="32274"/>
    <n v="49818"/>
  </r>
  <r>
    <x v="0"/>
    <s v="Jul-14"/>
    <n v="62518"/>
    <n v="64905"/>
    <n v="2067"/>
    <m/>
    <m/>
    <m/>
    <m/>
    <n v="53881"/>
    <n v="32264"/>
    <n v="41628"/>
    <n v="1610"/>
    <n v="1227"/>
    <n v="110781"/>
    <n v="3546"/>
    <n v="3721"/>
    <n v="21500"/>
    <n v="3262"/>
    <n v="122"/>
    <n v="442051"/>
    <n v="118615"/>
    <n v="65913"/>
    <n v="11908"/>
    <n v="29129"/>
    <n v="83557"/>
    <n v="36213"/>
    <n v="61889"/>
  </r>
  <r>
    <x v="0"/>
    <s v="Aug-14"/>
    <n v="73569"/>
    <n v="78535"/>
    <n v="2717"/>
    <m/>
    <m/>
    <m/>
    <m/>
    <n v="69838"/>
    <n v="45453"/>
    <n v="52817"/>
    <n v="2009"/>
    <n v="1555"/>
    <n v="137924"/>
    <n v="4440"/>
    <n v="56274"/>
    <n v="24282"/>
    <n v="4212"/>
    <n v="122"/>
    <n v="595219"/>
    <n v="153876"/>
    <n v="82049"/>
    <n v="18024"/>
    <n v="38354"/>
    <n v="125762"/>
    <n v="53551"/>
    <n v="77499"/>
  </r>
  <r>
    <x v="0"/>
    <s v="Sep-14"/>
    <n v="162269"/>
    <n v="109412"/>
    <n v="3223"/>
    <m/>
    <m/>
    <m/>
    <m/>
    <n v="87408"/>
    <n v="60547"/>
    <n v="65201"/>
    <n v="2558"/>
    <n v="2012"/>
    <n v="165415"/>
    <n v="6347"/>
    <n v="61388"/>
    <n v="26970"/>
    <n v="5210"/>
    <n v="121"/>
    <n v="762949"/>
    <n v="185670"/>
    <n v="102021"/>
    <n v="24324"/>
    <n v="46206"/>
    <n v="160133"/>
    <n v="66269"/>
    <n v="99104"/>
  </r>
  <r>
    <x v="0"/>
    <s v="Oct-14"/>
    <n v="173381"/>
    <n v="124972"/>
    <n v="3876"/>
    <m/>
    <m/>
    <m/>
    <m/>
    <n v="104104"/>
    <n v="73105"/>
    <n v="81213"/>
    <n v="2947"/>
    <n v="2515"/>
    <n v="192211"/>
    <n v="10651"/>
    <n v="63856"/>
    <n v="36694"/>
    <n v="6142"/>
    <n v="122"/>
    <n v="852707"/>
    <n v="205974"/>
    <n v="119070"/>
    <n v="28317"/>
    <n v="53737"/>
    <n v="178105"/>
    <n v="73705"/>
    <n v="109382"/>
  </r>
  <r>
    <x v="0"/>
    <s v="Nov-14"/>
    <n v="188553"/>
    <n v="140150"/>
    <n v="4357"/>
    <m/>
    <m/>
    <m/>
    <m/>
    <n v="120225"/>
    <n v="85925"/>
    <n v="92903"/>
    <n v="3470"/>
    <n v="2918"/>
    <n v="219355"/>
    <n v="11629"/>
    <n v="63959"/>
    <n v="52755"/>
    <n v="7174"/>
    <n v="222"/>
    <n v="952728"/>
    <n v="232650"/>
    <n v="135526"/>
    <n v="33124"/>
    <n v="61316"/>
    <n v="195504"/>
    <n v="81584"/>
    <n v="121455"/>
  </r>
  <r>
    <x v="0"/>
    <s v="Dec-14"/>
    <n v="277620"/>
    <n v="166556"/>
    <n v="4939"/>
    <m/>
    <m/>
    <m/>
    <m/>
    <n v="135596"/>
    <n v="101859"/>
    <n v="105196"/>
    <n v="3920"/>
    <n v="3362"/>
    <n v="246610"/>
    <n v="15808"/>
    <n v="69674"/>
    <n v="62577"/>
    <n v="8282"/>
    <n v="1952"/>
    <n v="1095548"/>
    <n v="275220"/>
    <n v="157318"/>
    <n v="34598"/>
    <n v="68104"/>
    <n v="212418"/>
    <n v="97863"/>
    <n v="140840"/>
  </r>
  <r>
    <x v="0"/>
    <s v="Jan-15"/>
    <n v="287720"/>
    <n v="182077"/>
    <n v="5556"/>
    <m/>
    <m/>
    <m/>
    <m/>
    <n v="151849"/>
    <n v="118109"/>
    <n v="122450"/>
    <n v="4323"/>
    <n v="3645"/>
    <n v="273642"/>
    <n v="17236"/>
    <n v="70019"/>
    <n v="71055"/>
    <n v="9954"/>
    <n v="7068"/>
    <n v="1194613"/>
    <n v="312260"/>
    <n v="174307"/>
    <n v="37023"/>
    <n v="76133"/>
    <n v="231788"/>
    <n v="102208"/>
    <n v="143655"/>
  </r>
  <r>
    <x v="0"/>
    <s v="Feb-15"/>
    <n v="301761"/>
    <n v="199496"/>
    <n v="6280"/>
    <m/>
    <m/>
    <m/>
    <m/>
    <n v="167492"/>
    <n v="140322"/>
    <n v="134889"/>
    <n v="4713"/>
    <n v="4035"/>
    <n v="299499"/>
    <n v="18561"/>
    <n v="72397"/>
    <n v="73861"/>
    <n v="11063"/>
    <n v="29701"/>
    <n v="1299492"/>
    <n v="346256"/>
    <n v="193989"/>
    <n v="46673"/>
    <n v="80321"/>
    <n v="237878"/>
    <n v="114070"/>
    <n v="160044"/>
  </r>
  <r>
    <x v="0"/>
    <s v="Mar-15"/>
    <n v="428925"/>
    <n v="258334"/>
    <n v="7398"/>
    <m/>
    <m/>
    <m/>
    <m/>
    <n v="188016"/>
    <n v="189953"/>
    <n v="167969"/>
    <n v="4289"/>
    <n v="3461"/>
    <n v="337808"/>
    <n v="23734"/>
    <n v="89861"/>
    <n v="84171"/>
    <n v="13738"/>
    <n v="37737"/>
    <n v="1466992"/>
    <n v="402444"/>
    <n v="218694"/>
    <n v="77198"/>
    <n v="93611"/>
    <n v="249220"/>
    <n v="130760"/>
    <n v="196681"/>
  </r>
  <r>
    <x v="1"/>
    <s v="Apr-15"/>
    <n v="-4319"/>
    <n v="19878"/>
    <n v="268"/>
    <m/>
    <m/>
    <m/>
    <m/>
    <n v="14452"/>
    <n v="-2696"/>
    <n v="6874"/>
    <n v="359"/>
    <n v="208"/>
    <n v="37421"/>
    <n v="768"/>
    <n v="1"/>
    <n v="27357"/>
    <n v="173"/>
    <n v="1608"/>
    <n v="128408"/>
    <n v="16994"/>
    <n v="18512"/>
    <n v="4856"/>
    <n v="9031"/>
    <n v="41130"/>
    <n v="18367"/>
    <n v="26209"/>
  </r>
  <r>
    <x v="1"/>
    <s v="May-15"/>
    <n v="1047"/>
    <n v="31604"/>
    <n v="939"/>
    <m/>
    <m/>
    <m/>
    <m/>
    <n v="29907"/>
    <n v="13649"/>
    <n v="17411"/>
    <n v="775"/>
    <n v="596"/>
    <n v="74847"/>
    <n v="1535"/>
    <n v="5"/>
    <n v="30932"/>
    <n v="238"/>
    <n v="1608"/>
    <n v="225088"/>
    <n v="48447"/>
    <n v="34670"/>
    <n v="13137"/>
    <n v="15671"/>
    <n v="49557"/>
    <n v="22138"/>
    <n v="37743"/>
  </r>
  <r>
    <x v="1"/>
    <s v="Jun-15"/>
    <n v="52055"/>
    <n v="45070"/>
    <n v="1574"/>
    <m/>
    <m/>
    <m/>
    <m/>
    <n v="47157"/>
    <n v="37545"/>
    <n v="30413"/>
    <n v="1299"/>
    <n v="1155"/>
    <n v="112273"/>
    <n v="2811"/>
    <n v="2052"/>
    <n v="34656"/>
    <n v="1386"/>
    <n v="1708"/>
    <n v="372384"/>
    <n v="95493"/>
    <n v="53419"/>
    <n v="22650"/>
    <n v="30458"/>
    <n v="60301"/>
    <n v="35159"/>
    <n v="58609"/>
  </r>
  <r>
    <x v="1"/>
    <s v="Jul-15"/>
    <n v="66319"/>
    <n v="61950"/>
    <n v="2165"/>
    <m/>
    <m/>
    <m/>
    <m/>
    <n v="66399"/>
    <n v="58033"/>
    <n v="48535"/>
    <n v="1709"/>
    <n v="1560"/>
    <n v="149699"/>
    <n v="3999"/>
    <n v="6057"/>
    <n v="45075"/>
    <n v="3514"/>
    <n v="3380"/>
    <n v="514953"/>
    <n v="127637"/>
    <n v="71489"/>
    <n v="36396"/>
    <n v="39781"/>
    <n v="89794"/>
    <n v="43389"/>
    <n v="86026"/>
  </r>
  <r>
    <x v="1"/>
    <s v="Aug-15"/>
    <n v="81647"/>
    <n v="83322"/>
    <n v="2821"/>
    <m/>
    <m/>
    <m/>
    <m/>
    <n v="85270"/>
    <n v="80208"/>
    <n v="63534"/>
    <n v="2283"/>
    <n v="2030"/>
    <n v="187125"/>
    <n v="5594"/>
    <n v="72147"/>
    <n v="57865"/>
    <n v="4559"/>
    <n v="12803"/>
    <n v="640255"/>
    <n v="163469"/>
    <n v="87261"/>
    <n v="40353"/>
    <n v="47711"/>
    <n v="112499"/>
    <n v="55064"/>
    <n v="91938"/>
  </r>
  <r>
    <x v="1"/>
    <s v="Sep-15"/>
    <n v="182635"/>
    <n v="122424"/>
    <n v="3556"/>
    <m/>
    <m/>
    <m/>
    <m/>
    <n v="103625"/>
    <n v="103008"/>
    <n v="78735"/>
    <n v="2901"/>
    <n v="2597"/>
    <n v="224551"/>
    <n v="6795"/>
    <n v="75545"/>
    <n v="61293"/>
    <n v="5810"/>
    <n v="12803"/>
    <n v="782377"/>
    <n v="197653"/>
    <n v="104554"/>
    <n v="52992"/>
    <n v="55171"/>
    <n v="140259"/>
    <n v="64874"/>
    <n v="128168"/>
  </r>
  <r>
    <x v="1"/>
    <s v="Oct-15"/>
    <n v="198338"/>
    <n v="142420"/>
    <n v="4126"/>
    <m/>
    <m/>
    <m/>
    <m/>
    <n v="121944"/>
    <n v="123363"/>
    <n v="100333"/>
    <n v="3318"/>
    <n v="3062"/>
    <n v="261977"/>
    <n v="12835"/>
    <n v="78298"/>
    <n v="70802"/>
    <n v="6833"/>
    <n v="12803"/>
    <n v="878291"/>
    <n v="215332"/>
    <n v="123501"/>
    <n v="60215"/>
    <n v="62993"/>
    <n v="168439"/>
    <n v="68193"/>
    <n v="143329"/>
  </r>
  <r>
    <x v="1"/>
    <s v="Nov-15"/>
    <n v="203985"/>
    <n v="154345"/>
    <n v="4690"/>
    <m/>
    <m/>
    <m/>
    <m/>
    <n v="139050"/>
    <n v="146324"/>
    <n v="115527"/>
    <n v="3914"/>
    <n v="3568"/>
    <n v="299403"/>
    <n v="14113"/>
    <n v="83225"/>
    <n v="75854"/>
    <n v="7875"/>
    <n v="12853"/>
    <n v="983384"/>
    <n v="252599"/>
    <n v="142622"/>
    <n v="66220"/>
    <n v="60471"/>
    <n v="188394"/>
    <n v="80924"/>
    <n v="158923"/>
  </r>
  <r>
    <x v="1"/>
    <s v="Dec-15"/>
    <n v="305666"/>
    <n v="186105"/>
    <n v="5217"/>
    <m/>
    <m/>
    <m/>
    <m/>
    <n v="159484"/>
    <n v="171420"/>
    <n v="130924"/>
    <n v="4413"/>
    <n v="4152"/>
    <n v="336830"/>
    <n v="15872"/>
    <n v="83425"/>
    <n v="82264"/>
    <n v="9138"/>
    <n v="12866"/>
    <n v="1126042"/>
    <n v="302298"/>
    <n v="165985"/>
    <n v="73910"/>
    <n v="69467"/>
    <n v="208759"/>
    <n v="92788"/>
    <n v="187955"/>
  </r>
  <r>
    <x v="1"/>
    <s v="Jan-16"/>
    <n v="317155"/>
    <n v="205028"/>
    <n v="5781"/>
    <m/>
    <m/>
    <m/>
    <m/>
    <n v="177115"/>
    <n v="194837"/>
    <n v="153025"/>
    <n v="4763"/>
    <n v="4556"/>
    <n v="374256"/>
    <n v="17622"/>
    <n v="86631"/>
    <n v="98037"/>
    <n v="10011"/>
    <n v="12866"/>
    <n v="1227356"/>
    <n v="341634"/>
    <n v="184131"/>
    <n v="79419"/>
    <n v="77335"/>
    <n v="212864"/>
    <n v="99268"/>
    <n v="208984"/>
  </r>
  <r>
    <x v="1"/>
    <s v="Feb-16"/>
    <n v="332259"/>
    <n v="221952"/>
    <n v="6368"/>
    <m/>
    <m/>
    <m/>
    <m/>
    <n v="193846"/>
    <n v="222476"/>
    <n v="170428"/>
    <n v="5216"/>
    <n v="5085"/>
    <n v="411682"/>
    <n v="19028"/>
    <n v="91135"/>
    <n v="101109"/>
    <n v="17428"/>
    <n v="18523"/>
    <n v="1337860"/>
    <n v="379485"/>
    <n v="202265"/>
    <n v="87706"/>
    <n v="85945"/>
    <n v="216552"/>
    <n v="110796"/>
    <n v="218013"/>
  </r>
  <r>
    <x v="1"/>
    <s v="Mar-16"/>
    <n v="453228"/>
    <n v="280323"/>
    <n v="7350"/>
    <m/>
    <m/>
    <m/>
    <m/>
    <n v="210338"/>
    <n v="287148"/>
    <n v="211415"/>
    <n v="5846"/>
    <n v="5690"/>
    <n v="506193"/>
    <n v="25378"/>
    <n v="112127"/>
    <n v="113755"/>
    <n v="20843"/>
    <n v="42132"/>
    <n v="1537761"/>
    <n v="441659"/>
    <n v="225895"/>
    <n v="105444"/>
    <n v="96771"/>
    <n v="242447"/>
    <n v="130955"/>
    <n v="253022"/>
  </r>
  <r>
    <x v="2"/>
    <s v="Apr-16"/>
    <n v="-2818"/>
    <n v="30831"/>
    <n v="238"/>
    <m/>
    <m/>
    <m/>
    <m/>
    <n v="17659"/>
    <n v="-402"/>
    <n v="7789"/>
    <n v="404"/>
    <n v="202"/>
    <n v="40733"/>
    <n v="515"/>
    <n v="3006"/>
    <n v="5788"/>
    <n v="248"/>
    <n v="2336"/>
    <n v="141150"/>
    <n v="15856"/>
    <n v="16101"/>
    <n v="31294"/>
    <n v="7259"/>
    <n v="29147"/>
    <n v="23962"/>
    <n v="20835"/>
  </r>
  <r>
    <x v="2"/>
    <s v="May-16"/>
    <n v="-685"/>
    <n v="45124"/>
    <n v="783"/>
    <m/>
    <m/>
    <m/>
    <m/>
    <n v="36626"/>
    <n v="26560"/>
    <n v="22650"/>
    <n v="800"/>
    <n v="696"/>
    <n v="81472"/>
    <n v="911"/>
    <n v="3006"/>
    <n v="12084"/>
    <n v="390"/>
    <n v="2979"/>
    <n v="264814"/>
    <n v="54714"/>
    <n v="27737"/>
    <n v="59836"/>
    <n v="18870"/>
    <n v="45751"/>
    <n v="33863"/>
    <n v="33232"/>
  </r>
  <r>
    <x v="2"/>
    <s v="Jun-16"/>
    <n v="54110"/>
    <n v="69140"/>
    <n v="1438"/>
    <m/>
    <m/>
    <m/>
    <m/>
    <n v="55528"/>
    <n v="60273"/>
    <n v="39086"/>
    <n v="1278"/>
    <n v="1339"/>
    <n v="122211"/>
    <n v="1868"/>
    <n v="4221"/>
    <n v="17395"/>
    <n v="1743"/>
    <n v="2979"/>
    <n v="462836"/>
    <n v="108802"/>
    <n v="40230"/>
    <n v="95327"/>
    <n v="27863"/>
    <n v="92287"/>
    <n v="53773"/>
    <n v="48996"/>
  </r>
  <r>
    <x v="2"/>
    <s v="Jul-16"/>
    <n v="67061"/>
    <n v="91834"/>
    <n v="1952"/>
    <n v="0"/>
    <n v="0"/>
    <n v="0"/>
    <n v="0"/>
    <n v="72153"/>
    <n v="90328"/>
    <n v="61195"/>
    <n v="1916"/>
    <n v="1822"/>
    <n v="162949"/>
    <n v="2866"/>
    <n v="4522"/>
    <n v="26710"/>
    <n v="4251"/>
    <n v="3183"/>
    <n v="585404"/>
    <n v="140479"/>
    <n v="52565"/>
    <n v="119808"/>
    <n v="36867"/>
    <n v="105879"/>
    <n v="63211"/>
    <n v="71283"/>
  </r>
  <r>
    <x v="2"/>
    <s v="Aug-16"/>
    <n v="80464"/>
    <n v="109918"/>
    <n v="2812"/>
    <n v="0"/>
    <n v="0"/>
    <n v="0"/>
    <n v="0"/>
    <n v="90774"/>
    <n v="120935"/>
    <n v="79039"/>
    <n v="2414"/>
    <n v="2413"/>
    <n v="203688"/>
    <n v="3891"/>
    <n v="70678"/>
    <n v="30499"/>
    <n v="5335"/>
    <n v="3183"/>
    <n v="710329"/>
    <n v="174472"/>
    <n v="65949"/>
    <n v="147192"/>
    <n v="48052"/>
    <n v="115219"/>
    <n v="70380"/>
    <n v="91332"/>
  </r>
  <r>
    <x v="2"/>
    <s v="Sep-16"/>
    <n v="186789"/>
    <n v="144233"/>
    <n v="3607"/>
    <n v="0"/>
    <n v="0"/>
    <n v="0"/>
    <n v="0"/>
    <n v="109087"/>
    <n v="152347"/>
    <n v="96673"/>
    <n v="2957"/>
    <n v="3111"/>
    <n v="244427"/>
    <n v="6223"/>
    <n v="79046"/>
    <n v="33499"/>
    <n v="6802"/>
    <n v="6015"/>
    <n v="892803"/>
    <n v="213229"/>
    <n v="78764"/>
    <n v="188886"/>
    <n v="59643"/>
    <n v="142643"/>
    <n v="100762"/>
    <n v="134925"/>
  </r>
  <r>
    <x v="2"/>
    <s v="Oct-16"/>
    <n v="207334"/>
    <n v="169891"/>
    <n v="4416"/>
    <n v="0"/>
    <n v="0"/>
    <n v="0"/>
    <n v="0"/>
    <n v="127971"/>
    <n v="180663"/>
    <n v="124912"/>
    <n v="3697"/>
    <n v="3703"/>
    <n v="285166"/>
    <n v="7581"/>
    <n v="83225"/>
    <n v="77167"/>
    <n v="7938"/>
    <n v="21410"/>
    <n v="1025884"/>
    <n v="226807"/>
    <n v="99185"/>
    <n v="207331"/>
    <n v="70097"/>
    <n v="192395"/>
    <n v="105256"/>
    <n v="124959"/>
  </r>
  <r>
    <x v="2"/>
    <s v="Nov-16"/>
    <n v="222258"/>
    <n v="186675"/>
    <n v="5109"/>
    <n v="0"/>
    <n v="0"/>
    <n v="0"/>
    <n v="0"/>
    <n v="148501"/>
    <n v="213584"/>
    <n v="146839"/>
    <n v="10314"/>
    <n v="4294"/>
    <n v="307814"/>
    <n v="9007"/>
    <n v="86460"/>
    <n v="79484"/>
    <n v="9033"/>
    <n v="23529"/>
    <n v="1144334"/>
    <n v="266678"/>
    <n v="111244"/>
    <n v="221296"/>
    <n v="81111"/>
    <n v="197791"/>
    <n v="112921"/>
    <n v="142347"/>
  </r>
  <r>
    <x v="2"/>
    <s v="Dec-16"/>
    <n v="320280"/>
    <n v="224241"/>
    <n v="5931"/>
    <n v="0"/>
    <n v="0"/>
    <n v="0"/>
    <n v="0"/>
    <n v="167294"/>
    <n v="246335"/>
    <n v="163646"/>
    <n v="11360"/>
    <n v="4864"/>
    <n v="382107"/>
    <n v="10787"/>
    <n v="86908"/>
    <n v="84755"/>
    <n v="10403"/>
    <n v="23529"/>
    <n v="1288862"/>
    <n v="325684"/>
    <n v="126595"/>
    <n v="251796"/>
    <n v="93394"/>
    <n v="214320"/>
    <n v="125523"/>
    <n v="180886"/>
  </r>
  <r>
    <x v="2"/>
    <s v="Jan-17"/>
    <n v="327303"/>
    <n v="245413"/>
    <n v="6523"/>
    <n v="0"/>
    <n v="0"/>
    <n v="0"/>
    <n v="0"/>
    <n v="186291"/>
    <n v="278330"/>
    <n v="188752"/>
    <n v="12058"/>
    <n v="5470"/>
    <n v="422846"/>
    <n v="12842"/>
    <n v="88325"/>
    <n v="91873"/>
    <n v="13057"/>
    <n v="31014"/>
    <n v="1414220"/>
    <n v="368592"/>
    <n v="140910"/>
    <n v="275458"/>
    <n v="113148"/>
    <n v="216266"/>
    <n v="135063"/>
    <n v="203437"/>
  </r>
  <r>
    <x v="2"/>
    <s v="Feb-17"/>
    <n v="343945"/>
    <n v="268313"/>
    <n v="7218"/>
    <n v="0"/>
    <n v="0"/>
    <n v="0"/>
    <n v="0"/>
    <n v="203880"/>
    <n v="312241"/>
    <n v="206673"/>
    <n v="12672"/>
    <n v="6085"/>
    <n v="463585"/>
    <n v="13775"/>
    <n v="96957"/>
    <n v="98179"/>
    <n v="14180"/>
    <n v="39043"/>
    <n v="1538224"/>
    <n v="403984"/>
    <n v="154043"/>
    <n v="295708"/>
    <n v="123174"/>
    <n v="226746"/>
    <n v="145377"/>
    <n v="214796"/>
  </r>
  <r>
    <x v="2"/>
    <s v="Mar-17"/>
    <n v="484924"/>
    <n v="340592"/>
    <n v="8998"/>
    <n v="0"/>
    <n v="0"/>
    <n v="0"/>
    <n v="0"/>
    <n v="225370"/>
    <n v="380496"/>
    <n v="254499"/>
    <n v="20943"/>
    <n v="6450"/>
    <n v="608000"/>
    <n v="16264"/>
    <n v="123021"/>
    <n v="135299"/>
    <n v="17770"/>
    <n v="47743"/>
    <n v="1692986"/>
    <n v="480714"/>
    <n v="165410"/>
    <n v="285876"/>
    <n v="131401"/>
    <n v="206666"/>
    <n v="166560"/>
    <n v="286282"/>
  </r>
  <r>
    <x v="3"/>
    <s v="Apr-17"/>
    <n v="6266"/>
    <n v="33310"/>
    <n v="410"/>
    <n v="0"/>
    <n v="0"/>
    <n v="0"/>
    <n v="0"/>
    <n v="20574"/>
    <n v="1323"/>
    <n v="8901"/>
    <n v="613"/>
    <n v="187"/>
    <n v="48178"/>
    <n v="426"/>
    <n v="15"/>
    <n v="11608"/>
    <n v="255"/>
    <n v="1193"/>
    <n v="213464"/>
    <n v="19422"/>
    <n v="17828"/>
    <n v="35733"/>
    <n v="17855"/>
    <n v="79480"/>
    <n v="24666"/>
    <n v="28687"/>
  </r>
  <r>
    <x v="3"/>
    <s v="May-17"/>
    <n v="13482"/>
    <n v="50275"/>
    <n v="1189"/>
    <n v="0"/>
    <n v="0"/>
    <n v="0"/>
    <n v="0"/>
    <n v="43058"/>
    <n v="30778"/>
    <n v="24958"/>
    <n v="1093"/>
    <n v="804"/>
    <n v="96361"/>
    <n v="696"/>
    <n v="16"/>
    <n v="14632"/>
    <n v="398"/>
    <n v="2255"/>
    <n v="406490"/>
    <n v="69014"/>
    <n v="39548"/>
    <n v="63029"/>
    <n v="36027"/>
    <n v="117215"/>
    <n v="42805"/>
    <n v="52536"/>
  </r>
  <r>
    <x v="3"/>
    <s v="Jun-17"/>
    <n v="67259"/>
    <n v="76497"/>
    <n v="2147"/>
    <n v="0"/>
    <n v="0"/>
    <n v="0"/>
    <n v="0"/>
    <n v="63859"/>
    <n v="64673"/>
    <n v="47048"/>
    <n v="1937"/>
    <n v="1538"/>
    <n v="144545"/>
    <n v="1487"/>
    <n v="1297"/>
    <n v="19181"/>
    <n v="2054"/>
    <n v="7690"/>
    <n v="582403"/>
    <n v="133410"/>
    <n v="56447"/>
    <n v="95816"/>
    <n v="48090"/>
    <n v="135450"/>
    <n v="55515"/>
    <n v="68328"/>
  </r>
  <r>
    <x v="3"/>
    <s v="Jul-17"/>
    <n v="83305"/>
    <n v="109128"/>
    <n v="3009"/>
    <n v="10"/>
    <n v="34"/>
    <n v="0"/>
    <n v="0"/>
    <n v="95006"/>
    <n v="89784"/>
    <n v="69947"/>
    <n v="2304"/>
    <n v="1916"/>
    <n v="192728"/>
    <n v="2282"/>
    <n v="1799"/>
    <n v="29055"/>
    <n v="4179"/>
    <n v="8323"/>
    <n v="713291"/>
    <n v="160841"/>
    <n v="70764"/>
    <n v="128005"/>
    <n v="61508"/>
    <n v="150726"/>
    <n v="73725"/>
    <n v="95126"/>
  </r>
  <r>
    <x v="3"/>
    <s v="Aug-17"/>
    <n v="92939"/>
    <n v="124520"/>
    <n v="3712"/>
    <n v="15263"/>
    <n v="70952"/>
    <n v="0"/>
    <n v="7749"/>
    <n v="80527"/>
    <n v="111059"/>
    <n v="73875"/>
    <n v="3030"/>
    <n v="2102"/>
    <n v="240912"/>
    <n v="3224"/>
    <n v="33076"/>
    <n v="32956"/>
    <n v="5562"/>
    <n v="9972"/>
    <n v="840799"/>
    <n v="196393"/>
    <n v="85591"/>
    <n v="146433"/>
    <n v="74351"/>
    <n v="166978"/>
    <n v="84800"/>
    <n v="109648"/>
  </r>
  <r>
    <x v="3"/>
    <s v="Sep-17"/>
    <n v="207904"/>
    <n v="167851"/>
    <n v="4808"/>
    <n v="30398"/>
    <n v="101347"/>
    <n v="0"/>
    <n v="15773"/>
    <n v="87060"/>
    <n v="129973"/>
    <n v="75923"/>
    <n v="12803"/>
    <n v="2386"/>
    <n v="289096"/>
    <n v="4461"/>
    <n v="39309"/>
    <n v="37079"/>
    <n v="7284"/>
    <n v="19758"/>
    <n v="1002798"/>
    <n v="225766"/>
    <n v="100428"/>
    <n v="183539"/>
    <n v="84091"/>
    <n v="186043"/>
    <n v="106592"/>
    <n v="146389"/>
  </r>
  <r>
    <x v="3"/>
    <s v="Oct-17"/>
    <n v="231855"/>
    <n v="197350"/>
    <n v="5574"/>
    <n v="61585"/>
    <n v="119717"/>
    <n v="21"/>
    <n v="23804"/>
    <n v="94431"/>
    <n v="147699"/>
    <n v="77980"/>
    <n v="13396"/>
    <n v="2515"/>
    <n v="337280"/>
    <n v="5786"/>
    <n v="42415"/>
    <n v="46950"/>
    <n v="8394"/>
    <n v="30165"/>
    <n v="1129853"/>
    <n v="257909"/>
    <n v="116243"/>
    <n v="212568"/>
    <n v="97799"/>
    <n v="191336"/>
    <n v="115854"/>
    <n v="162795"/>
  </r>
  <r>
    <x v="3"/>
    <s v="Nov-17"/>
    <n v="249829"/>
    <n v="215183"/>
    <n v="6562"/>
    <n v="85424"/>
    <n v="138344"/>
    <n v="96"/>
    <n v="30907"/>
    <n v="102837"/>
    <n v="165167"/>
    <n v="79129"/>
    <n v="13824"/>
    <n v="2624"/>
    <n v="385286"/>
    <n v="6953"/>
    <n v="47115"/>
    <n v="51401"/>
    <n v="9471"/>
    <n v="52378"/>
    <n v="1294700"/>
    <n v="309799"/>
    <n v="131079"/>
    <n v="251489"/>
    <n v="111593"/>
    <n v="206068"/>
    <n v="128434"/>
    <n v="184115"/>
  </r>
  <r>
    <x v="3"/>
    <s v="Dec-17"/>
    <n v="375116"/>
    <n v="262320"/>
    <n v="7703"/>
    <n v="109639"/>
    <n v="155486"/>
    <n v="312"/>
    <n v="38806"/>
    <n v="110152"/>
    <n v="183044"/>
    <n v="79930"/>
    <n v="14058"/>
    <n v="2972"/>
    <n v="433470"/>
    <n v="8281"/>
    <n v="49383"/>
    <n v="55834"/>
    <n v="10640"/>
    <n v="53744"/>
    <n v="1462359"/>
    <n v="373956"/>
    <n v="146139"/>
    <n v="285444"/>
    <n v="121981"/>
    <n v="214845"/>
    <n v="146249"/>
    <n v="236596"/>
  </r>
  <r>
    <x v="3"/>
    <s v="Jan-18"/>
    <n v="389571"/>
    <n v="288297"/>
    <n v="8698"/>
    <n v="132772"/>
    <n v="174888"/>
    <n v="505"/>
    <n v="46830"/>
    <n v="118459"/>
    <n v="201050"/>
    <n v="80479"/>
    <n v="14297"/>
    <n v="3046"/>
    <n v="481477"/>
    <n v="9697"/>
    <n v="50165"/>
    <n v="64502"/>
    <n v="12156"/>
    <n v="55543"/>
    <n v="1575780"/>
    <n v="414238"/>
    <n v="160438"/>
    <n v="305881"/>
    <n v="134907"/>
    <n v="218581"/>
    <n v="153736"/>
    <n v="264165"/>
  </r>
  <r>
    <x v="3"/>
    <s v="Feb-18"/>
    <n v="411814"/>
    <n v="315698"/>
    <n v="9934"/>
    <n v="175863"/>
    <n v="155163"/>
    <n v="594"/>
    <n v="55027"/>
    <n v="127940"/>
    <n v="221032"/>
    <n v="80840"/>
    <n v="14486"/>
    <n v="3221"/>
    <n v="529624"/>
    <n v="14165"/>
    <n v="59264"/>
    <n v="68703"/>
    <n v="13301"/>
    <n v="92493"/>
    <n v="1702085"/>
    <n v="450729"/>
    <n v="174514"/>
    <n v="328359"/>
    <n v="145026"/>
    <n v="227678"/>
    <n v="164649"/>
    <n v="297086"/>
  </r>
  <r>
    <x v="3"/>
    <s v="Mar-18"/>
    <n v="571202"/>
    <n v="408203"/>
    <n v="11881"/>
    <n v="203261"/>
    <n v="176688"/>
    <n v="1635"/>
    <n v="62612"/>
    <n v="129030"/>
    <n v="258636"/>
    <n v="81229"/>
    <n v="14632"/>
    <n v="3517"/>
    <n v="673005"/>
    <n v="13581"/>
    <n v="91367"/>
    <n v="82969"/>
    <n v="20311"/>
    <n v="100045"/>
    <n v="1879346"/>
    <n v="528952"/>
    <n v="186127"/>
    <n v="376502"/>
    <n v="145745"/>
    <n v="191110"/>
    <n v="192520"/>
    <n v="262476"/>
  </r>
  <r>
    <x v="4"/>
    <s v="Apr-18"/>
    <n v="7771"/>
    <n v="34136"/>
    <n v="231"/>
    <n v="32089"/>
    <n v="19996"/>
    <n v="90"/>
    <n v="8503"/>
    <n v="10128"/>
    <n v="-551"/>
    <n v="684"/>
    <n v="253"/>
    <n v="8"/>
    <n v="55789"/>
    <n v="1277"/>
    <n v="17"/>
    <n v="11830"/>
    <n v="359"/>
    <n v="434"/>
    <n v="176714"/>
    <n v="15618"/>
    <n v="20651"/>
    <n v="21114"/>
    <n v="21810"/>
    <n v="58136"/>
    <n v="22655"/>
    <n v="46703"/>
  </r>
  <r>
    <x v="4"/>
    <s v="May-18"/>
    <n v="2328"/>
    <n v="52680"/>
    <n v="1180"/>
    <n v="60208"/>
    <n v="36928"/>
    <n v="144"/>
    <n v="15704"/>
    <n v="23260"/>
    <n v="18411"/>
    <n v="2740"/>
    <n v="515"/>
    <n v="112"/>
    <n v="111578"/>
    <n v="1603"/>
    <n v="18"/>
    <n v="22428"/>
    <n v="570"/>
    <n v="434"/>
    <n v="409163"/>
    <n v="73606"/>
    <n v="39291"/>
    <n v="70149"/>
    <n v="42312"/>
    <n v="88689"/>
    <n v="45808"/>
    <n v="63791"/>
  </r>
  <r>
    <x v="4"/>
    <s v="Jun-18"/>
    <n v="66427"/>
    <n v="86297"/>
    <n v="2210"/>
    <n v="91144"/>
    <n v="47140"/>
    <n v="206"/>
    <n v="23720"/>
    <n v="33779"/>
    <n v="40052"/>
    <n v="3212"/>
    <n v="851"/>
    <n v="341"/>
    <n v="157527"/>
    <n v="2473"/>
    <n v="18"/>
    <n v="28110"/>
    <n v="2083"/>
    <n v="8760"/>
    <n v="620659"/>
    <n v="144915"/>
    <n v="55139"/>
    <n v="110962"/>
    <n v="56257"/>
    <n v="116820"/>
    <n v="63060"/>
    <n v="86988"/>
  </r>
  <r>
    <x v="4"/>
    <s v="Jul-18"/>
    <n v="83787"/>
    <n v="121502"/>
    <n v="3142"/>
    <n v="149037"/>
    <n v="7237"/>
    <n v="369"/>
    <n v="31683"/>
    <n v="42874"/>
    <n v="61075"/>
    <n v="3630"/>
    <n v="1148"/>
    <n v="459"/>
    <n v="212414"/>
    <n v="3444"/>
    <n v="87"/>
    <n v="39594"/>
    <n v="4512"/>
    <n v="9219"/>
    <n v="778387"/>
    <n v="180844"/>
    <n v="72580"/>
    <n v="143830"/>
    <n v="70055"/>
    <n v="141682"/>
    <n v="79645"/>
    <n v="111337"/>
  </r>
  <r>
    <x v="4"/>
    <s v="Aug-18"/>
    <n v="106268"/>
    <n v="146249"/>
    <n v="4102"/>
    <n v="185084"/>
    <n v="12436"/>
    <n v="696"/>
    <n v="39088"/>
    <n v="53263"/>
    <n v="81388"/>
    <n v="4120"/>
    <n v="1437"/>
    <n v="613"/>
    <n v="267302"/>
    <n v="4207"/>
    <n v="40457"/>
    <n v="53668"/>
    <n v="5596"/>
    <n v="9424"/>
    <n v="938641"/>
    <n v="219111"/>
    <n v="88885"/>
    <n v="163782"/>
    <n v="84995"/>
    <n v="170617"/>
    <n v="94822"/>
    <n v="132218"/>
  </r>
  <r>
    <x v="4"/>
    <s v="Sep-18"/>
    <n v="243742"/>
    <n v="195603"/>
    <n v="5095"/>
    <n v="214946"/>
    <n v="27189"/>
    <n v="805"/>
    <n v="46938"/>
    <n v="64456"/>
    <n v="100590"/>
    <n v="4707"/>
    <n v="1728"/>
    <n v="827"/>
    <n v="322189"/>
    <n v="5842"/>
    <n v="44695"/>
    <n v="58432"/>
    <n v="7786"/>
    <n v="9945"/>
    <n v="1141586"/>
    <n v="255432"/>
    <n v="104840"/>
    <n v="229246"/>
    <n v="100631"/>
    <n v="188291"/>
    <n v="119217"/>
    <n v="162629"/>
  </r>
  <r>
    <x v="4"/>
    <s v="Oct-18"/>
    <n v="270390"/>
    <n v="229091"/>
    <n v="6143"/>
    <n v="262897"/>
    <n v="12974"/>
    <n v="931"/>
    <n v="54662"/>
    <n v="75919"/>
    <n v="118694"/>
    <n v="5370"/>
    <n v="2019"/>
    <n v="901"/>
    <n v="377076"/>
    <n v="7269"/>
    <n v="49368"/>
    <n v="71079"/>
    <n v="9080"/>
    <n v="10101"/>
    <n v="1279494"/>
    <n v="292093"/>
    <n v="122130"/>
    <n v="243854"/>
    <n v="115531"/>
    <n v="208421"/>
    <n v="124740"/>
    <n v="177099"/>
  </r>
  <r>
    <x v="4"/>
    <s v="Nov-18"/>
    <n v="291254"/>
    <n v="250412"/>
    <n v="7225"/>
    <n v="297295"/>
    <n v="22011"/>
    <n v="1007"/>
    <n v="62598"/>
    <n v="86788"/>
    <n v="138123"/>
    <n v="5630"/>
    <n v="2342"/>
    <n v="1053"/>
    <n v="431963"/>
    <n v="7871"/>
    <n v="55253"/>
    <n v="75513"/>
    <n v="10467"/>
    <n v="15810"/>
    <n v="1421778"/>
    <n v="348233"/>
    <n v="138281"/>
    <n v="260223"/>
    <n v="130079"/>
    <n v="219046"/>
    <n v="134787"/>
    <n v="191430"/>
  </r>
  <r>
    <x v="4"/>
    <s v="Dec-18"/>
    <n v="427481"/>
    <n v="302164"/>
    <n v="8101"/>
    <n v="340370"/>
    <n v="12643"/>
    <n v="1592"/>
    <n v="70298"/>
    <n v="97047"/>
    <n v="156354"/>
    <n v="5767"/>
    <n v="2634"/>
    <n v="1267"/>
    <n v="486851"/>
    <n v="9218"/>
    <n v="58994"/>
    <n v="79499"/>
    <n v="12317"/>
    <n v="34215"/>
    <n v="1620211"/>
    <n v="421193"/>
    <n v="153652"/>
    <n v="287474"/>
    <n v="144472"/>
    <n v="244977"/>
    <n v="151018"/>
    <n v="211822"/>
  </r>
  <r>
    <x v="4"/>
    <s v="Jan-19"/>
    <n v="454689"/>
    <n v="329660"/>
    <n v="8914"/>
    <n v="375436"/>
    <n v="22154"/>
    <n v="1718"/>
    <n v="78733"/>
    <n v="107501"/>
    <n v="174620"/>
    <n v="6031"/>
    <n v="2927"/>
    <n v="1357"/>
    <n v="541738"/>
    <n v="9831"/>
    <n v="62443"/>
    <n v="89852"/>
    <n v="13717"/>
    <n v="35606"/>
    <n v="1771851"/>
    <n v="463325"/>
    <n v="169331"/>
    <n v="331611"/>
    <n v="156116"/>
    <n v="259900"/>
    <n v="157820"/>
    <n v="229731"/>
  </r>
  <r>
    <x v="4"/>
    <s v="Feb-19"/>
    <n v="475365"/>
    <n v="360448"/>
    <n v="9844"/>
    <n v="411344"/>
    <n v="26607"/>
    <n v="1823"/>
    <n v="86906"/>
    <n v="116689"/>
    <n v="193274"/>
    <n v="6557"/>
    <n v="3253"/>
    <n v="1520"/>
    <n v="596667"/>
    <n v="10848"/>
    <n v="65974"/>
    <n v="94933"/>
    <n v="15042"/>
    <n v="56620"/>
    <n v="1915303"/>
    <n v="501160"/>
    <n v="185322"/>
    <n v="370236"/>
    <n v="162201"/>
    <n v="263868"/>
    <n v="176996"/>
    <n v="273536"/>
  </r>
  <r>
    <x v="4"/>
    <s v="Mar-19"/>
    <n v="663572"/>
    <n v="461652"/>
    <n v="11527"/>
    <n v="457534"/>
    <n v="28944"/>
    <n v="2779"/>
    <n v="95081"/>
    <n v="117813"/>
    <n v="230992"/>
    <n v="6904"/>
    <n v="3667"/>
    <n v="1800"/>
    <n v="761454"/>
    <n v="12167"/>
    <n v="113427"/>
    <n v="110206"/>
    <n v="17957"/>
    <n v="94727"/>
    <n v="2008024"/>
    <n v="582648"/>
    <n v="195572"/>
    <n v="375997"/>
    <n v="160212"/>
    <n v="196496"/>
    <n v="191220"/>
    <n v="307089"/>
  </r>
  <r>
    <x v="5"/>
    <s v="Apr-19"/>
    <n v="12376"/>
    <n v="39716"/>
    <n v="282"/>
    <n v="46848"/>
    <n v="-564"/>
    <n v="171"/>
    <n v="8874"/>
    <n v="13105"/>
    <n v="-114"/>
    <n v="219"/>
    <n v="277"/>
    <n v="9"/>
    <n v="49544"/>
    <n v="1489"/>
    <n v="35"/>
    <n v="21769"/>
    <n v="350"/>
    <n v="2351"/>
    <n v="224091"/>
    <n v="19557"/>
    <n v="24973"/>
    <n v="24514"/>
    <n v="34739"/>
    <n v="68974"/>
    <n v="17560"/>
    <n v="30588"/>
  </r>
  <r>
    <x v="5"/>
    <s v="May-19"/>
    <n v="1126"/>
    <n v="60556"/>
    <n v="1172"/>
    <n v="81405"/>
    <n v="6631"/>
    <n v="325"/>
    <n v="16587"/>
    <n v="28229"/>
    <n v="17333"/>
    <n v="541"/>
    <n v="674"/>
    <n v="152"/>
    <n v="99087"/>
    <n v="2175"/>
    <n v="35"/>
    <n v="26213"/>
    <n v="712"/>
    <n v="2355"/>
    <n v="465284"/>
    <n v="74804"/>
    <n v="43462"/>
    <n v="66019"/>
    <n v="53964"/>
    <n v="115059"/>
    <n v="30023"/>
    <n v="47703"/>
  </r>
  <r>
    <x v="5"/>
    <s v="Jun-19"/>
    <n v="70640"/>
    <n v="96927"/>
    <n v="2261"/>
    <n v="116805"/>
    <n v="10670"/>
    <n v="513"/>
    <n v="24613"/>
    <n v="39480"/>
    <n v="36951"/>
    <n v="648"/>
    <n v="913"/>
    <n v="379"/>
    <n v="148631"/>
    <n v="3259"/>
    <n v="283"/>
    <n v="29933"/>
    <n v="2407"/>
    <n v="2357"/>
    <n v="658705"/>
    <n v="141755"/>
    <n v="58790"/>
    <n v="97932"/>
    <n v="57184"/>
    <n v="151824"/>
    <n v="45753"/>
    <n v="63000"/>
  </r>
  <r>
    <x v="5"/>
    <s v="Jul-19"/>
    <n v="88381"/>
    <n v="128752"/>
    <n v="3096"/>
    <n v="140900"/>
    <n v="35920"/>
    <n v="710"/>
    <n v="32796"/>
    <n v="51719"/>
    <n v="54844"/>
    <n v="719"/>
    <n v="1231"/>
    <n v="451"/>
    <n v="199912"/>
    <n v="4127"/>
    <n v="278"/>
    <n v="39500"/>
    <n v="4705"/>
    <n v="12358"/>
    <n v="839673"/>
    <n v="183524"/>
    <n v="75895"/>
    <n v="142075"/>
    <n v="67000"/>
    <n v="169660"/>
    <n v="58191"/>
    <n v="107605"/>
  </r>
  <r>
    <x v="5"/>
    <s v="Aug-19"/>
    <n v="111166"/>
    <n v="165500"/>
    <n v="4066"/>
    <n v="209445"/>
    <n v="-10178"/>
    <n v="827"/>
    <n v="39618"/>
    <n v="62031"/>
    <n v="76032"/>
    <n v="672"/>
    <n v="1595"/>
    <n v="589"/>
    <n v="255605"/>
    <n v="5021"/>
    <n v="149859"/>
    <n v="43741"/>
    <n v="5902"/>
    <n v="12358"/>
    <n v="1039125"/>
    <n v="219026"/>
    <n v="93595"/>
    <n v="183811"/>
    <n v="105835"/>
    <n v="189527"/>
    <n v="82399"/>
    <n v="136176"/>
  </r>
  <r>
    <x v="5"/>
    <s v="Sep-19"/>
    <n v="249327"/>
    <n v="213004"/>
    <n v="5038"/>
    <n v="247577"/>
    <n v="-13828"/>
    <n v="1309"/>
    <n v="46766"/>
    <n v="71838"/>
    <n v="95930"/>
    <n v="642"/>
    <n v="1867"/>
    <n v="823"/>
    <n v="311218"/>
    <n v="6479"/>
    <n v="154798"/>
    <n v="47761"/>
    <n v="8239"/>
    <n v="12359"/>
    <n v="1301082"/>
    <n v="270696"/>
    <n v="110931"/>
    <n v="267424"/>
    <n v="121112"/>
    <n v="211388"/>
    <n v="105374"/>
    <n v="187537"/>
  </r>
  <r>
    <x v="5"/>
    <s v="Oct-19"/>
    <n v="272756"/>
    <n v="244394"/>
    <n v="6054"/>
    <n v="284712"/>
    <n v="5745"/>
    <n v="1499"/>
    <n v="55467"/>
    <n v="64459"/>
    <n v="113951"/>
    <n v="508"/>
    <n v="2259"/>
    <n v="1447"/>
    <n v="366871"/>
    <n v="6685"/>
    <n v="157879"/>
    <n v="59584"/>
    <n v="9461"/>
    <n v="17365"/>
    <n v="1453632"/>
    <n v="289565"/>
    <n v="129820"/>
    <n v="308479"/>
    <n v="135102"/>
    <n v="226724"/>
    <n v="117770"/>
    <n v="201273"/>
  </r>
  <r>
    <x v="5"/>
    <s v="Nov-19"/>
    <n v="288602"/>
    <n v="267929"/>
    <n v="7054"/>
    <n v="328366"/>
    <n v="5992"/>
    <n v="1696"/>
    <n v="62586"/>
    <n v="75933"/>
    <n v="132899"/>
    <n v="532"/>
    <n v="2554"/>
    <n v="1679"/>
    <n v="421850"/>
    <n v="7539"/>
    <n v="158385"/>
    <n v="66676"/>
    <n v="10910"/>
    <n v="18099"/>
    <n v="1606215"/>
    <n v="341812"/>
    <n v="145450"/>
    <n v="332099"/>
    <n v="150825"/>
    <n v="235015"/>
    <n v="129218"/>
    <n v="213842"/>
  </r>
  <r>
    <x v="5"/>
    <s v="Dec-19"/>
    <n v="369533"/>
    <n v="317652"/>
    <n v="8141"/>
    <n v="368838"/>
    <n v="4168"/>
    <n v="1866"/>
    <n v="70499"/>
    <n v="85154"/>
    <n v="153199"/>
    <n v="1074"/>
    <n v="2911"/>
    <n v="1978"/>
    <n v="476113"/>
    <n v="8620"/>
    <n v="161979"/>
    <n v="71354"/>
    <n v="12925"/>
    <n v="18100"/>
    <n v="1854125"/>
    <n v="424314"/>
    <n v="162106"/>
    <n v="401585"/>
    <n v="160656"/>
    <n v="252038"/>
    <n v="142945"/>
    <n v="255522"/>
  </r>
  <r>
    <x v="5"/>
    <s v="Jan-20"/>
    <n v="393249"/>
    <n v="352427"/>
    <n v="9031"/>
    <n v="412620"/>
    <n v="6296"/>
    <n v="2023"/>
    <n v="78858"/>
    <n v="95760"/>
    <n v="174528"/>
    <n v="2832"/>
    <n v="3317"/>
    <n v="2169"/>
    <n v="530735"/>
    <n v="9386"/>
    <n v="162226"/>
    <n v="80471"/>
    <n v="14386"/>
    <n v="18351"/>
    <n v="2000595"/>
    <n v="471916"/>
    <n v="178460"/>
    <n v="418070"/>
    <n v="174294"/>
    <n v="262978"/>
    <n v="152505"/>
    <n v="267734"/>
  </r>
  <r>
    <x v="5"/>
    <s v="Feb-20"/>
    <n v="418554"/>
    <n v="388299"/>
    <n v="10142"/>
    <n v="453911"/>
    <n v="6849"/>
    <n v="2182"/>
    <n v="87462"/>
    <n v="104972"/>
    <n v="196855"/>
    <n v="4866"/>
    <n v="3695"/>
    <n v="2431"/>
    <n v="560720"/>
    <n v="10197"/>
    <n v="164531"/>
    <n v="88413"/>
    <n v="15849"/>
    <n v="35243"/>
    <n v="2160701"/>
    <n v="512984"/>
    <n v="196546"/>
    <n v="469999"/>
    <n v="182540"/>
    <n v="265781"/>
    <n v="168827"/>
    <n v="304653"/>
  </r>
  <r>
    <x v="5"/>
    <s v="Mar-20"/>
    <n v="556876"/>
    <n v="480341"/>
    <n v="12374"/>
    <n v="494070"/>
    <n v="9204"/>
    <n v="2629"/>
    <n v="95551"/>
    <n v="109171"/>
    <n v="239599"/>
    <n v="6043"/>
    <n v="4024"/>
    <n v="3319"/>
    <n v="650677"/>
    <n v="11627"/>
    <n v="186142"/>
    <n v="128452"/>
    <n v="18316"/>
    <n v="50304"/>
    <n v="2349618"/>
    <n v="611036"/>
    <n v="207542"/>
    <n v="512050"/>
    <n v="183637"/>
    <n v="223213"/>
    <n v="187372"/>
    <n v="336744"/>
  </r>
  <r>
    <x v="6"/>
    <s v="Apr-20"/>
    <n v="19514"/>
    <n v="26978"/>
    <n v="369"/>
    <n v="5934"/>
    <n v="9749"/>
    <n v="34"/>
    <n v="990"/>
    <n v="3934"/>
    <n v="80"/>
    <n v="-106"/>
    <n v="81"/>
    <n v="106"/>
    <n v="46039"/>
    <n v="294"/>
    <n v="2"/>
    <n v="5475"/>
    <n v="365"/>
    <n v="0"/>
    <n v="278754"/>
    <n v="26696"/>
    <n v="22886"/>
    <n v="68821"/>
    <n v="29816"/>
    <n v="44069"/>
    <n v="25619"/>
    <n v="28306"/>
  </r>
  <r>
    <x v="6"/>
    <s v="May-20"/>
    <n v="16981"/>
    <n v="35726"/>
    <n v="1386"/>
    <n v="24895"/>
    <n v="19392"/>
    <n v="141"/>
    <n v="7010"/>
    <n v="9567"/>
    <n v="10956"/>
    <n v="-171"/>
    <n v="227"/>
    <n v="183"/>
    <n v="92077"/>
    <n v="610"/>
    <n v="2154"/>
    <n v="8053"/>
    <n v="831"/>
    <n v="0"/>
    <n v="456635"/>
    <n v="78265"/>
    <n v="37395"/>
    <n v="96549"/>
    <n v="41589"/>
    <n v="67469"/>
    <n v="36845"/>
    <n v="55206"/>
  </r>
  <r>
    <x v="6"/>
    <s v="Jun-20"/>
    <n v="54212"/>
    <n v="62123"/>
    <n v="2568"/>
    <n v="55047"/>
    <n v="29064"/>
    <n v="295"/>
    <n v="14482"/>
    <n v="15416"/>
    <n v="35347"/>
    <n v="754"/>
    <n v="378"/>
    <n v="821"/>
    <n v="134043"/>
    <n v="1629"/>
    <n v="2349"/>
    <n v="11208"/>
    <n v="3573"/>
    <n v="0"/>
    <n v="727671"/>
    <n v="160493"/>
    <n v="53968"/>
    <n v="171682"/>
    <n v="65705"/>
    <n v="78964"/>
    <n v="59765"/>
    <n v="88273"/>
  </r>
  <r>
    <x v="6"/>
    <s v="Jul-20"/>
    <n v="53724"/>
    <n v="91244"/>
    <n v="4133"/>
    <n v="92949"/>
    <n v="23038"/>
    <n v="519"/>
    <n v="21298"/>
    <n v="23747"/>
    <n v="67895"/>
    <n v="740"/>
    <n v="713"/>
    <n v="1203"/>
    <n v="176009"/>
    <n v="2819"/>
    <n v="2420"/>
    <n v="19375"/>
    <n v="5455"/>
    <n v="3"/>
    <n v="942360"/>
    <n v="198584"/>
    <n v="70789"/>
    <n v="229308"/>
    <n v="82554"/>
    <n v="104638"/>
    <n v="78661"/>
    <n v="111849"/>
  </r>
  <r>
    <x v="6"/>
    <s v="Aug-20"/>
    <n v="64715"/>
    <n v="117738"/>
    <n v="4860"/>
    <n v="125308"/>
    <n v="28236"/>
    <n v="710"/>
    <n v="28154"/>
    <n v="32302"/>
    <n v="100398"/>
    <n v="793"/>
    <n v="986"/>
    <n v="1729"/>
    <n v="217976"/>
    <n v="4070"/>
    <n v="59578"/>
    <n v="22499"/>
    <n v="6635"/>
    <n v="29"/>
    <n v="1113206"/>
    <n v="237662"/>
    <n v="86720"/>
    <n v="255394"/>
    <n v="97547"/>
    <n v="130700"/>
    <n v="94140"/>
    <n v="134447"/>
  </r>
  <r>
    <x v="6"/>
    <s v="Sep-20"/>
    <n v="150464"/>
    <n v="166489"/>
    <n v="6332"/>
    <n v="162479"/>
    <n v="27946"/>
    <n v="953"/>
    <n v="34964"/>
    <n v="40347"/>
    <n v="128753"/>
    <n v="916"/>
    <n v="1253"/>
    <n v="2447"/>
    <n v="259941"/>
    <n v="5749"/>
    <n v="59951"/>
    <n v="26574"/>
    <n v="8854"/>
    <n v="5781"/>
    <n v="1313574"/>
    <n v="305652"/>
    <n v="103220"/>
    <n v="281336"/>
    <n v="111231"/>
    <n v="156210"/>
    <n v="106282"/>
    <n v="165836"/>
  </r>
  <r>
    <x v="6"/>
    <s v="Oct-20"/>
    <n v="172735"/>
    <n v="203101"/>
    <n v="8497"/>
    <n v="205380"/>
    <n v="28138"/>
    <n v="1089"/>
    <n v="42804"/>
    <n v="50519"/>
    <n v="160639"/>
    <n v="997"/>
    <n v="1692"/>
    <n v="2720"/>
    <n v="297174"/>
    <n v="8138"/>
    <n v="67082"/>
    <n v="40986"/>
    <n v="10218"/>
    <n v="6179"/>
    <n v="1464099"/>
    <n v="333456"/>
    <n v="120058"/>
    <n v="297433"/>
    <n v="128037"/>
    <n v="185400"/>
    <n v="120877"/>
    <n v="197355"/>
  </r>
  <r>
    <x v="6"/>
    <s v="Nov-20"/>
    <n v="185699"/>
    <n v="235038"/>
    <n v="9776"/>
    <n v="245183"/>
    <n v="35750"/>
    <n v="1221"/>
    <n v="50833"/>
    <n v="63050"/>
    <n v="196342"/>
    <n v="1059"/>
    <n v="2104"/>
    <n v="3218"/>
    <n v="334407"/>
    <n v="9568"/>
    <n v="70614"/>
    <n v="44098"/>
    <n v="11962"/>
    <n v="6179"/>
    <n v="1665200"/>
    <n v="383425"/>
    <n v="135880"/>
    <n v="356808"/>
    <n v="141461"/>
    <n v="202119"/>
    <n v="136412"/>
    <n v="241158"/>
  </r>
  <r>
    <x v="6"/>
    <s v="Dec-20"/>
    <n v="312532"/>
    <n v="297806"/>
    <n v="11443"/>
    <n v="288223"/>
    <n v="48158"/>
    <n v="1365"/>
    <n v="59081"/>
    <n v="79598"/>
    <n v="235993"/>
    <n v="1183"/>
    <n v="2744"/>
    <n v="4087"/>
    <n v="371640"/>
    <n v="11267"/>
    <n v="70848"/>
    <n v="44066"/>
    <n v="14202"/>
    <n v="18896"/>
    <n v="1971173"/>
    <n v="472171"/>
    <n v="153857"/>
    <n v="439785"/>
    <n v="159146"/>
    <n v="227352"/>
    <n v="155707"/>
    <n v="308974"/>
  </r>
  <r>
    <x v="6"/>
    <s v="Jan-21"/>
    <n v="334485"/>
    <n v="333173"/>
    <n v="13115"/>
    <n v="332889"/>
    <n v="54927"/>
    <n v="1689"/>
    <n v="67413"/>
    <n v="97511"/>
    <n v="275474"/>
    <n v="1285"/>
    <n v="3139"/>
    <n v="4372"/>
    <n v="408873"/>
    <n v="12662"/>
    <n v="74371"/>
    <n v="54071"/>
    <n v="15804"/>
    <n v="24551"/>
    <n v="2155210"/>
    <n v="519597"/>
    <n v="171692"/>
    <n v="476409"/>
    <n v="175714"/>
    <n v="252656"/>
    <n v="169400"/>
    <n v="362108"/>
  </r>
  <r>
    <x v="6"/>
    <s v="Feb-21"/>
    <n v="350582"/>
    <n v="372043"/>
    <n v="14902"/>
    <n v="399530"/>
    <n v="17619"/>
    <n v="2099"/>
    <n v="76762"/>
    <n v="112752"/>
    <n v="314140"/>
    <n v="1338"/>
    <n v="3536"/>
    <n v="5063"/>
    <n v="444154"/>
    <n v="13917"/>
    <n v="81986"/>
    <n v="58283"/>
    <n v="17156"/>
    <n v="25668"/>
    <n v="2413375"/>
    <n v="559483"/>
    <n v="190547"/>
    <n v="509709"/>
    <n v="192253"/>
    <n v="365570"/>
    <n v="183926"/>
    <n v="405268"/>
  </r>
  <r>
    <x v="6"/>
    <s v="Mar-21"/>
    <n v="457719"/>
    <n v="470633"/>
    <n v="16927"/>
    <n v="456334"/>
    <n v="7252"/>
    <n v="2764"/>
    <n v="85192"/>
    <n v="134750"/>
    <n v="389667"/>
    <n v="1615"/>
    <n v="4251"/>
    <n v="5820"/>
    <n v="594997"/>
    <n v="17124"/>
    <n v="96889"/>
    <n v="93619"/>
    <n v="19729"/>
    <n v="37897"/>
    <n v="3084258"/>
    <n v="679869"/>
    <n v="205789"/>
    <n v="576881"/>
    <n v="208473"/>
    <n v="707130"/>
    <n v="222391"/>
    <n v="425578"/>
  </r>
  <r>
    <x v="7"/>
    <s v="Apr-21"/>
    <n v="32375"/>
    <n v="47673"/>
    <n v="1864"/>
    <n v="55458"/>
    <n v="4787"/>
    <n v="161"/>
    <n v="9187"/>
    <n v="17906"/>
    <n v="154"/>
    <n v="55"/>
    <n v="502"/>
    <n v="136"/>
    <n v="39175"/>
    <n v="7009"/>
    <n v="236"/>
    <n v="9563"/>
    <n v="372"/>
    <n v="0"/>
    <n v="179564"/>
    <n v="29671"/>
    <n v="23688"/>
    <n v="26447"/>
    <n v="11560"/>
    <n v="37369"/>
    <n v="5644"/>
    <n v="47126"/>
  </r>
  <r>
    <x v="7"/>
    <s v="May-21"/>
    <n v="43454"/>
    <n v="75381"/>
    <n v="3491"/>
    <n v="83750"/>
    <n v="20128"/>
    <n v="325"/>
    <n v="18073"/>
    <n v="30190"/>
    <n v="36963"/>
    <n v="90"/>
    <n v="834"/>
    <n v="765"/>
    <n v="78349"/>
    <n v="2759"/>
    <n v="99628"/>
    <n v="14025"/>
    <n v="815"/>
    <n v="3995"/>
    <n v="415000"/>
    <n v="88573"/>
    <n v="39229"/>
    <n v="79704"/>
    <n v="31288"/>
    <n v="62664"/>
    <n v="25119"/>
    <n v="62961"/>
  </r>
  <r>
    <x v="7"/>
    <s v="Jun-21"/>
    <n v="123689"/>
    <n v="122692"/>
    <n v="5374"/>
    <n v="117446"/>
    <n v="26505"/>
    <n v="495"/>
    <n v="24638"/>
    <n v="41356"/>
    <n v="67907"/>
    <n v="162"/>
    <n v="1342"/>
    <n v="1402"/>
    <n v="117524"/>
    <n v="4669"/>
    <n v="101711"/>
    <n v="20937"/>
    <n v="3406"/>
    <n v="3996"/>
    <n v="710148"/>
    <n v="184295"/>
    <n v="59113"/>
    <n v="149296"/>
    <n v="47636"/>
    <n v="100090"/>
    <n v="54773"/>
    <n v="111496"/>
  </r>
  <r>
    <x v="7"/>
    <s v="Jul-21"/>
    <n v="145851"/>
    <n v="161221"/>
    <n v="7366"/>
    <n v="165347"/>
    <n v="22772"/>
    <n v="749"/>
    <n v="32168"/>
    <n v="57964"/>
    <n v="100387"/>
    <n v="73"/>
    <n v="1990"/>
    <n v="1635"/>
    <n v="165064"/>
    <n v="6550"/>
    <n v="101726"/>
    <n v="31684"/>
    <n v="5777"/>
    <n v="8371"/>
    <n v="876012"/>
    <n v="225817"/>
    <n v="79219"/>
    <n v="167493"/>
    <n v="63902"/>
    <n v="120069"/>
    <n v="68101"/>
    <n v="128428"/>
  </r>
  <r>
    <x v="7"/>
    <s v="Aug-21"/>
    <n v="168052"/>
    <n v="199383"/>
    <n v="9142"/>
    <n v="218673"/>
    <n v="6577"/>
    <n v="1038"/>
    <n v="40642"/>
    <n v="76225"/>
    <n v="137236"/>
    <n v="126"/>
    <n v="2486"/>
    <n v="2131"/>
    <n v="212606"/>
    <n v="8407"/>
    <n v="101942"/>
    <n v="38301"/>
    <n v="6808"/>
    <n v="8371"/>
    <n v="1104813"/>
    <n v="278371"/>
    <n v="98399"/>
    <n v="221658"/>
    <n v="78862"/>
    <n v="147398"/>
    <n v="87192"/>
    <n v="171868"/>
  </r>
  <r>
    <x v="7"/>
    <s v="Sep-21"/>
    <n v="308663"/>
    <n v="274172"/>
    <n v="10967"/>
    <n v="266052"/>
    <n v="5943"/>
    <n v="1260"/>
    <n v="49131"/>
    <n v="92653"/>
    <n v="171684"/>
    <n v="226"/>
    <n v="3057"/>
    <n v="2970"/>
    <n v="260146"/>
    <n v="10310"/>
    <n v="105920"/>
    <n v="44126"/>
    <n v="9003"/>
    <n v="9115"/>
    <n v="1396666"/>
    <n v="365207"/>
    <n v="123265"/>
    <n v="277995"/>
    <n v="98584"/>
    <n v="180959"/>
    <n v="110243"/>
    <n v="229351"/>
  </r>
  <r>
    <x v="7"/>
    <s v="Oct-21"/>
    <n v="330885"/>
    <n v="311292"/>
    <n v="13073"/>
    <n v="314598"/>
    <n v="14913"/>
    <n v="1400"/>
    <n v="57352"/>
    <n v="112279"/>
    <n v="204063"/>
    <n v="430"/>
    <n v="3816"/>
    <n v="3279"/>
    <n v="307687"/>
    <n v="12425"/>
    <n v="117823"/>
    <n v="76594"/>
    <n v="10358"/>
    <n v="9364"/>
    <n v="1573455"/>
    <n v="401187"/>
    <n v="142512"/>
    <n v="310155"/>
    <n v="115035"/>
    <n v="209916"/>
    <n v="119915"/>
    <n v="253270"/>
  </r>
  <r>
    <x v="7"/>
    <s v="Nov-21"/>
    <n v="353584"/>
    <n v="346086"/>
    <n v="15365"/>
    <n v="363836"/>
    <n v="22151"/>
    <n v="1518"/>
    <n v="66794"/>
    <n v="125782"/>
    <n v="241930"/>
    <n v="502"/>
    <n v="4372"/>
    <n v="3887"/>
    <n v="402769"/>
    <n v="13957"/>
    <n v="127909"/>
    <n v="81160"/>
    <n v="11339"/>
    <n v="9364"/>
    <n v="1800977"/>
    <n v="461773"/>
    <n v="160680"/>
    <n v="373771"/>
    <n v="127331"/>
    <n v="230607"/>
    <n v="132012"/>
    <n v="273630"/>
  </r>
  <r>
    <x v="7"/>
    <s v="Dec-21"/>
    <n v="520332"/>
    <n v="448102"/>
    <n v="17348"/>
    <n v="410063"/>
    <n v="36786"/>
    <n v="1772"/>
    <n v="75935"/>
    <n v="141080"/>
    <n v="271862"/>
    <n v="577"/>
    <n v="5138"/>
    <n v="4876"/>
    <n v="450310"/>
    <n v="16055"/>
    <n v="137068"/>
    <n v="106291"/>
    <n v="19105"/>
    <n v="9364"/>
    <n v="2129414"/>
    <n v="565864"/>
    <n v="179859"/>
    <n v="426909"/>
    <n v="146150"/>
    <n v="271374"/>
    <n v="157950"/>
    <n v="391644"/>
  </r>
  <r>
    <x v="7"/>
    <s v="Jan-22"/>
    <n v="547725"/>
    <n v="494254"/>
    <n v="19219"/>
    <n v="479725"/>
    <n v="8868"/>
    <n v="2204"/>
    <n v="85400"/>
    <n v="152599"/>
    <n v="301746"/>
    <n v="653"/>
    <n v="5787"/>
    <n v="5352"/>
    <n v="545392"/>
    <n v="18170"/>
    <n v="141753"/>
    <n v="131562"/>
    <n v="20527"/>
    <n v="12068"/>
    <n v="2367698"/>
    <n v="616076"/>
    <n v="198220"/>
    <n v="468740"/>
    <n v="166517"/>
    <n v="327703"/>
    <n v="167675"/>
    <n v="441686"/>
  </r>
  <r>
    <x v="7"/>
    <s v="Feb-22"/>
    <n v="565628"/>
    <n v="542054"/>
    <n v="21237"/>
    <n v="527894"/>
    <n v="16771"/>
    <n v="2363"/>
    <n v="95500"/>
    <n v="165244"/>
    <n v="331155"/>
    <n v="691"/>
    <n v="6256"/>
    <n v="6085"/>
    <n v="787822"/>
    <n v="20176"/>
    <n v="146600"/>
    <n v="143355"/>
    <n v="22749"/>
    <n v="13514"/>
    <n v="2658694"/>
    <n v="671951"/>
    <n v="216911"/>
    <n v="501935"/>
    <n v="179716"/>
    <n v="382161"/>
    <n v="186954"/>
    <n v="485181"/>
  </r>
  <r>
    <x v="7"/>
    <s v="Mar-22"/>
    <n v="712037"/>
    <n v="673414"/>
    <n v="23191"/>
    <n v="591226"/>
    <n v="2119"/>
    <n v="3991"/>
    <n v="104769"/>
    <n v="199728"/>
    <n v="390808"/>
    <n v="1012"/>
    <n v="7020"/>
    <n v="6130"/>
    <n v="898391"/>
    <n v="21888"/>
    <n v="160653"/>
    <n v="182571"/>
    <n v="24737"/>
    <n v="14638"/>
    <n v="3201672"/>
    <n v="805499"/>
    <n v="228559"/>
    <n v="616141"/>
    <n v="198946"/>
    <n v="446147"/>
    <n v="242646"/>
    <n v="592128"/>
  </r>
  <r>
    <x v="8"/>
    <s v="Apr-22"/>
    <n v="56720"/>
    <n v="76088"/>
    <n v="2340"/>
    <n v="64093"/>
    <n v="11345"/>
    <n v="162"/>
    <n v="10435"/>
    <n v="10372"/>
    <n v="96"/>
    <n v="86"/>
    <n v="529"/>
    <n v="117"/>
    <n v="47592"/>
    <n v="630"/>
    <n v="300"/>
    <n v="11008"/>
    <n v="429"/>
    <n v="3059"/>
    <n v="195904"/>
    <n v="41288"/>
    <n v="29865"/>
    <n v="18863"/>
    <n v="14915"/>
    <n v="10151"/>
    <n v="4929"/>
    <n v="78925"/>
  </r>
  <r>
    <x v="8"/>
    <s v="May-22"/>
    <n v="78525"/>
    <n v="113029"/>
    <n v="4385"/>
    <n v="113969"/>
    <n v="16086"/>
    <n v="406"/>
    <n v="20634"/>
    <n v="24509"/>
    <n v="30826"/>
    <n v="168"/>
    <n v="985"/>
    <n v="750"/>
    <n v="95183"/>
    <n v="2666"/>
    <n v="30715"/>
    <n v="15870"/>
    <n v="966"/>
    <n v="24047"/>
    <n v="478700"/>
    <n v="105422"/>
    <n v="53864"/>
    <n v="119984"/>
    <n v="36017"/>
    <n v="35809"/>
    <n v="18767"/>
    <n v="107074"/>
  </r>
  <r>
    <x v="8"/>
    <s v="Jun-22"/>
    <n v="160822"/>
    <n v="172661"/>
    <n v="6395"/>
    <n v="179392"/>
    <n v="-310"/>
    <n v="665"/>
    <n v="31383"/>
    <n v="36467"/>
    <n v="61228"/>
    <n v="203"/>
    <n v="1583"/>
    <n v="1816"/>
    <n v="142775"/>
    <n v="5057"/>
    <n v="34703"/>
    <n v="22400"/>
    <n v="3423"/>
    <n v="24559"/>
    <n v="772847"/>
    <n v="228595"/>
    <n v="74042"/>
    <n v="167610"/>
    <n v="53313"/>
    <n v="67980"/>
    <n v="52041"/>
    <n v="175064"/>
  </r>
  <r>
    <x v="8"/>
    <s v="Jul-22"/>
    <n v="196476"/>
    <n v="241786"/>
    <n v="8107"/>
    <n v="234749"/>
    <n v="6588"/>
    <n v="820"/>
    <n v="42037"/>
    <n v="51010"/>
    <n v="85147"/>
    <n v="262"/>
    <n v="2479"/>
    <n v="2141"/>
    <n v="201108"/>
    <n v="7489"/>
    <n v="42266"/>
    <n v="39828"/>
    <n v="5559"/>
    <n v="24560"/>
    <n v="918075"/>
    <n v="283870"/>
    <n v="94029"/>
    <n v="128827"/>
    <n v="72081"/>
    <n v="109707"/>
    <n v="68910"/>
    <n v="208670"/>
  </r>
  <r>
    <x v="8"/>
    <s v="Aug-22"/>
    <n v="207635"/>
    <n v="265599"/>
    <n v="9823"/>
    <n v="286660"/>
    <n v="15526"/>
    <n v="969"/>
    <n v="51926"/>
    <n v="65325"/>
    <n v="113963"/>
    <n v="108"/>
    <n v="3055"/>
    <n v="2722"/>
    <n v="317773"/>
    <n v="10071"/>
    <n v="42676"/>
    <n v="64057"/>
    <n v="6967"/>
    <n v="24560"/>
    <n v="1137698"/>
    <n v="338637"/>
    <n v="112142"/>
    <n v="161633"/>
    <n v="91501"/>
    <n v="136452"/>
    <n v="93605"/>
    <n v="252328"/>
  </r>
  <r>
    <x v="8"/>
    <s v="Sep-22"/>
    <n v="375308"/>
    <n v="344548"/>
    <n v="11827"/>
    <n v="341349"/>
    <n v="25490"/>
    <n v="1375"/>
    <n v="61893"/>
    <n v="86267"/>
    <n v="139874"/>
    <n v="201"/>
    <n v="3674"/>
    <n v="3739"/>
    <n v="376106"/>
    <n v="12484"/>
    <n v="53065"/>
    <n v="92051"/>
    <n v="9597"/>
    <n v="24590"/>
    <n v="1480708"/>
    <n v="436682"/>
    <n v="129733"/>
    <n v="222852"/>
    <n v="112208"/>
    <n v="198879"/>
    <n v="130571"/>
    <n v="342889"/>
  </r>
  <r>
    <x v="8"/>
    <s v="Oct-22"/>
    <n v="410587"/>
    <n v="397605"/>
    <n v="14261"/>
    <n v="413568"/>
    <n v="6116"/>
    <n v="1970"/>
    <n v="72174"/>
    <n v="122926"/>
    <n v="165652"/>
    <n v="278"/>
    <n v="4468"/>
    <n v="4063"/>
    <n v="434439"/>
    <n v="14146"/>
    <n v="58176"/>
    <n v="106457"/>
    <n v="11102"/>
    <n v="24590"/>
    <n v="1734697"/>
    <n v="481172"/>
    <n v="148204"/>
    <n v="290651"/>
    <n v="132573"/>
    <n v="238909"/>
    <n v="145621"/>
    <n v="409014"/>
  </r>
  <r>
    <x v="8"/>
    <s v="Nov-22"/>
    <n v="428226"/>
    <n v="438622"/>
    <n v="16032"/>
    <n v="471416"/>
    <n v="3536"/>
    <n v="2485"/>
    <n v="82497"/>
    <n v="141393"/>
    <n v="191251"/>
    <n v="408"/>
    <n v="4788"/>
    <n v="4716"/>
    <n v="551105"/>
    <n v="16632"/>
    <n v="68254"/>
    <n v="113433"/>
    <n v="13052"/>
    <n v="28429"/>
    <n v="1995674"/>
    <n v="545199"/>
    <n v="164210"/>
    <n v="341660"/>
    <n v="147766"/>
    <n v="301083"/>
    <n v="159277"/>
    <n v="447113"/>
  </r>
  <r>
    <x v="8"/>
    <s v="Dec-22"/>
    <n v="608168"/>
    <n v="534108"/>
    <n v="18104"/>
    <n v="532194"/>
    <n v="142"/>
    <n v="2717"/>
    <n v="93408"/>
    <n v="158507"/>
    <n v="217825"/>
    <n v="139"/>
    <n v="5386"/>
    <n v="5569"/>
    <n v="609437"/>
    <n v="18870"/>
    <n v="76362"/>
    <n v="119070"/>
    <n v="16435"/>
    <n v="38671"/>
    <n v="2328132"/>
    <n v="680853"/>
    <n v="184962"/>
    <n v="387918"/>
    <n v="168439"/>
    <n v="350524"/>
    <n v="185533"/>
    <n v="489944"/>
  </r>
  <r>
    <x v="8"/>
    <s v="Jan-23"/>
    <n v="629013"/>
    <n v="587615"/>
    <n v="19527"/>
    <n v="597365"/>
    <n v="-1529"/>
    <n v="2955"/>
    <n v="103835"/>
    <n v="173375"/>
    <n v="243608"/>
    <n v="189"/>
    <n v="6724"/>
    <n v="6197"/>
    <n v="667770"/>
    <n v="20357"/>
    <n v="77303"/>
    <n v="133279"/>
    <n v="18523"/>
    <n v="38671"/>
    <n v="2597756"/>
    <n v="738658"/>
    <n v="212340"/>
    <n v="423054"/>
    <n v="189100"/>
    <n v="399400"/>
    <n v="204418"/>
    <n v="569892"/>
  </r>
  <r>
    <x v="8"/>
    <s v="Feb-23"/>
    <n v="641844"/>
    <n v="645554"/>
    <n v="21480"/>
    <n v="657440"/>
    <n v="-3817"/>
    <n v="3349"/>
    <n v="115636"/>
    <n v="188973"/>
    <n v="269493"/>
    <n v="302"/>
    <n v="7047"/>
    <n v="7020"/>
    <n v="808088"/>
    <n v="23139"/>
    <n v="84220"/>
    <n v="141276"/>
    <n v="20229"/>
    <n v="38671"/>
    <n v="2903363"/>
    <n v="798957"/>
    <n v="236452"/>
    <n v="489099"/>
    <n v="205827"/>
    <n v="459547"/>
    <n v="235030"/>
    <n v="590227"/>
  </r>
  <r>
    <x v="8"/>
    <s v="Mar-23"/>
    <n v="825834"/>
    <n v="808221"/>
    <n v="25085"/>
    <n v="718522"/>
    <n v="4748"/>
    <n v="4768"/>
    <n v="125862"/>
    <n v="213371"/>
    <n v="319000"/>
    <n v="431"/>
    <n v="8349"/>
    <n v="8000"/>
    <n v="948406"/>
    <n v="27865"/>
    <n v="99922"/>
    <n v="157634"/>
    <n v="26161"/>
    <n v="46035"/>
    <n v="3453638"/>
    <n v="928517"/>
    <n v="256183"/>
    <n v="651648"/>
    <n v="241599"/>
    <n v="530959"/>
    <n v="306264"/>
    <n v="739519"/>
  </r>
  <r>
    <x v="9"/>
    <s v="Apr-23"/>
    <n v="38571"/>
    <n v="82035"/>
    <n v="406"/>
    <n v="80902"/>
    <n v="-9304"/>
    <n v="308"/>
    <n v="11861"/>
    <n v="11749"/>
    <n v="960"/>
    <n v="143"/>
    <n v="514"/>
    <n v="104"/>
    <n v="59140"/>
    <n v="799"/>
    <n v="80"/>
    <n v="10079"/>
    <n v="592"/>
    <n v="50"/>
    <n v="225639"/>
    <n v="47929"/>
    <n v="34116"/>
    <n v="8582"/>
    <n v="31838"/>
    <n v="25161"/>
    <n v="6055"/>
    <n v="78457"/>
  </r>
  <r>
    <x v="9"/>
    <s v="May-23"/>
    <n v="56531"/>
    <n v="127298"/>
    <n v="2159"/>
    <n v="141569"/>
    <n v="-8353"/>
    <n v="571"/>
    <n v="23102"/>
    <n v="27052"/>
    <n v="25804"/>
    <n v="244"/>
    <n v="977"/>
    <n v="629"/>
    <n v="118280"/>
    <n v="5493"/>
    <n v="87595"/>
    <n v="41567"/>
    <n v="2941"/>
    <n v="50"/>
    <n v="458189"/>
    <n v="110663"/>
    <n v="57304"/>
    <n v="50873"/>
    <n v="53153"/>
    <n v="55316"/>
    <n v="30858"/>
    <n v="167789"/>
  </r>
  <r>
    <x v="9"/>
    <s v="Jun-23"/>
    <n v="138503"/>
    <n v="191735"/>
    <n v="3455"/>
    <n v="206379"/>
    <n v="-6748"/>
    <n v="914"/>
    <n v="34924"/>
    <n v="49201"/>
    <n v="51813"/>
    <n v="326"/>
    <n v="1381"/>
    <n v="1703"/>
    <n v="236560"/>
    <n v="9546"/>
    <n v="95870"/>
    <n v="49552"/>
    <n v="6468"/>
    <n v="4235"/>
    <n v="772181"/>
    <n v="243705"/>
    <n v="82692"/>
    <n v="87803"/>
    <n v="72942"/>
    <n v="87035"/>
    <n v="62729"/>
    <n v="278480"/>
  </r>
  <r>
    <x v="9"/>
    <s v="Jul-23"/>
    <n v="176131"/>
    <n v="257162"/>
    <n v="4861"/>
    <n v="273613"/>
    <n v="-9144"/>
    <n v="1164"/>
    <n v="46316"/>
    <n v="65029"/>
    <n v="76200"/>
    <n v="377"/>
    <n v="2441"/>
    <n v="2044"/>
    <n v="309521"/>
    <n v="11304"/>
    <n v="103943"/>
    <n v="63557"/>
    <n v="8253"/>
    <n v="5465"/>
    <n v="1063621"/>
    <n v="299889"/>
    <n v="106210"/>
    <n v="144631"/>
    <n v="91526"/>
    <n v="140996"/>
    <n v="91648"/>
    <n v="317079"/>
  </r>
  <r>
    <x v="9"/>
    <s v="Aug-23"/>
    <n v="238948"/>
    <n v="360381"/>
    <n v="10240"/>
    <n v="336333"/>
    <n v="-2894"/>
    <n v="1470"/>
    <n v="57746"/>
    <n v="83518"/>
    <n v="99776"/>
    <n v="430"/>
    <n v="3232"/>
    <n v="2754"/>
    <n v="382482"/>
    <n v="14595"/>
    <n v="106620"/>
    <n v="88367"/>
    <n v="9804"/>
    <n v="5601"/>
    <n v="1297958"/>
    <n v="367539"/>
    <n v="127423"/>
    <n v="180723"/>
    <n v="106581"/>
    <n v="180739"/>
    <n v="119099"/>
    <n v="373799"/>
  </r>
  <r>
    <x v="9"/>
    <s v="Sep-23"/>
    <n v="451283"/>
    <n v="451628"/>
    <n v="13358"/>
    <n v="398064"/>
    <n v="-1208"/>
    <n v="1669"/>
    <n v="69131"/>
    <n v="106184"/>
    <n v="124758"/>
    <n v="476"/>
    <n v="3928"/>
    <n v="3487"/>
    <n v="455444"/>
    <n v="17310"/>
    <n v="120657"/>
    <n v="98805"/>
    <n v="13216"/>
    <n v="6950"/>
    <n v="1628511"/>
    <n v="484329"/>
    <n v="148970"/>
    <n v="248564"/>
    <n v="134717"/>
    <n v="206396"/>
    <n v="145278"/>
    <n v="490628"/>
  </r>
  <r>
    <x v="9"/>
    <s v="Oct-23"/>
    <n v="481969"/>
    <n v="521211"/>
    <n v="16376"/>
    <n v="468574"/>
    <n v="-17096"/>
    <n v="2791"/>
    <n v="81029"/>
    <n v="124384"/>
    <n v="150215"/>
    <n v="433"/>
    <n v="4632"/>
    <n v="4156"/>
    <n v="528405"/>
    <n v="19543"/>
    <n v="124530"/>
    <n v="121692"/>
    <n v="14990"/>
    <n v="8000"/>
    <n v="1847488"/>
    <n v="545086"/>
    <n v="172445"/>
    <n v="281784"/>
    <n v="152012"/>
    <n v="231694"/>
    <n v="162244"/>
    <n v="546924"/>
  </r>
  <r>
    <x v="9"/>
    <s v="Nov-23"/>
    <n v="514374"/>
    <n v="567404"/>
    <n v="18920"/>
    <n v="534653"/>
    <n v="-12795"/>
    <n v="3042"/>
    <n v="92831"/>
    <n v="141764"/>
    <n v="176187"/>
    <n v="395"/>
    <n v="5252"/>
    <n v="4906"/>
    <n v="601366"/>
    <n v="23515"/>
    <n v="131109"/>
    <n v="129741"/>
    <n v="16604"/>
    <n v="8859"/>
    <n v="2066522"/>
    <n v="607963"/>
    <n v="193993"/>
    <n v="303619"/>
    <n v="175013"/>
    <n v="242756"/>
    <n v="174978"/>
    <n v="585645"/>
  </r>
  <r>
    <x v="9"/>
    <s v="Dec-23"/>
    <n v="721671"/>
    <n v="685597"/>
    <n v="21630"/>
    <n v="602701"/>
    <n v="-24071"/>
    <n v="3491"/>
    <n v="104615"/>
    <n v="158193"/>
    <n v="202469"/>
    <n v="397"/>
    <n v="5806"/>
    <n v="5280"/>
    <n v="747288"/>
    <n v="26959"/>
    <n v="147232"/>
    <n v="138167"/>
    <n v="19597"/>
    <n v="10053"/>
    <n v="2380587"/>
    <n v="748207"/>
    <n v="215181"/>
    <n v="349946"/>
    <n v="191905"/>
    <n v="276804"/>
    <n v="213323"/>
    <n v="673630"/>
  </r>
  <r>
    <x v="9"/>
    <s v="Jan-24"/>
    <n v="755569"/>
    <n v="748252"/>
    <n v="25411"/>
    <n v="676386"/>
    <n v="-30601"/>
    <n v="3960"/>
    <n v="116198"/>
    <n v="175052"/>
    <n v="228968"/>
    <n v="469"/>
    <n v="6533"/>
    <n v="6107"/>
    <n v="820250"/>
    <n v="29736"/>
    <n v="147848"/>
    <n v="160485"/>
    <n v="21664"/>
    <n v="12555"/>
    <n v="2633543"/>
    <n v="821731"/>
    <n v="237358"/>
    <n v="401814"/>
    <n v="214188"/>
    <n v="315559"/>
    <n v="228255"/>
    <n v="721187"/>
  </r>
  <r>
    <x v="9"/>
    <s v="Feb-24"/>
    <n v="752718"/>
    <n v="812371"/>
    <n v="29804"/>
    <n v="747515"/>
    <n v="-43291"/>
    <n v="4336"/>
    <n v="128727"/>
    <n v="196352"/>
    <n v="253835"/>
    <n v="467"/>
    <n v="7017"/>
    <n v="6966"/>
    <n v="1033433"/>
    <n v="34036"/>
    <n v="157070"/>
    <n v="169224"/>
    <n v="23480"/>
    <n v="12660"/>
    <n v="2941674"/>
    <n v="880788"/>
    <n v="269224"/>
    <n v="465234"/>
    <n v="232075"/>
    <n v="360997"/>
    <n v="254355"/>
    <n v="805613"/>
  </r>
  <r>
    <x v="9"/>
    <s v="Mar-24"/>
    <n v="911055"/>
    <n v="1010948"/>
    <n v="33778"/>
    <n v="820622"/>
    <n v="-5026"/>
    <n v="5031"/>
    <n v="141436"/>
    <n v="233067"/>
    <n v="305330"/>
    <n v="424"/>
    <n v="8127"/>
    <n v="8774"/>
    <n v="1129494"/>
    <n v="38297"/>
    <n v="170444"/>
    <n v="193147"/>
    <n v="27338"/>
    <n v="33122"/>
    <n v="3494036"/>
    <n v="1063871"/>
    <n v="290437"/>
    <n v="610134"/>
    <n v="235325"/>
    <n v="413542"/>
    <n v="303787"/>
    <n v="948506"/>
  </r>
  <r>
    <x v="10"/>
    <s v="Apr-24"/>
    <n v="36189"/>
    <n v="98951"/>
    <n v="3504"/>
    <n v="91188"/>
    <n v="-2645"/>
    <n v="292"/>
    <n v="13042"/>
    <n v="13956"/>
    <n v="70"/>
    <n v="-97"/>
    <n v="556"/>
    <n v="133"/>
    <n v="69875"/>
    <n v="3531"/>
    <n v="3637"/>
    <n v="20127"/>
    <n v="1041"/>
    <n v="0"/>
    <n v="324235"/>
    <n v="128263"/>
    <n v="30524"/>
    <n v="10480"/>
    <n v="36908"/>
    <n v="19407"/>
    <n v="18206"/>
    <n v="99235"/>
  </r>
  <r>
    <x v="10"/>
    <s v="May-24"/>
    <n v="45313"/>
    <n v="180291"/>
    <n v="7235"/>
    <n v="158841"/>
    <n v="-10883"/>
    <n v="598"/>
    <n v="24828"/>
    <n v="28090"/>
    <n v="24317"/>
    <n v="-87"/>
    <n v="1086"/>
    <n v="842"/>
    <n v="139751"/>
    <n v="7924"/>
    <n v="215829"/>
    <n v="27969"/>
    <n v="2083"/>
    <n v="4"/>
    <n v="479835"/>
    <n v="123810"/>
    <n v="53032"/>
    <n v="37881"/>
    <n v="60607"/>
    <n v="54688"/>
    <n v="46235"/>
    <n v="143625"/>
  </r>
  <r>
    <x v="10"/>
    <s v="Jun-24"/>
    <n v="174774"/>
    <n v="287336"/>
    <n v="11606"/>
    <n v="228328"/>
    <n v="-10176"/>
    <n v="877"/>
    <n v="37768"/>
    <n v="47065"/>
    <n v="51357"/>
    <n v="-38"/>
    <n v="1900"/>
    <n v="1662"/>
    <n v="279502"/>
    <n v="11715"/>
    <n v="224325"/>
    <n v="44004"/>
    <n v="4516"/>
    <n v="4"/>
    <n v="788858"/>
    <n v="264052"/>
    <n v="73712"/>
    <n v="63299"/>
    <n v="82097"/>
    <n v="90174"/>
    <n v="58961"/>
    <n v="181051"/>
  </r>
  <r>
    <x v="10"/>
    <s v="Jul-24"/>
    <n v="184574"/>
    <n v="394488"/>
    <n v="16635"/>
    <n v="300616"/>
    <n v="-10659"/>
    <n v="934"/>
    <n v="50547"/>
    <n v="67522"/>
    <n v="76812"/>
    <n v="13"/>
    <n v="2747"/>
    <n v="2375"/>
    <n v="366630"/>
    <n v="13840"/>
    <n v="228823"/>
    <n v="59133"/>
    <n v="6381"/>
    <n v="5"/>
    <n v="1039091"/>
    <n v="327887"/>
    <n v="98753"/>
    <n v="91422"/>
    <n v="102506"/>
    <n v="125639"/>
    <n v="84957"/>
    <n v="261260"/>
  </r>
  <r>
    <x v="10"/>
    <s v="Aug-24"/>
    <n v="224639"/>
    <n v="452286"/>
    <n v="21607"/>
    <n v="371222"/>
    <n v="-2446"/>
    <n v="1286"/>
    <n v="62462"/>
    <n v="94329"/>
    <n v="104006"/>
    <n v="32"/>
    <n v="3299"/>
    <n v="3160"/>
    <n v="455717"/>
    <n v="17530"/>
    <n v="239695"/>
    <n v="77242"/>
    <n v="8046"/>
    <n v="820"/>
    <n v="1351367"/>
    <n v="400160"/>
    <n v="120192"/>
    <n v="182174"/>
    <n v="126598"/>
    <n v="178625"/>
    <n v="111066"/>
    <n v="300987"/>
  </r>
  <r>
    <x v="10"/>
    <s v="Sep-24"/>
    <n v="461506"/>
    <n v="564517"/>
    <n v="26156"/>
    <n v="441220"/>
    <n v="-846"/>
    <n v="1624"/>
    <n v="74323"/>
    <n v="112959"/>
    <n v="128466"/>
    <n v="94"/>
    <n v="3823"/>
    <n v="3880"/>
    <n v="544803"/>
    <n v="20355"/>
    <n v="250633"/>
    <n v="86226"/>
    <n v="11434"/>
    <n v="3167"/>
    <n v="1696528"/>
    <n v="515010"/>
    <n v="145181"/>
    <n v="239296"/>
    <n v="148989"/>
    <n v="214658"/>
    <n v="145208"/>
    <n v="414966"/>
  </r>
  <r>
    <x v="10"/>
    <s v="Oct-24"/>
    <n v="487862"/>
    <n v="626454"/>
    <n v="30687"/>
    <n v="521599"/>
    <n v="-10448"/>
    <n v="1947"/>
    <n v="86482"/>
    <n v="132112"/>
    <n v="151190"/>
    <n v="87"/>
    <n v="4662"/>
    <n v="4685"/>
    <n v="722976"/>
    <n v="22701"/>
    <n v="264278"/>
    <n v="112315"/>
    <n v="13275"/>
    <n v="5532"/>
    <n v="2007353"/>
    <n v="596347"/>
    <n v="170571"/>
    <n v="286362"/>
    <n v="170215"/>
    <n v="248670"/>
    <n v="163690"/>
    <n v="466545"/>
  </r>
  <r>
    <x v="10"/>
    <s v="Nov-24"/>
    <n v="511636"/>
    <n v="700775"/>
    <n v="35932"/>
    <n v="603873"/>
    <n v="-27854"/>
    <n v="2427"/>
    <n v="99598"/>
    <n v="154142"/>
    <n v="175100"/>
    <n v="96"/>
    <n v="5250"/>
    <n v="5477"/>
    <n v="812063"/>
    <n v="26842"/>
    <n v="279061"/>
    <n v="121117"/>
    <n v="14972"/>
    <n v="8981"/>
    <n v="2227502"/>
    <n v="658494"/>
    <n v="194107"/>
    <n v="306087"/>
    <n v="193346"/>
    <n v="279211"/>
    <n v="178614"/>
    <n v="513500"/>
  </r>
  <r>
    <x v="10"/>
    <s v="Dec-24"/>
    <n v="740926"/>
    <n v="837817"/>
    <n v="40136"/>
    <n v="673256"/>
    <n v="-31590"/>
    <n v="2696"/>
    <n v="111556"/>
    <n v="170175"/>
    <n v="199630"/>
    <n v="36"/>
    <n v="5790"/>
    <n v="6225"/>
    <n v="901150"/>
    <n v="29903"/>
    <n v="284772"/>
    <n v="132982"/>
    <n v="18301"/>
    <n v="8994"/>
    <n v="2546757"/>
    <n v="808313"/>
    <n v="215520"/>
    <n v="348245"/>
    <n v="215263"/>
    <n v="306994"/>
    <n v="199530"/>
    <n v="685337"/>
  </r>
  <r>
    <x v="10"/>
    <s v="Jan-25"/>
    <n v="751319"/>
    <n v="912792"/>
    <n v="44541"/>
    <n v="752514"/>
    <n v="-27610"/>
    <n v="3560"/>
    <n v="124971"/>
    <n v="190176"/>
    <n v="225902"/>
    <n v="7"/>
    <n v="6184"/>
    <n v="6619"/>
    <n v="1074179"/>
    <n v="32162"/>
    <n v="285868"/>
    <n v="149600"/>
    <n v="20205"/>
    <n v="9019"/>
    <n v="2812595"/>
    <n v="875461"/>
    <n v="242924"/>
    <n v="410867"/>
    <n v="237358"/>
    <n v="337733"/>
    <n v="218396"/>
    <n v="757359"/>
  </r>
  <r>
    <x v="10"/>
    <s v="Feb-25"/>
    <n v="767153"/>
    <n v="991489"/>
    <n v="49227"/>
    <n v="830137"/>
    <n v="-37608"/>
    <n v="3864"/>
    <n v="138327"/>
    <n v="204612"/>
    <n v="250194"/>
    <n v="9"/>
    <n v="6822"/>
    <n v="8060"/>
    <n v="1180532"/>
    <n v="35204"/>
    <n v="300086"/>
    <n v="158029"/>
    <n v="21655"/>
    <n v="15709"/>
    <n v="3081282"/>
    <n v="952844"/>
    <n v="268468"/>
    <n v="444432"/>
    <n v="261414"/>
    <n v="363005"/>
    <n v="233921"/>
    <n v="811887"/>
  </r>
  <r>
    <x v="10"/>
    <s v="Mar-25"/>
    <n v="986767"/>
    <n v="1182964"/>
    <n v="52197"/>
    <n v="908980"/>
    <n v="-32995"/>
    <n v="5094"/>
    <n v="150506"/>
    <n v="232896"/>
    <n v="300253"/>
    <n v="-16"/>
    <n v="8579"/>
    <n v="9455"/>
    <n v="1286885"/>
    <n v="41223"/>
    <n v="308423"/>
    <n v="187898"/>
    <n v="24616"/>
    <n v="17202"/>
    <n v="3603510"/>
    <n v="1116343"/>
    <n v="290769"/>
    <n v="589239"/>
    <n v="273772"/>
    <n v="388036"/>
    <n v="272775"/>
    <n v="1052007"/>
  </r>
  <r>
    <x v="11"/>
    <s v="Apr-25"/>
    <n v="21461"/>
    <n v="109626"/>
    <n v="3786"/>
    <n v="78240"/>
    <n v="31097"/>
    <n v="119"/>
    <n v="12696"/>
    <n v="13934"/>
    <n v="-39"/>
    <n v="-39"/>
    <n v="597"/>
    <n v="74"/>
    <n v="81735"/>
    <n v="1433"/>
    <n v="1916"/>
    <n v="63811"/>
    <n v="1048"/>
    <n v="21411"/>
    <n v="305830"/>
    <n v="93460"/>
    <n v="32918"/>
    <n v="15213"/>
    <n v="38704"/>
    <n v="28955"/>
    <n v="18578"/>
    <n v="159790"/>
  </r>
  <r>
    <x v="12"/>
    <m/>
    <m/>
    <m/>
    <m/>
    <m/>
    <m/>
    <m/>
    <m/>
    <m/>
    <m/>
    <m/>
    <m/>
    <m/>
    <m/>
    <m/>
    <m/>
    <m/>
    <m/>
    <m/>
    <m/>
    <m/>
    <m/>
    <m/>
    <m/>
    <m/>
    <m/>
    <m/>
  </r>
  <r>
    <x v="12"/>
    <m/>
    <m/>
    <m/>
    <m/>
    <m/>
    <m/>
    <m/>
    <m/>
    <m/>
    <m/>
    <m/>
    <m/>
    <m/>
    <m/>
    <m/>
    <m/>
    <m/>
    <m/>
    <m/>
    <m/>
    <m/>
    <m/>
    <m/>
    <m/>
    <m/>
    <m/>
    <m/>
  </r>
  <r>
    <x v="12"/>
    <m/>
    <m/>
    <m/>
    <m/>
    <m/>
    <m/>
    <m/>
    <m/>
    <m/>
    <m/>
    <m/>
    <m/>
    <m/>
    <m/>
    <m/>
    <m/>
    <m/>
    <m/>
    <m/>
    <m/>
    <m/>
    <m/>
    <m/>
    <m/>
    <m/>
    <m/>
    <m/>
  </r>
  <r>
    <x v="12"/>
    <m/>
    <m/>
    <m/>
    <m/>
    <m/>
    <m/>
    <m/>
    <m/>
    <m/>
    <m/>
    <m/>
    <m/>
    <m/>
    <m/>
    <m/>
    <m/>
    <m/>
    <m/>
    <m/>
    <m/>
    <m/>
    <m/>
    <m/>
    <m/>
    <m/>
    <m/>
    <m/>
  </r>
  <r>
    <x v="12"/>
    <m/>
    <m/>
    <m/>
    <m/>
    <m/>
    <m/>
    <m/>
    <m/>
    <m/>
    <m/>
    <m/>
    <m/>
    <m/>
    <m/>
    <m/>
    <m/>
    <m/>
    <m/>
    <m/>
    <m/>
    <m/>
    <m/>
    <m/>
    <m/>
    <m/>
    <m/>
    <m/>
  </r>
  <r>
    <x v="12"/>
    <m/>
    <m/>
    <m/>
    <m/>
    <m/>
    <m/>
    <m/>
    <m/>
    <m/>
    <m/>
    <m/>
    <m/>
    <m/>
    <m/>
    <m/>
    <m/>
    <m/>
    <m/>
    <m/>
    <m/>
    <m/>
    <m/>
    <m/>
    <m/>
    <m/>
    <m/>
    <m/>
  </r>
  <r>
    <x v="12"/>
    <m/>
    <m/>
    <m/>
    <m/>
    <m/>
    <m/>
    <m/>
    <m/>
    <m/>
    <m/>
    <m/>
    <m/>
    <m/>
    <m/>
    <m/>
    <m/>
    <m/>
    <m/>
    <m/>
    <m/>
    <m/>
    <m/>
    <m/>
    <m/>
    <m/>
    <m/>
    <m/>
  </r>
  <r>
    <x v="12"/>
    <m/>
    <m/>
    <m/>
    <m/>
    <m/>
    <m/>
    <m/>
    <m/>
    <m/>
    <m/>
    <m/>
    <m/>
    <m/>
    <m/>
    <m/>
    <m/>
    <m/>
    <m/>
    <m/>
    <m/>
    <m/>
    <m/>
    <m/>
    <m/>
    <m/>
    <m/>
    <m/>
  </r>
  <r>
    <x v="12"/>
    <m/>
    <m/>
    <m/>
    <m/>
    <m/>
    <m/>
    <m/>
    <m/>
    <m/>
    <m/>
    <m/>
    <m/>
    <m/>
    <m/>
    <m/>
    <m/>
    <m/>
    <m/>
    <m/>
    <m/>
    <m/>
    <m/>
    <m/>
    <m/>
    <m/>
    <m/>
    <m/>
  </r>
  <r>
    <x v="12"/>
    <m/>
    <m/>
    <m/>
    <m/>
    <m/>
    <m/>
    <m/>
    <m/>
    <m/>
    <m/>
    <m/>
    <m/>
    <m/>
    <m/>
    <m/>
    <m/>
    <m/>
    <m/>
    <m/>
    <m/>
    <m/>
    <m/>
    <m/>
    <m/>
    <m/>
    <m/>
    <m/>
  </r>
  <r>
    <x v="12"/>
    <m/>
    <m/>
    <m/>
    <m/>
    <m/>
    <m/>
    <m/>
    <m/>
    <m/>
    <m/>
    <m/>
    <m/>
    <m/>
    <m/>
    <m/>
    <m/>
    <m/>
    <m/>
    <m/>
    <m/>
    <m/>
    <m/>
    <m/>
    <m/>
    <m/>
    <m/>
    <m/>
  </r>
  <r>
    <x v="12"/>
    <m/>
    <m/>
    <m/>
    <m/>
    <m/>
    <m/>
    <m/>
    <m/>
    <m/>
    <m/>
    <m/>
    <m/>
    <m/>
    <m/>
    <m/>
    <m/>
    <m/>
    <m/>
    <m/>
    <m/>
    <m/>
    <m/>
    <m/>
    <m/>
    <m/>
    <m/>
    <m/>
  </r>
  <r>
    <x v="12"/>
    <m/>
    <m/>
    <m/>
    <m/>
    <m/>
    <m/>
    <m/>
    <m/>
    <m/>
    <m/>
    <m/>
    <m/>
    <m/>
    <m/>
    <m/>
    <m/>
    <m/>
    <m/>
    <m/>
    <m/>
    <m/>
    <m/>
    <m/>
    <m/>
    <m/>
    <m/>
    <m/>
  </r>
  <r>
    <x v="12"/>
    <m/>
    <m/>
    <m/>
    <m/>
    <m/>
    <m/>
    <m/>
    <m/>
    <m/>
    <m/>
    <m/>
    <m/>
    <m/>
    <m/>
    <m/>
    <m/>
    <m/>
    <m/>
    <m/>
    <m/>
    <m/>
    <m/>
    <m/>
    <m/>
    <m/>
    <m/>
    <m/>
  </r>
  <r>
    <x v="12"/>
    <m/>
    <m/>
    <m/>
    <m/>
    <m/>
    <m/>
    <m/>
    <m/>
    <m/>
    <m/>
    <m/>
    <m/>
    <m/>
    <m/>
    <m/>
    <m/>
    <m/>
    <m/>
    <m/>
    <m/>
    <m/>
    <m/>
    <m/>
    <m/>
    <m/>
    <m/>
    <m/>
  </r>
  <r>
    <x v="12"/>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showCalcMbrs="0" useAutoFormatting="1" rowGrandTotals="0" colGrandTotals="0" itemPrintTitles="1" createdVersion="3" indent="0" outline="1" outlineData="1" multipleFieldFilters="0">
  <location ref="D58:D71" firstHeaderRow="1" firstDataRow="1" firstDataCol="1"/>
  <pivotFields count="28">
    <pivotField axis="axisRow" showAll="0" sortType="ascending">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pivotField showAll="0"/>
    <pivotField showAll="0"/>
  </pivotFields>
  <rowFields count="1">
    <field x="0"/>
  </rowFields>
  <rowItems count="13">
    <i>
      <x/>
    </i>
    <i>
      <x v="1"/>
    </i>
    <i>
      <x v="2"/>
    </i>
    <i>
      <x v="3"/>
    </i>
    <i>
      <x v="4"/>
    </i>
    <i>
      <x v="5"/>
    </i>
    <i>
      <x v="6"/>
    </i>
    <i>
      <x v="7"/>
    </i>
    <i>
      <x v="8"/>
    </i>
    <i>
      <x v="9"/>
    </i>
    <i>
      <x v="10"/>
    </i>
    <i>
      <x v="11"/>
    </i>
    <i>
      <x v="12"/>
    </i>
  </rowItems>
  <colItems count="1">
    <i/>
  </colItems>
  <formats count="4">
    <format dxfId="17">
      <pivotArea type="all" dataOnly="0" outline="0" fieldPosition="0"/>
    </format>
    <format dxfId="16">
      <pivotArea type="all" dataOnly="0" outline="0" fieldPosition="0"/>
    </format>
    <format dxfId="15">
      <pivotArea field="0" type="button" dataOnly="0" labelOnly="1" outline="0" axis="axisRow" fieldPosition="0"/>
    </format>
    <format dxfId="14">
      <pivotArea dataOnly="0" labelOnly="1" fieldPosition="0">
        <references count="1">
          <reference field="0" count="0"/>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fylist" cacheId="0" applyNumberFormats="0" applyBorderFormats="0" applyFontFormats="0" applyPatternFormats="0" applyAlignmentFormats="0" applyWidthHeightFormats="1" dataCaption="Values" updatedVersion="6" minRefreshableVersion="3" showCalcMbrs="0" useAutoFormatting="1" rowGrandTotals="0" colGrandTotals="0" itemPrintTitles="1" createdVersion="3" indent="0" outline="1" outlineData="1" multipleFieldFilters="0">
  <location ref="A3:A16" firstHeaderRow="1" firstDataRow="1" firstDataCol="1"/>
  <pivotFields count="28">
    <pivotField axis="axisRow" showAll="0">
      <items count="14">
        <item x="4"/>
        <item x="5"/>
        <item x="6"/>
        <item x="0"/>
        <item x="1"/>
        <item x="2"/>
        <item x="3"/>
        <item x="12"/>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pivotField showAll="0"/>
    <pivotField showAll="0"/>
  </pivotFields>
  <rowFields count="1">
    <field x="0"/>
  </rowFields>
  <rowItems count="13">
    <i>
      <x/>
    </i>
    <i>
      <x v="1"/>
    </i>
    <i>
      <x v="2"/>
    </i>
    <i>
      <x v="3"/>
    </i>
    <i>
      <x v="4"/>
    </i>
    <i>
      <x v="5"/>
    </i>
    <i>
      <x v="6"/>
    </i>
    <i>
      <x v="7"/>
    </i>
    <i>
      <x v="8"/>
    </i>
    <i>
      <x v="9"/>
    </i>
    <i>
      <x v="10"/>
    </i>
    <i>
      <x v="11"/>
    </i>
    <i>
      <x v="12"/>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ctual1" displayName="actual1" ref="A1:AB150" totalsRowShown="0" headerRowDxfId="13" headerRowBorderDxfId="12" tableBorderDxfId="11" headerRowCellStyle="Normal_Sheet1">
  <tableColumns count="28">
    <tableColumn id="1" xr3:uid="{00000000-0010-0000-0000-000001000000}" name="FY"/>
    <tableColumn id="2" xr3:uid="{00000000-0010-0000-0000-000002000000}" name="Month" dataDxfId="10"/>
    <tableColumn id="3" xr3:uid="{00000000-0010-0000-0000-000003000000}" name="Corporation Tax"/>
    <tableColumn id="4" xr3:uid="{00000000-0010-0000-0000-000004000000}" name="Income Tax"/>
    <tableColumn id="5" xr3:uid="{00000000-0010-0000-0000-000005000000}" name="Securities Transcation Tax"/>
    <tableColumn id="6" xr3:uid="{00000000-0010-0000-0000-000006000000}" name="CGST"/>
    <tableColumn id="7" xr3:uid="{00000000-0010-0000-0000-000007000000}" name="IGST"/>
    <tableColumn id="8" xr3:uid="{00000000-0010-0000-0000-000008000000}" name="UTGST"/>
    <tableColumn id="9" xr3:uid="{00000000-0010-0000-0000-000009000000}" name="Compensation Cess"/>
    <tableColumn id="10" xr3:uid="{00000000-0010-0000-0000-00000A000000}" name="Customs"/>
    <tableColumn id="11" xr3:uid="{00000000-0010-0000-0000-00000B000000}" name="Union Excise"/>
    <tableColumn id="12" xr3:uid="{00000000-0010-0000-0000-00000C000000}" name="Service Tax"/>
    <tableColumn id="13" xr3:uid="{00000000-0010-0000-0000-00000D000000}" name="Other Taxes"/>
    <tableColumn id="14" xr3:uid="{00000000-0010-0000-0000-00000E000000}" name="Surcharge for financing of NCCF"/>
    <tableColumn id="15" xr3:uid="{00000000-0010-0000-0000-00000F000000}" name="Devolution to State"/>
    <tableColumn id="16" xr3:uid="{00000000-0010-0000-0000-000010000000}" name="Interest receipts"/>
    <tableColumn id="17" xr3:uid="{00000000-0010-0000-0000-000011000000}" name="Dividends and Profits"/>
    <tableColumn id="18" xr3:uid="{00000000-0010-0000-0000-000012000000}" name="Other Non Tax Receipts"/>
    <tableColumn id="19" xr3:uid="{00000000-0010-0000-0000-000013000000}" name="Recovery of Loans &amp; Advances"/>
    <tableColumn id="20" xr3:uid="{00000000-0010-0000-0000-000014000000}" name="Disinvestment Receipts"/>
    <tableColumn id="21" xr3:uid="{00000000-0010-0000-0000-000015000000}" name="Revenue Expenditure"/>
    <tableColumn id="22" xr3:uid="{00000000-0010-0000-0000-000016000000}" name="Interest Payments"/>
    <tableColumn id="23" xr3:uid="{00000000-0010-0000-0000-000017000000}" name="Defence  Services"/>
    <tableColumn id="24" xr3:uid="{00000000-0010-0000-0000-000018000000}" name="Grants in Aid  to States &amp; UTs"/>
    <tableColumn id="25" xr3:uid="{00000000-0010-0000-0000-000019000000}" name="Pensions"/>
    <tableColumn id="26" xr3:uid="{00000000-0010-0000-0000-00001A000000}" name="Major Subsidies"/>
    <tableColumn id="27" xr3:uid="{00000000-0010-0000-0000-00001B000000}" name="Grants for Creation of Capital Assets"/>
    <tableColumn id="28" xr3:uid="{00000000-0010-0000-0000-00001C000000}" name="Capital Expenditur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BERE1" displayName="BERE1" ref="A1:AB40" totalsRowShown="0" headerRowDxfId="9" headerRowBorderDxfId="8" tableBorderDxfId="7" headerRowCellStyle="Normal_Sheet1">
  <autoFilter ref="A1:AB40" xr:uid="{00000000-0009-0000-0100-000003000000}"/>
  <tableColumns count="28">
    <tableColumn id="1" xr3:uid="{00000000-0010-0000-0100-000001000000}" name="FY"/>
    <tableColumn id="2" xr3:uid="{00000000-0010-0000-0100-000002000000}" name="Month" dataDxfId="6"/>
    <tableColumn id="3" xr3:uid="{00000000-0010-0000-0100-000003000000}" name="Corporation Tax"/>
    <tableColumn id="4" xr3:uid="{00000000-0010-0000-0100-000004000000}" name="Income Tax"/>
    <tableColumn id="5" xr3:uid="{00000000-0010-0000-0100-000005000000}" name="Securities Transcation Tax"/>
    <tableColumn id="6" xr3:uid="{00000000-0010-0000-0100-000006000000}" name="CGST"/>
    <tableColumn id="7" xr3:uid="{00000000-0010-0000-0100-000007000000}" name="IGST"/>
    <tableColumn id="8" xr3:uid="{00000000-0010-0000-0100-000008000000}" name="UTGST"/>
    <tableColumn id="9" xr3:uid="{00000000-0010-0000-0100-000009000000}" name="Compensation Cess"/>
    <tableColumn id="10" xr3:uid="{00000000-0010-0000-0100-00000A000000}" name="Customs"/>
    <tableColumn id="11" xr3:uid="{00000000-0010-0000-0100-00000B000000}" name="Union Excise"/>
    <tableColumn id="12" xr3:uid="{00000000-0010-0000-0100-00000C000000}" name="Service Tax"/>
    <tableColumn id="13" xr3:uid="{00000000-0010-0000-0100-00000D000000}" name="Other Taxes"/>
    <tableColumn id="14" xr3:uid="{00000000-0010-0000-0100-00000E000000}" name="Surcharge for financing of NCCF"/>
    <tableColumn id="15" xr3:uid="{00000000-0010-0000-0100-00000F000000}" name="Devolution to State"/>
    <tableColumn id="16" xr3:uid="{00000000-0010-0000-0100-000010000000}" name="Interest receipts"/>
    <tableColumn id="17" xr3:uid="{00000000-0010-0000-0100-000011000000}" name="Dividends and Profits"/>
    <tableColumn id="18" xr3:uid="{00000000-0010-0000-0100-000012000000}" name="Other Non Tax Receipts"/>
    <tableColumn id="19" xr3:uid="{00000000-0010-0000-0100-000013000000}" name="Recovery of Loans &amp; Advances"/>
    <tableColumn id="20" xr3:uid="{00000000-0010-0000-0100-000014000000}" name="Disinvestment Receipts"/>
    <tableColumn id="21" xr3:uid="{00000000-0010-0000-0100-000015000000}" name="Revenue Expenditure"/>
    <tableColumn id="22" xr3:uid="{00000000-0010-0000-0100-000016000000}" name="Interest Payments"/>
    <tableColumn id="23" xr3:uid="{00000000-0010-0000-0100-000017000000}" name="Defence  Services"/>
    <tableColumn id="24" xr3:uid="{00000000-0010-0000-0100-000018000000}" name="Grants in Aid  to States &amp; UTs"/>
    <tableColumn id="25" xr3:uid="{00000000-0010-0000-0100-000019000000}" name="Pensions"/>
    <tableColumn id="26" xr3:uid="{00000000-0010-0000-0100-00001A000000}" name="Major Subsidies"/>
    <tableColumn id="27" xr3:uid="{00000000-0010-0000-0100-00001B000000}" name="Grants for Creation of Capital Assets"/>
    <tableColumn id="28" xr3:uid="{00000000-0010-0000-0100-00001C000000}" name="Capital Expenditu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GDP" displayName="GDP" ref="A1:B13" totalsRowShown="0">
  <autoFilter ref="A1:B13" xr:uid="{00000000-0009-0000-0100-000005000000}"/>
  <tableColumns count="2">
    <tableColumn id="1" xr3:uid="{00000000-0010-0000-0200-000001000000}" name="FY"/>
    <tableColumn id="2" xr3:uid="{00000000-0010-0000-0200-000002000000}" name="GDP"/>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actual2" displayName="actual2" ref="A1:N155" totalsRowShown="0" headerRowDxfId="5" headerRowBorderDxfId="4" tableBorderDxfId="3" headerRowCellStyle="Normal_Sheet1">
  <autoFilter ref="A1:N155" xr:uid="{00000000-0009-0000-0100-000002000000}"/>
  <tableColumns count="14">
    <tableColumn id="1" xr3:uid="{00000000-0010-0000-0300-000001000000}" name="FY">
      <calculatedColumnFormula>actual!A2</calculatedColumnFormula>
    </tableColumn>
    <tableColumn id="2" xr3:uid="{00000000-0010-0000-0300-000002000000}" name="Month">
      <calculatedColumnFormula>actual!B2</calculatedColumnFormula>
    </tableColumn>
    <tableColumn id="3" xr3:uid="{00000000-0010-0000-0300-000003000000}" name="Gross Tax Revenue">
      <calculatedColumnFormula>SUM(actual!C2:M2)</calculatedColumnFormula>
    </tableColumn>
    <tableColumn id="4" xr3:uid="{00000000-0010-0000-0300-000004000000}" name="Net Tax Revenue">
      <calculatedColumnFormula>C2-actual!N2-actual!O2</calculatedColumnFormula>
    </tableColumn>
    <tableColumn id="5" xr3:uid="{00000000-0010-0000-0300-000005000000}" name="Non Tax Revenue">
      <calculatedColumnFormula>SUM(actual!P2:R2)</calculatedColumnFormula>
    </tableColumn>
    <tableColumn id="6" xr3:uid="{00000000-0010-0000-0300-000006000000}" name="Revenue Receipts">
      <calculatedColumnFormula>SUM(D2:E2)</calculatedColumnFormula>
    </tableColumn>
    <tableColumn id="7" xr3:uid="{00000000-0010-0000-0300-000007000000}" name="Non Debt Capital Receipts">
      <calculatedColumnFormula>SUM(actual!S2:T2)</calculatedColumnFormula>
    </tableColumn>
    <tableColumn id="8" xr3:uid="{00000000-0010-0000-0300-000008000000}" name="Total Receipts">
      <calculatedColumnFormula>SUM(F2:G2)</calculatedColumnFormula>
    </tableColumn>
    <tableColumn id="9" xr3:uid="{00000000-0010-0000-0300-000009000000}" name="Other Revenue Expenditure">
      <calculatedColumnFormula>actual!U2-actual!V2-actual!W2-actual!X2-actual!Y2-actual!Z2</calculatedColumnFormula>
    </tableColumn>
    <tableColumn id="10" xr3:uid="{00000000-0010-0000-0300-00000A000000}" name="Total Expenditure">
      <calculatedColumnFormula>actual!U2+actual!AB2</calculatedColumnFormula>
    </tableColumn>
    <tableColumn id="11" xr3:uid="{00000000-0010-0000-0300-00000B000000}" name="Fiscal Deficit">
      <calculatedColumnFormula>actual2!J2-actual2!H2</calculatedColumnFormula>
    </tableColumn>
    <tableColumn id="12" xr3:uid="{00000000-0010-0000-0300-00000C000000}" name="Revenue Deficit">
      <calculatedColumnFormula>actual!U2-actual2!F2</calculatedColumnFormula>
    </tableColumn>
    <tableColumn id="13" xr3:uid="{00000000-0010-0000-0300-00000D000000}" name="Effective Revenue Deficit">
      <calculatedColumnFormula>L2-actual!AA2</calculatedColumnFormula>
    </tableColumn>
    <tableColumn id="14" xr3:uid="{00000000-0010-0000-0300-00000E000000}" name="Primary Deficit">
      <calculatedColumnFormula>K2-actual!V2</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BERE2" displayName="BERE2" ref="A1:N44" totalsRowShown="0" headerRowDxfId="2" headerRowBorderDxfId="1" tableBorderDxfId="0" headerRowCellStyle="Normal_Sheet1">
  <autoFilter ref="A1:N44" xr:uid="{00000000-0009-0000-0100-000004000000}"/>
  <tableColumns count="14">
    <tableColumn id="1" xr3:uid="{00000000-0010-0000-0400-000001000000}" name="FY">
      <calculatedColumnFormula>actual!A2</calculatedColumnFormula>
    </tableColumn>
    <tableColumn id="2" xr3:uid="{00000000-0010-0000-0400-000002000000}" name="Month">
      <calculatedColumnFormula>actual!B2</calculatedColumnFormula>
    </tableColumn>
    <tableColumn id="3" xr3:uid="{00000000-0010-0000-0400-000003000000}" name="Gross Tax Revenue">
      <calculatedColumnFormula>SUM(actual!C2:M2)</calculatedColumnFormula>
    </tableColumn>
    <tableColumn id="4" xr3:uid="{00000000-0010-0000-0400-000004000000}" name="Net Tax Revenue">
      <calculatedColumnFormula>C2-actual!N2-actual!O2</calculatedColumnFormula>
    </tableColumn>
    <tableColumn id="5" xr3:uid="{00000000-0010-0000-0400-000005000000}" name="Non Tax Revenue">
      <calculatedColumnFormula>SUM(actual!P2:R2)</calculatedColumnFormula>
    </tableColumn>
    <tableColumn id="6" xr3:uid="{00000000-0010-0000-0400-000006000000}" name="Revenue Receipts">
      <calculatedColumnFormula>SUM(D2:E2)</calculatedColumnFormula>
    </tableColumn>
    <tableColumn id="7" xr3:uid="{00000000-0010-0000-0400-000007000000}" name="Non Debt Capital Receipts">
      <calculatedColumnFormula>SUM(actual!S2:T2)</calculatedColumnFormula>
    </tableColumn>
    <tableColumn id="8" xr3:uid="{00000000-0010-0000-0400-000008000000}" name="Total Receipts">
      <calculatedColumnFormula>SUM(F2:G2)</calculatedColumnFormula>
    </tableColumn>
    <tableColumn id="9" xr3:uid="{00000000-0010-0000-0400-000009000000}" name="Other Revenue Expenditure">
      <calculatedColumnFormula>actual!U2-actual!V2-actual!W2-actual!X2-actual!Y2-actual!Z2</calculatedColumnFormula>
    </tableColumn>
    <tableColumn id="10" xr3:uid="{00000000-0010-0000-0400-00000A000000}" name="Total Expenditure">
      <calculatedColumnFormula>actual!U2+actual!AB2</calculatedColumnFormula>
    </tableColumn>
    <tableColumn id="11" xr3:uid="{00000000-0010-0000-0400-00000B000000}" name="Fiscal Deficit">
      <calculatedColumnFormula>BERE2!J2-BERE2!H2</calculatedColumnFormula>
    </tableColumn>
    <tableColumn id="12" xr3:uid="{00000000-0010-0000-0400-00000C000000}" name="Revenue Deficit">
      <calculatedColumnFormula>actual!U2-BERE2!F2</calculatedColumnFormula>
    </tableColumn>
    <tableColumn id="13" xr3:uid="{00000000-0010-0000-0400-00000D000000}" name="Effective Revenue Deficit">
      <calculatedColumnFormula>L2-actual!AA2</calculatedColumnFormula>
    </tableColumn>
    <tableColumn id="14" xr3:uid="{00000000-0010-0000-0400-00000E000000}" name="Primary Deficit">
      <calculatedColumnFormula>K2-actual!V2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4.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3.bin"/><Relationship Id="rId5" Type="http://schemas.openxmlformats.org/officeDocument/2006/relationships/ctrlProp" Target="../ctrlProps/ctrlProp12.xml"/><Relationship Id="rId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7.xml"/><Relationship Id="rId3" Type="http://schemas.openxmlformats.org/officeDocument/2006/relationships/vmlDrawing" Target="../drawings/vmlDrawing3.vml"/><Relationship Id="rId7" Type="http://schemas.openxmlformats.org/officeDocument/2006/relationships/ctrlProp" Target="../ctrlProps/ctrlProp16.xml"/><Relationship Id="rId2" Type="http://schemas.openxmlformats.org/officeDocument/2006/relationships/drawing" Target="../drawings/drawing10.xml"/><Relationship Id="rId1" Type="http://schemas.openxmlformats.org/officeDocument/2006/relationships/printerSettings" Target="../printerSettings/printerSettings6.bin"/><Relationship Id="rId6" Type="http://schemas.openxmlformats.org/officeDocument/2006/relationships/ctrlProp" Target="../ctrlProps/ctrlProp15.xml"/><Relationship Id="rId11" Type="http://schemas.openxmlformats.org/officeDocument/2006/relationships/ctrlProp" Target="../ctrlProps/ctrlProp20.xml"/><Relationship Id="rId5" Type="http://schemas.openxmlformats.org/officeDocument/2006/relationships/ctrlProp" Target="../ctrlProps/ctrlProp14.xml"/><Relationship Id="rId10" Type="http://schemas.openxmlformats.org/officeDocument/2006/relationships/ctrlProp" Target="../ctrlProps/ctrlProp19.xml"/><Relationship Id="rId4" Type="http://schemas.openxmlformats.org/officeDocument/2006/relationships/ctrlProp" Target="../ctrlProps/ctrlProp13.xml"/><Relationship Id="rId9" Type="http://schemas.openxmlformats.org/officeDocument/2006/relationships/ctrlProp" Target="../ctrlProps/ctrlProp18.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6:AA131"/>
  <sheetViews>
    <sheetView showGridLines="0" showRowColHeaders="0" tabSelected="1" showRuler="0" zoomScaleNormal="100" workbookViewId="0">
      <selection activeCell="D8" sqref="D8"/>
    </sheetView>
  </sheetViews>
  <sheetFormatPr defaultColWidth="9.1796875" defaultRowHeight="14.5" x14ac:dyDescent="0.35"/>
  <cols>
    <col min="1" max="1" width="4.7265625" style="22" customWidth="1"/>
    <col min="2" max="3" width="9.1796875" style="22"/>
    <col min="4" max="4" width="13.1796875" style="22" customWidth="1"/>
    <col min="5" max="5" width="8" style="22" customWidth="1"/>
    <col min="6" max="6" width="9.1796875" style="22" customWidth="1"/>
    <col min="7" max="7" width="6.1796875" style="22" customWidth="1"/>
    <col min="8" max="8" width="6.54296875" style="22" customWidth="1"/>
    <col min="9" max="9" width="11.54296875" style="22" customWidth="1"/>
    <col min="10" max="10" width="13.1796875" style="22" customWidth="1"/>
    <col min="11" max="11" width="8.7265625" style="22" customWidth="1"/>
    <col min="12" max="12" width="4.7265625" style="22" customWidth="1"/>
    <col min="13" max="13" width="9.54296875" style="22" customWidth="1"/>
    <col min="14" max="15" width="9" style="22" customWidth="1"/>
    <col min="16" max="16" width="4.81640625" style="22" customWidth="1"/>
    <col min="17" max="17" width="10.1796875" style="22" customWidth="1"/>
    <col min="18" max="18" width="11.54296875" style="22" customWidth="1"/>
    <col min="19" max="19" width="7.26953125" style="22" customWidth="1"/>
    <col min="20" max="20" width="6.453125" style="22" customWidth="1"/>
    <col min="21" max="21" width="7" style="22" customWidth="1"/>
    <col min="22" max="22" width="6.81640625" style="22" customWidth="1"/>
    <col min="23" max="23" width="8.81640625" style="22" customWidth="1"/>
    <col min="24" max="24" width="11.1796875" style="22" customWidth="1"/>
    <col min="25" max="25" width="9.1796875" style="22" customWidth="1"/>
    <col min="26" max="26" width="7.7265625" style="22" customWidth="1"/>
    <col min="27" max="27" width="9.7265625" style="22" customWidth="1"/>
    <col min="28" max="28" width="3.54296875" style="22" customWidth="1"/>
    <col min="29" max="33" width="9.1796875" style="22"/>
    <col min="34" max="34" width="13" style="22" customWidth="1"/>
    <col min="35" max="16384" width="9.1796875" style="22"/>
  </cols>
  <sheetData>
    <row r="6" spans="2:23" ht="18.5" x14ac:dyDescent="0.45">
      <c r="B6" s="47"/>
      <c r="C6" s="48" t="s">
        <v>224</v>
      </c>
      <c r="D6" s="49" t="s">
        <v>237</v>
      </c>
    </row>
    <row r="7" spans="2:23" ht="12.75" customHeight="1" x14ac:dyDescent="0.35"/>
    <row r="8" spans="2:23" ht="21" customHeight="1" x14ac:dyDescent="0.5">
      <c r="B8" s="47"/>
      <c r="C8" s="48" t="s">
        <v>94</v>
      </c>
      <c r="D8" s="49" t="s">
        <v>246</v>
      </c>
      <c r="F8" s="61">
        <f>Sheet5!E9</f>
        <v>2525156</v>
      </c>
      <c r="G8" s="61"/>
      <c r="H8" s="61"/>
      <c r="I8" s="23">
        <f>IF(MONTH(D8)&lt;4,Sheet5!N9,Sheet5!M9)</f>
        <v>0.72221413455920058</v>
      </c>
      <c r="J8" s="24">
        <f>Sheet5!K9</f>
        <v>8.9366071255238877E-2</v>
      </c>
      <c r="K8" s="67">
        <f>Sheet5!L9</f>
        <v>8.9366071255238877E-2</v>
      </c>
      <c r="M8" s="61">
        <f>Sheet5!E11</f>
        <v>3380998</v>
      </c>
      <c r="N8" s="61"/>
      <c r="O8" s="61"/>
      <c r="P8" s="38"/>
      <c r="Q8" s="23">
        <f>IF(MONTH(D8)&lt;4,Sheet5!N11,Sheet5!M11)</f>
        <v>0.66747635156144347</v>
      </c>
      <c r="R8" s="24">
        <f>Sheet5!K11</f>
        <v>4.60704422581769E-2</v>
      </c>
      <c r="S8" s="67">
        <f>Sheet5!L11</f>
        <v>4.60704422581769E-2</v>
      </c>
      <c r="T8" s="25"/>
      <c r="U8" s="61">
        <f>Sheet5!E13</f>
        <v>855842</v>
      </c>
      <c r="V8" s="61"/>
      <c r="W8" s="61"/>
    </row>
    <row r="9" spans="2:23" ht="14.25" customHeight="1" x14ac:dyDescent="0.35">
      <c r="F9" s="61"/>
      <c r="G9" s="61"/>
      <c r="H9" s="61"/>
      <c r="I9" s="26" t="str">
        <f>CONCATENATE("of ",B58)</f>
        <v>of BE</v>
      </c>
      <c r="J9" s="26" t="s">
        <v>97</v>
      </c>
      <c r="K9" s="67"/>
      <c r="M9" s="61"/>
      <c r="N9" s="61"/>
      <c r="O9" s="61"/>
      <c r="P9" s="38"/>
      <c r="Q9" s="26" t="str">
        <f>CONCATENATE("of ",B58)</f>
        <v>of BE</v>
      </c>
      <c r="R9" s="26" t="s">
        <v>97</v>
      </c>
      <c r="S9" s="67"/>
      <c r="T9" s="25"/>
      <c r="U9" s="61"/>
      <c r="V9" s="61"/>
      <c r="W9" s="61"/>
    </row>
    <row r="10" spans="2:23" ht="15.75" customHeight="1" x14ac:dyDescent="0.5">
      <c r="U10" s="57">
        <f>IF(MONTH(D8)&lt;4,Sheet5!N13,Sheet5!M13)</f>
        <v>0.54549197672817762</v>
      </c>
      <c r="V10" s="57"/>
      <c r="W10" s="26" t="str">
        <f>CONCATENATE("of ",B58)</f>
        <v>of BE</v>
      </c>
    </row>
    <row r="11" spans="2:23" ht="18.5" x14ac:dyDescent="0.45">
      <c r="U11" s="62">
        <f>Sheet5!O13</f>
        <v>2.3963844203344326E-2</v>
      </c>
      <c r="V11" s="62"/>
      <c r="W11" s="26" t="s">
        <v>207</v>
      </c>
    </row>
    <row r="12" spans="2:23" ht="21" x14ac:dyDescent="0.5">
      <c r="J12" s="27"/>
      <c r="U12" s="58">
        <f>Sheet5!K13</f>
        <v>-6.3721366300218032E-2</v>
      </c>
      <c r="V12" s="58"/>
      <c r="W12" s="59">
        <f>Sheet5!L13</f>
        <v>-6.3721366300218032E-2</v>
      </c>
    </row>
    <row r="13" spans="2:23" x14ac:dyDescent="0.35">
      <c r="U13" s="60" t="s">
        <v>97</v>
      </c>
      <c r="V13" s="60"/>
      <c r="W13" s="59"/>
    </row>
    <row r="14" spans="2:23" ht="18.5" x14ac:dyDescent="0.45">
      <c r="F14" s="63">
        <f>Sheet5!E15</f>
        <v>1939254</v>
      </c>
      <c r="G14" s="63"/>
      <c r="H14" s="28"/>
      <c r="M14" s="63">
        <f>Sheet5!E21</f>
        <v>2593063</v>
      </c>
      <c r="N14" s="63"/>
      <c r="O14" s="39"/>
      <c r="P14" s="36"/>
    </row>
    <row r="15" spans="2:23" ht="20.5" customHeight="1" x14ac:dyDescent="0.35">
      <c r="F15" s="29">
        <f>IF(MONTH(D8)&lt;4,Sheet5!N15,Sheet5!M15)</f>
        <v>0.68345945191546231</v>
      </c>
      <c r="G15" s="30" t="str">
        <f>CONCATENATE("of ",B58)</f>
        <v>of BE</v>
      </c>
      <c r="M15" s="41">
        <f>IF(MONTH(D8)&lt;4,Sheet5!N21,Sheet5!M21)</f>
        <v>0.65742782857599213</v>
      </c>
      <c r="N15" s="22" t="str">
        <f>CONCATENATE("of ",B58)</f>
        <v>of BE</v>
      </c>
    </row>
    <row r="16" spans="2:23" ht="21" customHeight="1" x14ac:dyDescent="0.35">
      <c r="F16" s="64">
        <f>Sheet5!K15</f>
        <v>5.2196545622941931E-2</v>
      </c>
      <c r="G16" s="64"/>
      <c r="H16" s="66">
        <f>Sheet5!L15</f>
        <v>5.2196545622941931E-2</v>
      </c>
      <c r="M16" s="40">
        <f>Sheet5!K21</f>
        <v>1.8182339343722233E-2</v>
      </c>
      <c r="O16" s="66">
        <f>Sheet5!L21</f>
        <v>1.8182339343722233E-2</v>
      </c>
      <c r="P16" s="37"/>
    </row>
    <row r="17" spans="6:23" ht="15" customHeight="1" x14ac:dyDescent="0.35">
      <c r="F17" s="65" t="s">
        <v>97</v>
      </c>
      <c r="G17" s="65"/>
      <c r="H17" s="66"/>
      <c r="M17" s="65" t="s">
        <v>97</v>
      </c>
      <c r="N17" s="65"/>
      <c r="O17" s="66"/>
      <c r="P17" s="35"/>
    </row>
    <row r="18" spans="6:23" ht="15" customHeight="1" x14ac:dyDescent="0.7">
      <c r="H18" s="31"/>
      <c r="U18" s="61">
        <f>Sheet5!E37</f>
        <v>113954</v>
      </c>
      <c r="V18" s="61"/>
      <c r="W18" s="61"/>
    </row>
    <row r="19" spans="6:23" x14ac:dyDescent="0.35">
      <c r="U19" s="61"/>
      <c r="V19" s="61"/>
      <c r="W19" s="61"/>
    </row>
    <row r="20" spans="6:23" ht="22.5" customHeight="1" x14ac:dyDescent="0.5">
      <c r="F20" s="22" t="s">
        <v>69</v>
      </c>
      <c r="U20" s="57">
        <f>IF(MONTH(D8)&lt;4,Sheet5!N37,Sheet5!M37)</f>
        <v>0.21753339721979362</v>
      </c>
      <c r="V20" s="57"/>
      <c r="W20" s="25" t="str">
        <f>CONCATENATE("of ",B58)</f>
        <v>of BE</v>
      </c>
    </row>
    <row r="21" spans="6:23" ht="18.5" x14ac:dyDescent="0.45">
      <c r="U21" s="62">
        <f>Sheet5!O37</f>
        <v>3.19074771084838E-3</v>
      </c>
      <c r="V21" s="62"/>
      <c r="W21" s="26" t="s">
        <v>207</v>
      </c>
    </row>
    <row r="22" spans="6:23" ht="21" customHeight="1" x14ac:dyDescent="0.5">
      <c r="F22" s="63">
        <f>Sheet5!E17</f>
        <v>539855</v>
      </c>
      <c r="G22" s="63"/>
      <c r="U22" s="58">
        <f>Sheet5!K37</f>
        <v>-0.55494889610110643</v>
      </c>
      <c r="V22" s="58"/>
      <c r="W22" s="59">
        <f>Sheet5!L37</f>
        <v>-0.55494889610110643</v>
      </c>
    </row>
    <row r="23" spans="6:23" ht="19.899999999999999" customHeight="1" x14ac:dyDescent="0.35">
      <c r="F23" s="29">
        <f>IF(MONTH(D8)&lt;4,Sheet5!N17,Sheet5!M17)</f>
        <v>0.92599485420240135</v>
      </c>
      <c r="G23" s="32" t="str">
        <f>CONCATENATE("of ",B58)</f>
        <v>of BE</v>
      </c>
      <c r="U23" s="60" t="s">
        <v>97</v>
      </c>
      <c r="V23" s="60"/>
      <c r="W23" s="59"/>
    </row>
    <row r="24" spans="6:23" ht="19.899999999999999" customHeight="1" x14ac:dyDescent="0.35">
      <c r="F24" s="64">
        <f>Sheet5!K17</f>
        <v>0.2059567928123541</v>
      </c>
      <c r="G24" s="64"/>
      <c r="H24" s="66">
        <f>Sheet5!L17</f>
        <v>0.2059567928123541</v>
      </c>
    </row>
    <row r="25" spans="6:23" ht="15.5" x14ac:dyDescent="0.35">
      <c r="F25" s="65" t="s">
        <v>97</v>
      </c>
      <c r="G25" s="65"/>
      <c r="H25" s="66"/>
    </row>
    <row r="29" spans="6:23" x14ac:dyDescent="0.35">
      <c r="U29" s="61">
        <f>Sheet5!E41</f>
        <v>-55217</v>
      </c>
      <c r="V29" s="61"/>
      <c r="W29" s="61"/>
    </row>
    <row r="30" spans="6:23" x14ac:dyDescent="0.35">
      <c r="U30" s="61"/>
      <c r="V30" s="61"/>
      <c r="W30" s="61"/>
    </row>
    <row r="31" spans="6:23" ht="16.5" customHeight="1" x14ac:dyDescent="0.5">
      <c r="F31" s="63">
        <f>Sheet5!E19</f>
        <v>46047</v>
      </c>
      <c r="G31" s="63"/>
      <c r="M31" s="63">
        <f>Sheet5!E23</f>
        <v>787935</v>
      </c>
      <c r="N31" s="63"/>
      <c r="U31" s="57">
        <f>IF(MONTH(D8)&lt;4,Sheet5!N41,Sheet5!M41)</f>
        <v>-0.18871284150951134</v>
      </c>
      <c r="V31" s="57"/>
      <c r="W31" s="22" t="str">
        <f>CONCATENATE("of ",B58)</f>
        <v>of BE</v>
      </c>
    </row>
    <row r="32" spans="6:23" ht="18.75" customHeight="1" x14ac:dyDescent="0.45">
      <c r="F32" s="33">
        <f>IF(MONTH(D8)&lt;4,Sheet5!N19,Sheet5!M19)</f>
        <v>0.60588157894736838</v>
      </c>
      <c r="G32" s="34" t="str">
        <f>CONCATENATE("of ",B58)</f>
        <v>of BE</v>
      </c>
      <c r="M32" s="33">
        <f>IF(MONTH(D8)&lt;4,Sheet5!N23,Sheet5!M23)</f>
        <v>0.70282938925509997</v>
      </c>
      <c r="N32" s="22" t="str">
        <f>CONCATENATE("of ",B58)</f>
        <v>of BE</v>
      </c>
      <c r="U32" s="62">
        <f>Sheet5!O41</f>
        <v>-1.546093303876257E-3</v>
      </c>
      <c r="V32" s="62"/>
      <c r="W32" s="26" t="s">
        <v>207</v>
      </c>
    </row>
    <row r="33" spans="1:27" ht="15.75" customHeight="1" x14ac:dyDescent="0.5">
      <c r="F33" s="64">
        <f>Sheet5!K19</f>
        <v>0.68701227331013004</v>
      </c>
      <c r="G33" s="64"/>
      <c r="H33" s="66">
        <f>Sheet5!L19</f>
        <v>0.68701227331013004</v>
      </c>
      <c r="M33" s="64">
        <f>Sheet5!K23</f>
        <v>0.14970445197034452</v>
      </c>
      <c r="N33" s="64"/>
      <c r="O33" s="66">
        <f>Sheet5!L23</f>
        <v>0.14970445197034452</v>
      </c>
      <c r="U33" s="58">
        <f>Sheet5!K41</f>
        <v>-1.5220182271970957</v>
      </c>
      <c r="V33" s="58"/>
      <c r="W33" s="59">
        <f>Sheet5!L41</f>
        <v>-1.5220182271970957</v>
      </c>
    </row>
    <row r="34" spans="1:27" ht="15.5" x14ac:dyDescent="0.35">
      <c r="F34" s="65" t="s">
        <v>97</v>
      </c>
      <c r="G34" s="65"/>
      <c r="H34" s="66"/>
      <c r="M34" s="65" t="s">
        <v>97</v>
      </c>
      <c r="N34" s="65"/>
      <c r="O34" s="66"/>
      <c r="U34" s="60" t="s">
        <v>97</v>
      </c>
      <c r="V34" s="60"/>
      <c r="W34" s="59"/>
    </row>
    <row r="38" spans="1:27" ht="15.5" x14ac:dyDescent="0.35">
      <c r="B38" s="34" t="s">
        <v>214</v>
      </c>
    </row>
    <row r="39" spans="1:27" s="42" customFormat="1" ht="15.5" x14ac:dyDescent="0.35">
      <c r="A39" s="51" t="s">
        <v>216</v>
      </c>
      <c r="B39" s="34" t="s">
        <v>215</v>
      </c>
    </row>
    <row r="40" spans="1:27" s="42" customFormat="1" ht="15.5" x14ac:dyDescent="0.35">
      <c r="A40" s="51" t="s">
        <v>217</v>
      </c>
      <c r="B40" s="34" t="s">
        <v>223</v>
      </c>
    </row>
    <row r="41" spans="1:27" s="42" customFormat="1" ht="15.5" x14ac:dyDescent="0.35">
      <c r="A41" s="51" t="s">
        <v>218</v>
      </c>
      <c r="B41" s="34" t="s">
        <v>225</v>
      </c>
    </row>
    <row r="42" spans="1:27" s="42" customFormat="1" ht="15.5" x14ac:dyDescent="0.35">
      <c r="A42" s="51" t="s">
        <v>219</v>
      </c>
      <c r="B42" s="50" t="s">
        <v>221</v>
      </c>
    </row>
    <row r="43" spans="1:27" s="42" customFormat="1" ht="15.5" x14ac:dyDescent="0.35">
      <c r="A43" s="46"/>
      <c r="B43" s="34" t="s">
        <v>220</v>
      </c>
    </row>
    <row r="44" spans="1:27" s="43" customFormat="1" x14ac:dyDescent="0.35"/>
    <row r="45" spans="1:27" s="43" customFormat="1" x14ac:dyDescent="0.35"/>
    <row r="46" spans="1:27" s="43" customFormat="1" x14ac:dyDescent="0.35"/>
    <row r="47" spans="1:27" s="43" customFormat="1" x14ac:dyDescent="0.35">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row>
    <row r="48" spans="1:27" s="43" customFormat="1" x14ac:dyDescent="0.35">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row>
    <row r="49" spans="2:27" s="43" customFormat="1" x14ac:dyDescent="0.35">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row>
    <row r="50" spans="2:27" s="43" customFormat="1" x14ac:dyDescent="0.35">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row>
    <row r="51" spans="2:27" s="43" customFormat="1" x14ac:dyDescent="0.35">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row>
    <row r="52" spans="2:27" s="43" customFormat="1" x14ac:dyDescent="0.35">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row>
    <row r="53" spans="2:27" s="43" customFormat="1" x14ac:dyDescent="0.35">
      <c r="B53" s="54"/>
      <c r="C53" s="54"/>
      <c r="D53" s="54"/>
      <c r="E53" s="54"/>
      <c r="F53" s="54"/>
      <c r="G53" s="54"/>
      <c r="H53" s="54"/>
      <c r="I53" s="54"/>
      <c r="J53" s="54" t="str">
        <f>INDEX(actual!B:B,COUNTA(actual!B:B))</f>
        <v>Dec-25</v>
      </c>
      <c r="K53" s="54"/>
      <c r="L53" s="54"/>
      <c r="M53" s="55">
        <f>DATEVALUE(J53)+1</f>
        <v>45993</v>
      </c>
      <c r="N53" s="54"/>
      <c r="O53" s="54"/>
      <c r="P53" s="54"/>
      <c r="Q53" s="54"/>
      <c r="R53" s="54"/>
      <c r="S53" s="54"/>
      <c r="T53" s="54"/>
      <c r="U53" s="54"/>
      <c r="V53" s="54"/>
      <c r="W53" s="54"/>
      <c r="X53" s="54"/>
      <c r="Y53" s="54"/>
      <c r="Z53" s="54"/>
      <c r="AA53" s="54"/>
    </row>
    <row r="54" spans="2:27" s="43" customFormat="1" x14ac:dyDescent="0.35">
      <c r="B54" s="54"/>
      <c r="C54" s="54"/>
      <c r="D54" s="54"/>
      <c r="E54" s="54"/>
      <c r="F54" s="54"/>
      <c r="G54" s="54"/>
      <c r="H54" s="54"/>
      <c r="I54" s="54"/>
      <c r="J54" s="55"/>
      <c r="K54" s="54"/>
      <c r="L54" s="54"/>
      <c r="M54" s="55"/>
      <c r="N54" s="54"/>
      <c r="O54" s="54"/>
      <c r="P54" s="54"/>
      <c r="Q54" s="54"/>
      <c r="R54" s="54"/>
      <c r="S54" s="54"/>
      <c r="T54" s="54"/>
      <c r="U54" s="54"/>
      <c r="V54" s="54"/>
      <c r="W54" s="54"/>
      <c r="X54" s="54"/>
      <c r="Y54" s="54"/>
      <c r="Z54" s="54"/>
      <c r="AA54" s="54"/>
    </row>
    <row r="55" spans="2:27" s="43" customFormat="1" x14ac:dyDescent="0.35">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row>
    <row r="56" spans="2:27" s="43" customFormat="1" x14ac:dyDescent="0.35">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row>
    <row r="57" spans="2:27" s="43" customFormat="1" x14ac:dyDescent="0.35">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row>
    <row r="58" spans="2:27" s="43" customFormat="1" x14ac:dyDescent="0.35">
      <c r="B58" s="54" t="str">
        <f>IF(MONTH(D8)&lt;4,"RE","BE")</f>
        <v>BE</v>
      </c>
      <c r="C58" s="54"/>
      <c r="D58" s="54" t="s">
        <v>74</v>
      </c>
      <c r="E58" s="54"/>
      <c r="F58" s="54"/>
      <c r="G58" s="54"/>
      <c r="H58" s="54"/>
      <c r="I58" s="54"/>
      <c r="J58" s="54" t="str">
        <f>CONCATENATE("Apr-",MID($D$6,3,2))</f>
        <v>Apr-25</v>
      </c>
      <c r="K58" s="54"/>
      <c r="L58" s="54"/>
      <c r="M58" s="54"/>
      <c r="N58" s="54"/>
      <c r="O58" s="54"/>
      <c r="P58" s="54"/>
      <c r="Q58" s="54" t="str">
        <f>IF(IF(DATEVALUE(CONCATENATE("Apr-",MID($D$6,3,2)))&lt;$M$53,DATEVALUE(CONCATENATE("Apr-",MID($D$6,3,2))),0)&gt;0,CONCATENATE("Apr-",MID($D$6,3,2)),"  ")</f>
        <v>Apr-25</v>
      </c>
      <c r="R58" s="54"/>
      <c r="S58" s="54"/>
      <c r="T58" s="54"/>
      <c r="U58" s="54"/>
      <c r="V58" s="54"/>
      <c r="W58" s="54"/>
      <c r="X58" s="54"/>
      <c r="Y58" s="54"/>
      <c r="Z58" s="54"/>
      <c r="AA58" s="54"/>
    </row>
    <row r="59" spans="2:27" s="43" customFormat="1" x14ac:dyDescent="0.35">
      <c r="B59" s="54"/>
      <c r="C59" s="54"/>
      <c r="D59" s="56" t="s">
        <v>145</v>
      </c>
      <c r="E59" s="54"/>
      <c r="F59" s="54"/>
      <c r="G59" s="54"/>
      <c r="H59" s="54"/>
      <c r="I59" s="54"/>
      <c r="J59" s="54" t="str">
        <f>CONCATENATE("May-",MID($D$6,3,2))</f>
        <v>May-25</v>
      </c>
      <c r="K59" s="54"/>
      <c r="L59" s="54"/>
      <c r="M59" s="54"/>
      <c r="N59" s="54"/>
      <c r="O59" s="54"/>
      <c r="P59" s="54"/>
      <c r="Q59" s="54" t="str">
        <f>IF(IF(DATEVALUE(CONCATENATE("May-",MID($D$6,3,2)))&lt;$M$53,DATEVALUE(CONCATENATE("May-",MID($D$6,3,2))),0)&gt;0,CONCATENATE("May-",MID($D$6,3,2)),"  ")</f>
        <v>May-25</v>
      </c>
      <c r="R59" s="54"/>
      <c r="S59" s="54"/>
      <c r="T59" s="54"/>
      <c r="U59" s="54"/>
      <c r="V59" s="54"/>
      <c r="W59" s="54"/>
      <c r="X59" s="54"/>
      <c r="Y59" s="54"/>
      <c r="Z59" s="54"/>
      <c r="AA59" s="54"/>
    </row>
    <row r="60" spans="2:27" s="43" customFormat="1" x14ac:dyDescent="0.35">
      <c r="B60" s="54"/>
      <c r="C60" s="54"/>
      <c r="D60" s="56" t="s">
        <v>110</v>
      </c>
      <c r="E60" s="54"/>
      <c r="F60" s="54"/>
      <c r="G60" s="54"/>
      <c r="H60" s="54"/>
      <c r="I60" s="54"/>
      <c r="J60" s="54" t="str">
        <f>CONCATENATE("Jun-",MID($D$6,3,2))</f>
        <v>Jun-25</v>
      </c>
      <c r="K60" s="54"/>
      <c r="L60" s="54"/>
      <c r="M60" s="54"/>
      <c r="N60" s="54"/>
      <c r="O60" s="54"/>
      <c r="P60" s="54"/>
      <c r="Q60" s="54" t="str">
        <f>IF(IF(DATEVALUE(CONCATENATE("Jun-",MID($D$6,3,2)))&lt;$M$53,DATEVALUE(CONCATENATE("Jun-",MID($D$6,3,2))),0)&gt;0,CONCATENATE("Jun-",MID($D$6,3,2)),"  ")</f>
        <v>Jun-25</v>
      </c>
      <c r="R60" s="54"/>
      <c r="S60" s="54"/>
      <c r="T60" s="54"/>
      <c r="U60" s="54"/>
      <c r="V60" s="54"/>
      <c r="W60" s="54"/>
      <c r="X60" s="54"/>
      <c r="Y60" s="54"/>
      <c r="Z60" s="54"/>
      <c r="AA60" s="54"/>
    </row>
    <row r="61" spans="2:27" s="43" customFormat="1" x14ac:dyDescent="0.35">
      <c r="B61" s="54"/>
      <c r="C61" s="54"/>
      <c r="D61" s="56" t="s">
        <v>109</v>
      </c>
      <c r="E61" s="54"/>
      <c r="F61" s="54"/>
      <c r="G61" s="54"/>
      <c r="H61" s="54"/>
      <c r="I61" s="54"/>
      <c r="J61" s="54" t="str">
        <f>CONCATENATE("Jul-",MID($D$6,3,2))</f>
        <v>Jul-25</v>
      </c>
      <c r="K61" s="54"/>
      <c r="L61" s="54"/>
      <c r="M61" s="54"/>
      <c r="N61" s="54"/>
      <c r="O61" s="54"/>
      <c r="P61" s="54"/>
      <c r="Q61" s="54" t="str">
        <f>IF(IF(DATEVALUE(CONCATENATE("Jul-",MID($D$6,3,2)))&lt;$M$53,DATEVALUE(CONCATENATE("Jul-",MID($D$6,3,2))),0)&gt;0,CONCATENATE("Jul-",MID($D$6,3,2)),"  ")</f>
        <v>Jul-25</v>
      </c>
      <c r="R61" s="54"/>
      <c r="S61" s="54"/>
      <c r="T61" s="54"/>
      <c r="U61" s="54"/>
      <c r="V61" s="54"/>
      <c r="W61" s="54"/>
      <c r="X61" s="54"/>
      <c r="Y61" s="54"/>
      <c r="Z61" s="54"/>
      <c r="AA61" s="54"/>
    </row>
    <row r="62" spans="2:27" s="43" customFormat="1" x14ac:dyDescent="0.35">
      <c r="B62" s="54"/>
      <c r="C62" s="54"/>
      <c r="D62" s="56" t="s">
        <v>106</v>
      </c>
      <c r="E62" s="54"/>
      <c r="F62" s="54"/>
      <c r="G62" s="54"/>
      <c r="H62" s="54"/>
      <c r="I62" s="54"/>
      <c r="J62" s="54" t="str">
        <f>CONCATENATE("Aug-",MID($D$6,3,2))</f>
        <v>Aug-25</v>
      </c>
      <c r="K62" s="54"/>
      <c r="L62" s="54"/>
      <c r="M62" s="54"/>
      <c r="N62" s="54"/>
      <c r="O62" s="54"/>
      <c r="P62" s="54"/>
      <c r="Q62" s="54" t="str">
        <f>IF(IF(DATEVALUE(CONCATENATE("Aug-",MID($D$6,3,2)))&lt;$M$53,DATEVALUE(CONCATENATE("Aug-",MID($D$6,3,2))),0)&gt;0,CONCATENATE("Aug-",MID($D$6,3,2)),"  ")</f>
        <v>Aug-25</v>
      </c>
      <c r="R62" s="54"/>
      <c r="S62" s="54"/>
      <c r="T62" s="54"/>
      <c r="U62" s="54"/>
      <c r="V62" s="54"/>
      <c r="W62" s="54"/>
      <c r="X62" s="54"/>
      <c r="Y62" s="54"/>
      <c r="Z62" s="54"/>
      <c r="AA62" s="54"/>
    </row>
    <row r="63" spans="2:27" s="43" customFormat="1" x14ac:dyDescent="0.35">
      <c r="B63" s="54"/>
      <c r="C63" s="54"/>
      <c r="D63" s="56" t="s">
        <v>64</v>
      </c>
      <c r="E63" s="54"/>
      <c r="F63" s="54"/>
      <c r="G63" s="54"/>
      <c r="H63" s="54"/>
      <c r="I63" s="54"/>
      <c r="J63" s="54" t="str">
        <f>CONCATENATE("Sep-",MID($D$6,3,2))</f>
        <v>Sep-25</v>
      </c>
      <c r="K63" s="54"/>
      <c r="L63" s="54"/>
      <c r="M63" s="54"/>
      <c r="N63" s="54"/>
      <c r="O63" s="54"/>
      <c r="P63" s="54"/>
      <c r="Q63" s="54" t="str">
        <f>IF(IF(DATEVALUE(CONCATENATE("Sep-",MID($D$6,3,2)))&lt;$M$53,DATEVALUE(CONCATENATE("Sep-",MID($D$6,3,2))),0)&gt;0,CONCATENATE("Sep-",MID($D$6,3,2)),"  ")</f>
        <v>Sep-25</v>
      </c>
      <c r="R63" s="54"/>
      <c r="S63" s="54"/>
      <c r="T63" s="54"/>
      <c r="U63" s="54"/>
      <c r="V63" s="54"/>
      <c r="W63" s="54"/>
      <c r="X63" s="54"/>
      <c r="Y63" s="54"/>
      <c r="Z63" s="54"/>
      <c r="AA63" s="54"/>
    </row>
    <row r="64" spans="2:27" s="43" customFormat="1" x14ac:dyDescent="0.35">
      <c r="B64" s="54"/>
      <c r="C64" s="54"/>
      <c r="D64" s="56" t="s">
        <v>22</v>
      </c>
      <c r="E64" s="54"/>
      <c r="F64" s="54"/>
      <c r="G64" s="54"/>
      <c r="H64" s="54"/>
      <c r="I64" s="54"/>
      <c r="J64" s="54" t="str">
        <f>CONCATENATE("Oct-",MID($D$6,3,2))</f>
        <v>Oct-25</v>
      </c>
      <c r="K64" s="54"/>
      <c r="L64" s="54"/>
      <c r="M64" s="54"/>
      <c r="N64" s="54"/>
      <c r="O64" s="54"/>
      <c r="P64" s="54"/>
      <c r="Q64" s="54" t="str">
        <f>IF(IF(DATEVALUE(CONCATENATE("Oct-",MID($D$6,3,2)))&lt;$M$53,DATEVALUE(CONCATENATE("Oct-",MID($D$6,3,2))),0)&gt;0,CONCATENATE("Oct-",MID($D$6,3,2)),"  ")</f>
        <v>Oct-25</v>
      </c>
      <c r="R64" s="54"/>
      <c r="S64" s="54"/>
      <c r="T64" s="54"/>
      <c r="U64" s="54"/>
      <c r="V64" s="54"/>
      <c r="W64" s="54"/>
      <c r="X64" s="54"/>
      <c r="Y64" s="54"/>
      <c r="Z64" s="54"/>
      <c r="AA64" s="54"/>
    </row>
    <row r="65" spans="2:27" s="43" customFormat="1" x14ac:dyDescent="0.35">
      <c r="B65" s="54"/>
      <c r="C65" s="54"/>
      <c r="D65" s="56" t="s">
        <v>42</v>
      </c>
      <c r="E65" s="54"/>
      <c r="F65" s="54"/>
      <c r="G65" s="54"/>
      <c r="H65" s="54"/>
      <c r="I65" s="54"/>
      <c r="J65" s="54" t="str">
        <f>CONCATENATE("Nov-",MID($D$6,3,2))</f>
        <v>Nov-25</v>
      </c>
      <c r="K65" s="54"/>
      <c r="L65" s="54"/>
      <c r="M65" s="54"/>
      <c r="N65" s="54"/>
      <c r="O65" s="54"/>
      <c r="P65" s="54"/>
      <c r="Q65" s="54" t="str">
        <f>IF(IF(DATEVALUE(CONCATENATE("Nov-",MID($D$6,3,2)))&lt;$M$53,DATEVALUE(CONCATENATE("Nov-",MID($D$6,3,2))),0)&gt;0,CONCATENATE("Nov-",MID($D$6,3,2)),"  ")</f>
        <v>Nov-25</v>
      </c>
      <c r="R65" s="54"/>
      <c r="S65" s="54"/>
      <c r="T65" s="54"/>
      <c r="U65" s="54"/>
      <c r="V65" s="54"/>
      <c r="W65" s="54"/>
      <c r="X65" s="54"/>
      <c r="Y65" s="54"/>
      <c r="Z65" s="54"/>
      <c r="AA65" s="54"/>
    </row>
    <row r="66" spans="2:27" s="43" customFormat="1" x14ac:dyDescent="0.35">
      <c r="B66" s="54"/>
      <c r="C66" s="54"/>
      <c r="D66" s="56" t="s">
        <v>165</v>
      </c>
      <c r="E66" s="54"/>
      <c r="F66" s="54"/>
      <c r="G66" s="54"/>
      <c r="H66" s="54"/>
      <c r="I66" s="54"/>
      <c r="J66" s="54" t="str">
        <f>CONCATENATE("Dec-",MID($D$6,3,2))</f>
        <v>Dec-25</v>
      </c>
      <c r="K66" s="54"/>
      <c r="L66" s="54"/>
      <c r="M66" s="54"/>
      <c r="N66" s="54"/>
      <c r="O66" s="54"/>
      <c r="P66" s="54"/>
      <c r="Q66" s="54" t="str">
        <f>IF(IF(DATEVALUE(CONCATENATE("Dec-",MID($D$6,3,2)))&lt;$M$53,DATEVALUE(CONCATENATE("Dec-",MID($D$6,3,2))),0)&gt;0,CONCATENATE("Dec-",MID($D$6,3,2)),"  ")</f>
        <v>Dec-25</v>
      </c>
      <c r="R66" s="54"/>
      <c r="S66" s="54"/>
      <c r="T66" s="54"/>
      <c r="U66" s="54"/>
      <c r="V66" s="54"/>
      <c r="W66" s="54"/>
      <c r="X66" s="54"/>
      <c r="Y66" s="54"/>
      <c r="Z66" s="54"/>
      <c r="AA66" s="54"/>
    </row>
    <row r="67" spans="2:27" s="43" customFormat="1" x14ac:dyDescent="0.35">
      <c r="B67" s="54"/>
      <c r="C67" s="54"/>
      <c r="D67" s="56" t="s">
        <v>177</v>
      </c>
      <c r="E67" s="54"/>
      <c r="F67" s="54"/>
      <c r="G67" s="54"/>
      <c r="H67" s="54"/>
      <c r="I67" s="54"/>
      <c r="J67" s="54" t="str">
        <f>CONCATENATE("Jan-",MID($D$6,6,2))</f>
        <v>Jan-26</v>
      </c>
      <c r="K67" s="54"/>
      <c r="L67" s="54"/>
      <c r="M67" s="54"/>
      <c r="N67" s="54"/>
      <c r="O67" s="54"/>
      <c r="P67" s="54"/>
      <c r="Q67" s="54" t="str">
        <f>IF(IF(DATEVALUE(CONCATENATE("Jan-",MID($D$6,6,2)))&lt;$M$53,DATEVALUE(CONCATENATE("Jan-",MID($D$6,6,2))),0)&gt;0,CONCATENATE("Jan-",MID($D$6,6,2)),"  ")</f>
        <v xml:space="preserve">  </v>
      </c>
      <c r="R67" s="54"/>
      <c r="S67" s="54"/>
      <c r="T67" s="54"/>
      <c r="U67" s="54"/>
      <c r="V67" s="54"/>
      <c r="W67" s="54"/>
      <c r="X67" s="54"/>
      <c r="Y67" s="54"/>
      <c r="Z67" s="54"/>
      <c r="AA67" s="54"/>
    </row>
    <row r="68" spans="2:27" s="43" customFormat="1" x14ac:dyDescent="0.35">
      <c r="B68" s="54"/>
      <c r="C68" s="54"/>
      <c r="D68" s="56" t="s">
        <v>190</v>
      </c>
      <c r="E68" s="54"/>
      <c r="F68" s="54"/>
      <c r="G68" s="54"/>
      <c r="H68" s="54"/>
      <c r="I68" s="54"/>
      <c r="J68" s="54" t="str">
        <f>CONCATENATE("Feb-",MID($D$6,6,2))</f>
        <v>Feb-26</v>
      </c>
      <c r="K68" s="54"/>
      <c r="L68" s="54"/>
      <c r="M68" s="54"/>
      <c r="N68" s="54"/>
      <c r="O68" s="54"/>
      <c r="P68" s="54"/>
      <c r="Q68" s="54" t="str">
        <f>IF(IF(DATEVALUE(CONCATENATE("Feb-",MID($D$6,6,2)))&lt;$M$53,DATEVALUE(CONCATENATE("Feb-",MID($D$6,6,2))),0)&gt;0,CONCATENATE("Feb-",MID($D$6,6,2)),"  ")</f>
        <v xml:space="preserve">  </v>
      </c>
      <c r="R68" s="54"/>
      <c r="S68" s="54"/>
      <c r="T68" s="54"/>
      <c r="U68" s="54"/>
      <c r="V68" s="54"/>
      <c r="W68" s="54"/>
      <c r="X68" s="54"/>
      <c r="Y68" s="54"/>
      <c r="Z68" s="54"/>
      <c r="AA68" s="54"/>
    </row>
    <row r="69" spans="2:27" s="43" customFormat="1" x14ac:dyDescent="0.35">
      <c r="B69" s="54"/>
      <c r="C69" s="54"/>
      <c r="D69" s="56" t="s">
        <v>203</v>
      </c>
      <c r="E69" s="54"/>
      <c r="F69" s="54"/>
      <c r="G69" s="54"/>
      <c r="H69" s="54"/>
      <c r="I69" s="54"/>
      <c r="J69" s="54" t="str">
        <f>CONCATENATE("Mar-",MID($D$6,6,2))</f>
        <v>Mar-26</v>
      </c>
      <c r="K69" s="54"/>
      <c r="L69" s="54"/>
      <c r="M69" s="54"/>
      <c r="N69" s="54"/>
      <c r="O69" s="54"/>
      <c r="P69" s="54"/>
      <c r="Q69" s="54" t="str">
        <f>IF(IF(DATEVALUE(CONCATENATE("Mar-",MID($D$6,6,2)))&lt;$M$53,DATEVALUE(CONCATENATE("Mar-",MID($D$6,6,2))),0)&gt;0,CONCATENATE("Mar-",MID($D$6,6,2)),"  ")</f>
        <v xml:space="preserve">  </v>
      </c>
      <c r="R69" s="54"/>
      <c r="S69" s="54"/>
      <c r="T69" s="54"/>
      <c r="U69" s="54"/>
      <c r="V69" s="54"/>
      <c r="W69" s="54"/>
      <c r="X69" s="54"/>
      <c r="Y69" s="54"/>
      <c r="Z69" s="54"/>
      <c r="AA69" s="54"/>
    </row>
    <row r="70" spans="2:27" s="43" customFormat="1" x14ac:dyDescent="0.35">
      <c r="B70" s="54"/>
      <c r="C70" s="54"/>
      <c r="D70" s="56" t="s">
        <v>237</v>
      </c>
      <c r="E70" s="54"/>
      <c r="F70" s="54"/>
      <c r="G70" s="54"/>
      <c r="H70" s="54"/>
      <c r="I70" s="54"/>
      <c r="J70" s="54"/>
      <c r="K70" s="54"/>
      <c r="L70" s="54"/>
      <c r="M70" s="54"/>
      <c r="N70" s="54"/>
      <c r="O70" s="54"/>
      <c r="P70" s="54"/>
      <c r="Q70" s="54"/>
      <c r="R70" s="54"/>
      <c r="S70" s="54"/>
      <c r="T70" s="54"/>
      <c r="U70" s="54"/>
      <c r="V70" s="54"/>
      <c r="W70" s="54"/>
      <c r="X70" s="54"/>
      <c r="Y70" s="54"/>
      <c r="Z70" s="54"/>
      <c r="AA70" s="54"/>
    </row>
    <row r="71" spans="2:27" s="43" customFormat="1" x14ac:dyDescent="0.35">
      <c r="B71" s="54"/>
      <c r="C71" s="54"/>
      <c r="D71" s="56" t="s">
        <v>158</v>
      </c>
      <c r="E71" s="54"/>
      <c r="F71" s="54"/>
      <c r="G71" s="54"/>
      <c r="H71" s="54"/>
      <c r="I71" s="54"/>
      <c r="J71" s="54"/>
      <c r="K71" s="54"/>
      <c r="L71" s="54"/>
      <c r="M71" s="54"/>
      <c r="N71" s="54"/>
      <c r="O71" s="54"/>
      <c r="P71" s="54"/>
      <c r="Q71" s="54"/>
      <c r="R71" s="54"/>
      <c r="S71" s="54"/>
      <c r="T71" s="54"/>
      <c r="U71" s="54"/>
      <c r="V71" s="54"/>
      <c r="W71" s="54"/>
      <c r="X71" s="54"/>
      <c r="Y71" s="54"/>
      <c r="Z71" s="54"/>
      <c r="AA71" s="54"/>
    </row>
    <row r="72" spans="2:27" s="43" customFormat="1" x14ac:dyDescent="0.35">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row>
    <row r="73" spans="2:27" s="43" customFormat="1" x14ac:dyDescent="0.35">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row>
    <row r="74" spans="2:27" s="43" customFormat="1" x14ac:dyDescent="0.35">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row>
    <row r="75" spans="2:27" s="43" customFormat="1" x14ac:dyDescent="0.35">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row>
    <row r="76" spans="2:27" s="43" customFormat="1" x14ac:dyDescent="0.35">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row>
    <row r="77" spans="2:27" s="43" customFormat="1" x14ac:dyDescent="0.35">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row>
    <row r="78" spans="2:27" s="43" customFormat="1" x14ac:dyDescent="0.35">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row>
    <row r="79" spans="2:27" s="43" customFormat="1" x14ac:dyDescent="0.35">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row>
    <row r="80" spans="2:27" s="43" customFormat="1" x14ac:dyDescent="0.35">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row>
    <row r="81" spans="2:27" s="43" customFormat="1" x14ac:dyDescent="0.35">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row>
    <row r="82" spans="2:27" s="43" customFormat="1" x14ac:dyDescent="0.35">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row>
    <row r="83" spans="2:27" s="43" customFormat="1" x14ac:dyDescent="0.35">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row>
    <row r="84" spans="2:27" s="43" customFormat="1" x14ac:dyDescent="0.35"/>
    <row r="85" spans="2:27" s="43" customFormat="1" x14ac:dyDescent="0.35"/>
    <row r="86" spans="2:27" s="43" customFormat="1" x14ac:dyDescent="0.35"/>
    <row r="87" spans="2:27" s="43" customFormat="1" x14ac:dyDescent="0.35"/>
    <row r="88" spans="2:27" s="43" customFormat="1" x14ac:dyDescent="0.35"/>
    <row r="89" spans="2:27" s="43" customFormat="1" x14ac:dyDescent="0.35"/>
    <row r="90" spans="2:27" s="43" customFormat="1" x14ac:dyDescent="0.35"/>
    <row r="91" spans="2:27" s="43" customFormat="1" x14ac:dyDescent="0.35"/>
    <row r="92" spans="2:27" s="43" customFormat="1" x14ac:dyDescent="0.35"/>
    <row r="93" spans="2:27" s="43" customFormat="1" x14ac:dyDescent="0.35"/>
    <row r="94" spans="2:27" s="43" customFormat="1" x14ac:dyDescent="0.35"/>
    <row r="95" spans="2:27" s="43" customFormat="1" x14ac:dyDescent="0.35"/>
    <row r="96" spans="2:27" s="43" customFormat="1" x14ac:dyDescent="0.35"/>
    <row r="97" s="43" customFormat="1" x14ac:dyDescent="0.35"/>
    <row r="98" s="43" customFormat="1" x14ac:dyDescent="0.35"/>
    <row r="99" s="43" customFormat="1" x14ac:dyDescent="0.35"/>
    <row r="100" s="43" customFormat="1" x14ac:dyDescent="0.35"/>
    <row r="101" s="43" customFormat="1" x14ac:dyDescent="0.35"/>
    <row r="102" s="43" customFormat="1" x14ac:dyDescent="0.35"/>
    <row r="103" s="43" customFormat="1" x14ac:dyDescent="0.35"/>
    <row r="104" s="43" customFormat="1" x14ac:dyDescent="0.35"/>
    <row r="105" s="43" customFormat="1" x14ac:dyDescent="0.35"/>
    <row r="106" s="43" customFormat="1" x14ac:dyDescent="0.35"/>
    <row r="107" s="43" customFormat="1" x14ac:dyDescent="0.35"/>
    <row r="108" s="43" customFormat="1" x14ac:dyDescent="0.35"/>
    <row r="109" s="43" customFormat="1" x14ac:dyDescent="0.35"/>
    <row r="110" s="43" customFormat="1" x14ac:dyDescent="0.35"/>
    <row r="111" s="42" customFormat="1" x14ac:dyDescent="0.35"/>
    <row r="112" s="42" customFormat="1" x14ac:dyDescent="0.35"/>
    <row r="113" s="42" customFormat="1" x14ac:dyDescent="0.35"/>
    <row r="114" s="42" customFormat="1" x14ac:dyDescent="0.35"/>
    <row r="115" s="42" customFormat="1" x14ac:dyDescent="0.35"/>
    <row r="116" s="42" customFormat="1" x14ac:dyDescent="0.35"/>
    <row r="117" s="42" customFormat="1" x14ac:dyDescent="0.35"/>
    <row r="118" s="42" customFormat="1" x14ac:dyDescent="0.35"/>
    <row r="119" s="42" customFormat="1" x14ac:dyDescent="0.35"/>
    <row r="120" s="42" customFormat="1" x14ac:dyDescent="0.35"/>
    <row r="121" s="42" customFormat="1" x14ac:dyDescent="0.35"/>
    <row r="122" s="42" customFormat="1" x14ac:dyDescent="0.35"/>
    <row r="123" s="42" customFormat="1" x14ac:dyDescent="0.35"/>
    <row r="124" s="42" customFormat="1" x14ac:dyDescent="0.35"/>
    <row r="125" s="42" customFormat="1" x14ac:dyDescent="0.35"/>
    <row r="126" s="42" customFormat="1" x14ac:dyDescent="0.35"/>
    <row r="127" s="42" customFormat="1" x14ac:dyDescent="0.35"/>
    <row r="128" s="42" customFormat="1" x14ac:dyDescent="0.35"/>
    <row r="129" s="42" customFormat="1" x14ac:dyDescent="0.35"/>
    <row r="130" s="42" customFormat="1" x14ac:dyDescent="0.35"/>
    <row r="131" s="42" customFormat="1" x14ac:dyDescent="0.35"/>
  </sheetData>
  <sheetProtection algorithmName="SHA-512" hashValue="q5NaXpICNuBQQHdbmdZATx2qs7DowiA0E/D4L6VG6mK1WCj/456nDK6x4a+WDJuNSyA2w83l37tBj06TCzcV/A==" saltValue="IgEg7MYiXgbitBc2zcwCYg==" spinCount="100000" sheet="1" objects="1" scenarios="1" selectLockedCells="1"/>
  <mergeCells count="41">
    <mergeCell ref="U13:V13"/>
    <mergeCell ref="K8:K9"/>
    <mergeCell ref="S8:S9"/>
    <mergeCell ref="M8:O9"/>
    <mergeCell ref="U8:W9"/>
    <mergeCell ref="U10:V10"/>
    <mergeCell ref="U12:V12"/>
    <mergeCell ref="W12:W13"/>
    <mergeCell ref="U11:V11"/>
    <mergeCell ref="H16:H17"/>
    <mergeCell ref="F14:G14"/>
    <mergeCell ref="F17:G17"/>
    <mergeCell ref="F22:G22"/>
    <mergeCell ref="F8:H9"/>
    <mergeCell ref="F16:G16"/>
    <mergeCell ref="F25:G25"/>
    <mergeCell ref="H24:H25"/>
    <mergeCell ref="F31:G31"/>
    <mergeCell ref="F34:G34"/>
    <mergeCell ref="H33:H34"/>
    <mergeCell ref="F24:G24"/>
    <mergeCell ref="F33:G33"/>
    <mergeCell ref="M31:N31"/>
    <mergeCell ref="M33:N33"/>
    <mergeCell ref="M34:N34"/>
    <mergeCell ref="O33:O34"/>
    <mergeCell ref="M14:N14"/>
    <mergeCell ref="M17:N17"/>
    <mergeCell ref="O16:O17"/>
    <mergeCell ref="U31:V31"/>
    <mergeCell ref="U33:V33"/>
    <mergeCell ref="W33:W34"/>
    <mergeCell ref="U34:V34"/>
    <mergeCell ref="U18:W19"/>
    <mergeCell ref="U29:W30"/>
    <mergeCell ref="U20:V20"/>
    <mergeCell ref="U22:V22"/>
    <mergeCell ref="U23:V23"/>
    <mergeCell ref="W22:W23"/>
    <mergeCell ref="U21:V21"/>
    <mergeCell ref="U32:V32"/>
  </mergeCells>
  <dataValidations count="4">
    <dataValidation type="list" allowBlank="1" showInputMessage="1" showErrorMessage="1" sqref="B3" xr:uid="{00000000-0002-0000-0000-000000000000}">
      <formula1>"fylist"</formula1>
    </dataValidation>
    <dataValidation type="list" allowBlank="1" showInputMessage="1" showErrorMessage="1" sqref="D6" xr:uid="{00000000-0002-0000-0000-000001000000}">
      <formula1>$D$60:$D$70</formula1>
    </dataValidation>
    <dataValidation type="list" allowBlank="1" showInputMessage="1" showErrorMessage="1" sqref="D8" xr:uid="{00000000-0002-0000-0000-000002000000}">
      <formula1>$Q$58:$Q$69</formula1>
    </dataValidation>
    <dataValidation allowBlank="1" showErrorMessage="1" promptTitle="Monthly Accounts Dashboard" prompt="Progressive data upto any month since April 2015 can be viewed by selecting the respective Financial Year and Month._x000a_For a five year analysis of Receipts, Expenditure and Deficit, click anywhere on the respective area on the page." sqref="D38" xr:uid="{00000000-0002-0000-0000-000003000000}"/>
  </dataValidations>
  <pageMargins left="0.7" right="0.7" top="0.75" bottom="0.75" header="0.3" footer="0.3"/>
  <pageSetup paperSize="9" orientation="landscape" r:id="rId2"/>
  <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4000000}">
          <x14:formula1>
            <xm:f>Sheet5!$A$4:$A$6</xm:f>
          </x14:formula1>
          <xm:sqref>D6</xm:sqref>
        </x14:dataValidation>
        <x14:dataValidation type="list" allowBlank="1" showInputMessage="1" showErrorMessage="1" xr:uid="{00000000-0002-0000-0000-000005000000}">
          <x14:formula1>
            <xm:f>Sheet5!$AF$5:$AF$16</xm:f>
          </x14:formula1>
          <xm:sqref>D8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
  <sheetViews>
    <sheetView zoomScaleNormal="100" workbookViewId="0"/>
  </sheetViews>
  <sheetFormatPr defaultColWidth="8.81640625" defaultRowHeight="14.5" x14ac:dyDescent="0.35"/>
  <cols>
    <col min="1" max="16384" width="8.81640625" style="22"/>
  </cols>
  <sheetData/>
  <sheetProtection algorithmName="SHA-512" hashValue="kVyMFYWB2ganDO/R9rzZIEMUEiiNz1yX+BBOQhN5/OTi+7FHI1sZiOYRJHrvO5v8WeOxuUS84TkG+Xaac+/Vpg==" saltValue="hSiOHcK9eXSBbnofFKBAuQ==" spinCount="100000" sheet="1" objects="1" scenarios="1" selectLockedCells="1"/>
  <dataValidations disablePrompts="1" count="1">
    <dataValidation type="list" allowBlank="1" showInputMessage="1" showErrorMessage="1" sqref="B3" xr:uid="{00000000-0002-0000-0100-000000000000}">
      <formula1>"fylist"</formula1>
    </dataValidation>
  </dataValidations>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6152" r:id="rId4" name="Check Box 8">
              <controlPr defaultSize="0" autoFill="0" autoLine="0" autoPict="0">
                <anchor moveWithCells="1">
                  <from>
                    <xdr:col>5</xdr:col>
                    <xdr:colOff>469900</xdr:colOff>
                    <xdr:row>46</xdr:row>
                    <xdr:rowOff>107950</xdr:rowOff>
                  </from>
                  <to>
                    <xdr:col>8</xdr:col>
                    <xdr:colOff>285750</xdr:colOff>
                    <xdr:row>48</xdr:row>
                    <xdr:rowOff>50800</xdr:rowOff>
                  </to>
                </anchor>
              </controlPr>
            </control>
          </mc:Choice>
        </mc:AlternateContent>
        <mc:AlternateContent xmlns:mc="http://schemas.openxmlformats.org/markup-compatibility/2006">
          <mc:Choice Requires="x14">
            <control shapeId="6146" r:id="rId5" name="Check Box 2">
              <controlPr defaultSize="0" autoFill="0" autoLine="0" autoPict="0">
                <anchor moveWithCells="1">
                  <from>
                    <xdr:col>2</xdr:col>
                    <xdr:colOff>247650</xdr:colOff>
                    <xdr:row>24</xdr:row>
                    <xdr:rowOff>57150</xdr:rowOff>
                  </from>
                  <to>
                    <xdr:col>4</xdr:col>
                    <xdr:colOff>298450</xdr:colOff>
                    <xdr:row>25</xdr:row>
                    <xdr:rowOff>146050</xdr:rowOff>
                  </to>
                </anchor>
              </controlPr>
            </control>
          </mc:Choice>
        </mc:AlternateContent>
        <mc:AlternateContent xmlns:mc="http://schemas.openxmlformats.org/markup-compatibility/2006">
          <mc:Choice Requires="x14">
            <control shapeId="6145" r:id="rId6" name="Check Box 1">
              <controlPr defaultSize="0" autoFill="0" autoLine="0" autoPict="0">
                <anchor moveWithCells="1">
                  <from>
                    <xdr:col>5</xdr:col>
                    <xdr:colOff>355600</xdr:colOff>
                    <xdr:row>24</xdr:row>
                    <xdr:rowOff>57150</xdr:rowOff>
                  </from>
                  <to>
                    <xdr:col>7</xdr:col>
                    <xdr:colOff>381000</xdr:colOff>
                    <xdr:row>25</xdr:row>
                    <xdr:rowOff>146050</xdr:rowOff>
                  </to>
                </anchor>
              </controlPr>
            </control>
          </mc:Choice>
        </mc:AlternateContent>
        <mc:AlternateContent xmlns:mc="http://schemas.openxmlformats.org/markup-compatibility/2006">
          <mc:Choice Requires="x14">
            <control shapeId="6147" r:id="rId7" name="Check Box 3">
              <controlPr defaultSize="0" autoFill="0" autoLine="0" autoPict="0">
                <anchor moveWithCells="1">
                  <from>
                    <xdr:col>8</xdr:col>
                    <xdr:colOff>317500</xdr:colOff>
                    <xdr:row>24</xdr:row>
                    <xdr:rowOff>38100</xdr:rowOff>
                  </from>
                  <to>
                    <xdr:col>11</xdr:col>
                    <xdr:colOff>393700</xdr:colOff>
                    <xdr:row>25</xdr:row>
                    <xdr:rowOff>165100</xdr:rowOff>
                  </to>
                </anchor>
              </controlPr>
            </control>
          </mc:Choice>
        </mc:AlternateContent>
        <mc:AlternateContent xmlns:mc="http://schemas.openxmlformats.org/markup-compatibility/2006">
          <mc:Choice Requires="x14">
            <control shapeId="6149" r:id="rId8" name="Check Box 5">
              <controlPr defaultSize="0" autoFill="0" autoLine="0" autoPict="0">
                <anchor moveWithCells="1">
                  <from>
                    <xdr:col>19</xdr:col>
                    <xdr:colOff>95250</xdr:colOff>
                    <xdr:row>24</xdr:row>
                    <xdr:rowOff>127000</xdr:rowOff>
                  </from>
                  <to>
                    <xdr:col>23</xdr:col>
                    <xdr:colOff>495300</xdr:colOff>
                    <xdr:row>25</xdr:row>
                    <xdr:rowOff>165100</xdr:rowOff>
                  </to>
                </anchor>
              </controlPr>
            </control>
          </mc:Choice>
        </mc:AlternateContent>
        <mc:AlternateContent xmlns:mc="http://schemas.openxmlformats.org/markup-compatibility/2006">
          <mc:Choice Requires="x14">
            <control shapeId="6153" r:id="rId9" name="Check Box 9">
              <controlPr defaultSize="0" autoFill="0" autoLine="0" autoPict="0">
                <anchor moveWithCells="1">
                  <from>
                    <xdr:col>8</xdr:col>
                    <xdr:colOff>552450</xdr:colOff>
                    <xdr:row>46</xdr:row>
                    <xdr:rowOff>107950</xdr:rowOff>
                  </from>
                  <to>
                    <xdr:col>11</xdr:col>
                    <xdr:colOff>457200</xdr:colOff>
                    <xdr:row>48</xdr:row>
                    <xdr:rowOff>57150</xdr:rowOff>
                  </to>
                </anchor>
              </controlPr>
            </control>
          </mc:Choice>
        </mc:AlternateContent>
        <mc:AlternateContent xmlns:mc="http://schemas.openxmlformats.org/markup-compatibility/2006">
          <mc:Choice Requires="x14">
            <control shapeId="6151" r:id="rId10" name="Check Box 7">
              <controlPr defaultSize="0" autoFill="0" autoLine="0" autoPict="0">
                <anchor moveWithCells="1">
                  <from>
                    <xdr:col>2</xdr:col>
                    <xdr:colOff>412750</xdr:colOff>
                    <xdr:row>46</xdr:row>
                    <xdr:rowOff>76200</xdr:rowOff>
                  </from>
                  <to>
                    <xdr:col>5</xdr:col>
                    <xdr:colOff>50800</xdr:colOff>
                    <xdr:row>48</xdr:row>
                    <xdr:rowOff>69850</xdr:rowOff>
                  </to>
                </anchor>
              </controlPr>
            </control>
          </mc:Choice>
        </mc:AlternateContent>
        <mc:AlternateContent xmlns:mc="http://schemas.openxmlformats.org/markup-compatibility/2006">
          <mc:Choice Requires="x14">
            <control shapeId="6154" r:id="rId11" name="Check Box 10">
              <controlPr defaultSize="0" autoFill="0" autoLine="0" autoPict="0">
                <anchor moveWithCells="1">
                  <from>
                    <xdr:col>16</xdr:col>
                    <xdr:colOff>95250</xdr:colOff>
                    <xdr:row>46</xdr:row>
                    <xdr:rowOff>107950</xdr:rowOff>
                  </from>
                  <to>
                    <xdr:col>19</xdr:col>
                    <xdr:colOff>476250</xdr:colOff>
                    <xdr:row>48</xdr:row>
                    <xdr:rowOff>12700</xdr:rowOff>
                  </to>
                </anchor>
              </controlPr>
            </control>
          </mc:Choice>
        </mc:AlternateContent>
        <mc:AlternateContent xmlns:mc="http://schemas.openxmlformats.org/markup-compatibility/2006">
          <mc:Choice Requires="x14">
            <control shapeId="6156" r:id="rId12" name="Check Box 12">
              <controlPr defaultSize="0" autoFill="0" autoLine="0" autoPict="0">
                <anchor moveWithCells="1">
                  <from>
                    <xdr:col>21</xdr:col>
                    <xdr:colOff>114300</xdr:colOff>
                    <xdr:row>46</xdr:row>
                    <xdr:rowOff>114300</xdr:rowOff>
                  </from>
                  <to>
                    <xdr:col>23</xdr:col>
                    <xdr:colOff>533400</xdr:colOff>
                    <xdr:row>47</xdr:row>
                    <xdr:rowOff>184150</xdr:rowOff>
                  </to>
                </anchor>
              </controlPr>
            </control>
          </mc:Choice>
        </mc:AlternateContent>
        <mc:AlternateContent xmlns:mc="http://schemas.openxmlformats.org/markup-compatibility/2006">
          <mc:Choice Requires="x14">
            <control shapeId="6150" r:id="rId13" name="Check Box 6">
              <controlPr defaultSize="0" autoFill="0" autoLine="0" autoPict="0">
                <anchor moveWithCells="1">
                  <from>
                    <xdr:col>15</xdr:col>
                    <xdr:colOff>247650</xdr:colOff>
                    <xdr:row>24</xdr:row>
                    <xdr:rowOff>76200</xdr:rowOff>
                  </from>
                  <to>
                    <xdr:col>17</xdr:col>
                    <xdr:colOff>488950</xdr:colOff>
                    <xdr:row>25</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dimension ref="A1"/>
  <sheetViews>
    <sheetView zoomScaleNormal="100" workbookViewId="0"/>
  </sheetViews>
  <sheetFormatPr defaultColWidth="8.81640625" defaultRowHeight="14.5" x14ac:dyDescent="0.35"/>
  <cols>
    <col min="1" max="16384" width="8.81640625" style="22"/>
  </cols>
  <sheetData/>
  <sheetProtection algorithmName="SHA-512" hashValue="MuwXlND9ZrUDQ5FoH5jH68/5hnZJOxJiPuhXWL9MJbCNwdf42Y5p2abnpP/CAai3kKea9+qHp+9ZS0ZMQgYhxw==" saltValue="ctdZkCjRxf9lJ0tnDjT6ZQ==" spinCount="100000" sheet="1" objects="1" scenarios="1" selectLockedCells="1"/>
  <dataValidations count="1">
    <dataValidation type="list" allowBlank="1" showInputMessage="1" showErrorMessage="1" sqref="B3" xr:uid="{00000000-0002-0000-0200-000000000000}">
      <formula1>"fylist"</formula1>
    </dataValidation>
  </dataValidations>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1</xdr:col>
                    <xdr:colOff>342900</xdr:colOff>
                    <xdr:row>22</xdr:row>
                    <xdr:rowOff>95250</xdr:rowOff>
                  </from>
                  <to>
                    <xdr:col>4</xdr:col>
                    <xdr:colOff>69850</xdr:colOff>
                    <xdr:row>23</xdr:row>
                    <xdr:rowOff>69850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4</xdr:col>
                    <xdr:colOff>431800</xdr:colOff>
                    <xdr:row>22</xdr:row>
                    <xdr:rowOff>31750</xdr:rowOff>
                  </from>
                  <to>
                    <xdr:col>7</xdr:col>
                    <xdr:colOff>361950</xdr:colOff>
                    <xdr:row>23</xdr:row>
                    <xdr:rowOff>133350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A1"/>
  <sheetViews>
    <sheetView showRowColHeaders="0" zoomScaleNormal="100" workbookViewId="0"/>
  </sheetViews>
  <sheetFormatPr defaultColWidth="8.81640625" defaultRowHeight="14.5" x14ac:dyDescent="0.35"/>
  <cols>
    <col min="1" max="16384" width="8.81640625" style="22"/>
  </cols>
  <sheetData/>
  <sheetProtection algorithmName="SHA-512" hashValue="Re37mS9ae6a0sSc6RfNrSrZld0rtJXmYWGcjpV32VNE4ZhSF6c9wop7SqRtxdvWB1wX64ODeB0G5EkQjXa0IbQ==" saltValue="06RRBtbc9KkAa7d9xuDozQ==" spinCount="100000" sheet="1" objects="1" scenarios="1" selectLockedCells="1"/>
  <dataValidations count="1">
    <dataValidation type="list" allowBlank="1" showInputMessage="1" showErrorMessage="1" sqref="B3" xr:uid="{00000000-0002-0000-0300-000000000000}">
      <formula1>"fylist"</formula1>
    </dataValidation>
  </dataValidations>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AH150"/>
  <sheetViews>
    <sheetView showRowColHeaders="0" workbookViewId="0">
      <pane xSplit="2" ySplit="1" topLeftCell="T110" activePane="bottomRight" state="frozen"/>
      <selection pane="topRight" activeCell="C1" sqref="C1"/>
      <selection pane="bottomLeft" activeCell="A2" sqref="A2"/>
      <selection pane="bottomRight" activeCell="A143" sqref="A143"/>
    </sheetView>
  </sheetViews>
  <sheetFormatPr defaultRowHeight="14.5" x14ac:dyDescent="0.35"/>
  <cols>
    <col min="3" max="3" width="16.26953125" customWidth="1"/>
    <col min="4" max="4" width="12.54296875" customWidth="1"/>
    <col min="5" max="5" width="24.453125" customWidth="1"/>
    <col min="9" max="9" width="19.26953125" customWidth="1"/>
    <col min="10" max="10" width="10.1796875" customWidth="1"/>
    <col min="11" max="11" width="13.453125" customWidth="1"/>
    <col min="12" max="12" width="12.26953125" customWidth="1"/>
    <col min="13" max="13" width="12.7265625" customWidth="1"/>
    <col min="14" max="14" width="29.54296875" customWidth="1"/>
    <col min="15" max="15" width="19.1796875" customWidth="1"/>
    <col min="16" max="16" width="16.26953125" customWidth="1"/>
    <col min="17" max="17" width="20.7265625" customWidth="1"/>
    <col min="18" max="18" width="22.453125" customWidth="1"/>
    <col min="19" max="19" width="28.7265625" customWidth="1"/>
    <col min="20" max="20" width="22.26953125" customWidth="1"/>
    <col min="21" max="21" width="20.7265625" customWidth="1"/>
    <col min="22" max="22" width="21.453125" customWidth="1"/>
    <col min="23" max="23" width="22.26953125" customWidth="1"/>
    <col min="25" max="25" width="9.54296875" customWidth="1"/>
    <col min="26" max="26" width="16.26953125" customWidth="1"/>
    <col min="27" max="27" width="32.81640625" customWidth="1"/>
    <col min="28" max="28" width="19.26953125" customWidth="1"/>
  </cols>
  <sheetData>
    <row r="1" spans="1:34" ht="58" x14ac:dyDescent="0.35">
      <c r="A1" s="3" t="s">
        <v>0</v>
      </c>
      <c r="B1" s="4" t="s">
        <v>1</v>
      </c>
      <c r="C1" s="3" t="s">
        <v>2</v>
      </c>
      <c r="D1" s="3" t="s">
        <v>3</v>
      </c>
      <c r="E1" s="3" t="s">
        <v>65</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20</v>
      </c>
      <c r="V1" s="3" t="s">
        <v>99</v>
      </c>
      <c r="W1" s="3" t="s">
        <v>100</v>
      </c>
      <c r="X1" s="3" t="s">
        <v>101</v>
      </c>
      <c r="Y1" s="3" t="s">
        <v>98</v>
      </c>
      <c r="Z1" s="3" t="s">
        <v>51</v>
      </c>
      <c r="AA1" s="3" t="s">
        <v>48</v>
      </c>
      <c r="AB1" s="3" t="s">
        <v>21</v>
      </c>
      <c r="AE1" s="53" t="s">
        <v>47</v>
      </c>
      <c r="AF1" s="53" t="s">
        <v>226</v>
      </c>
      <c r="AG1" s="53" t="s">
        <v>45</v>
      </c>
      <c r="AH1" s="52" t="s">
        <v>46</v>
      </c>
    </row>
    <row r="2" spans="1:34" x14ac:dyDescent="0.35">
      <c r="A2" t="s">
        <v>145</v>
      </c>
      <c r="B2" s="2" t="s">
        <v>146</v>
      </c>
      <c r="C2">
        <v>-5845</v>
      </c>
      <c r="D2">
        <v>20348</v>
      </c>
      <c r="E2">
        <v>168</v>
      </c>
      <c r="J2">
        <v>11754</v>
      </c>
      <c r="K2">
        <v>-2817</v>
      </c>
      <c r="L2">
        <v>4876</v>
      </c>
      <c r="M2">
        <v>310</v>
      </c>
      <c r="N2">
        <v>122</v>
      </c>
      <c r="O2">
        <v>27695</v>
      </c>
      <c r="P2">
        <v>514</v>
      </c>
      <c r="Q2">
        <v>825</v>
      </c>
      <c r="R2">
        <v>4613</v>
      </c>
      <c r="S2">
        <v>144</v>
      </c>
      <c r="T2">
        <v>0</v>
      </c>
      <c r="U2">
        <v>108084</v>
      </c>
      <c r="V2">
        <v>23284</v>
      </c>
      <c r="W2">
        <v>19381</v>
      </c>
      <c r="X2">
        <v>962</v>
      </c>
      <c r="Y2">
        <v>5507</v>
      </c>
      <c r="Z2">
        <v>31779</v>
      </c>
      <c r="AA2">
        <v>10112</v>
      </c>
      <c r="AB2">
        <v>12443</v>
      </c>
      <c r="AD2">
        <f>SUM(actual1[[#This Row],[Corporation Tax]:[Other Taxes]])-actual1[[#This Row],[Surcharge for financing of NCCF]]-actual1[[#This Row],[Devolution to State]]+SUM(P2:R2)+SUM(S2:T2)</f>
        <v>7073</v>
      </c>
      <c r="AE2">
        <f>actual1[[#This Row],[Revenue Expenditure]]-(SUM(actual1[[#This Row],[Corporation Tax]:[Other Taxes]])-actual1[[#This Row],[Surcharge for financing of NCCF]]-actual1[[#This Row],[Devolution to State]]+SUM(P2:R2))</f>
        <v>101155</v>
      </c>
      <c r="AF2">
        <f>AE2-actual1[[#This Row],[Grants for Creation of Capital Assets]]</f>
        <v>91043</v>
      </c>
      <c r="AG2">
        <f>U2+AB2-(SUM(actual1[[#This Row],[Corporation Tax]:[Other Taxes]])-actual1[[#This Row],[Surcharge for financing of NCCF]]-actual1[[#This Row],[Devolution to State]]+SUM(P2:R2)+SUM(S2:T2))</f>
        <v>113454</v>
      </c>
      <c r="AH2">
        <f>AG2-actual1[[#This Row],[Interest Payments]]</f>
        <v>90170</v>
      </c>
    </row>
    <row r="3" spans="1:34" x14ac:dyDescent="0.35">
      <c r="A3" t="s">
        <v>145</v>
      </c>
      <c r="B3" s="2" t="s">
        <v>147</v>
      </c>
      <c r="C3">
        <v>2980</v>
      </c>
      <c r="D3">
        <v>35449</v>
      </c>
      <c r="E3">
        <v>626</v>
      </c>
      <c r="J3">
        <v>24800</v>
      </c>
      <c r="K3">
        <v>5569</v>
      </c>
      <c r="L3">
        <v>14431</v>
      </c>
      <c r="M3">
        <v>661</v>
      </c>
      <c r="N3">
        <v>474</v>
      </c>
      <c r="O3">
        <v>55391</v>
      </c>
      <c r="P3">
        <v>645</v>
      </c>
      <c r="Q3">
        <v>837</v>
      </c>
      <c r="R3">
        <v>8372</v>
      </c>
      <c r="S3">
        <v>997</v>
      </c>
      <c r="T3">
        <v>0</v>
      </c>
      <c r="U3">
        <v>243585</v>
      </c>
      <c r="V3">
        <v>54857</v>
      </c>
      <c r="W3">
        <v>35705</v>
      </c>
      <c r="X3">
        <v>2122</v>
      </c>
      <c r="Y3">
        <v>14766</v>
      </c>
      <c r="Z3">
        <v>71250</v>
      </c>
      <c r="AA3">
        <v>21456</v>
      </c>
      <c r="AB3">
        <v>36754</v>
      </c>
      <c r="AD3">
        <f>U2+AB2</f>
        <v>120527</v>
      </c>
      <c r="AE3">
        <f>actual1[[#This Row],[Revenue Expenditure]]-(SUM(actual1[[#This Row],[Corporation Tax]:[Other Taxes]])-actual1[[#This Row],[Surcharge for financing of NCCF]]-actual1[[#This Row],[Devolution to State]]+SUM(P3:R3))</f>
        <v>205080</v>
      </c>
      <c r="AF3">
        <f>AE3-actual1[[#This Row],[Grants for Creation of Capital Assets]]</f>
        <v>183624</v>
      </c>
      <c r="AG3">
        <f>U3+AB3-(SUM(actual1[[#This Row],[Corporation Tax]:[Other Taxes]])-actual1[[#This Row],[Surcharge for financing of NCCF]]-actual1[[#This Row],[Devolution to State]]+SUM(P3:R3)+SUM(S3:T3))</f>
        <v>240837</v>
      </c>
      <c r="AH3">
        <f>AG3-actual1[[#This Row],[Interest Payments]]</f>
        <v>185980</v>
      </c>
    </row>
    <row r="4" spans="1:34" x14ac:dyDescent="0.35">
      <c r="A4" t="s">
        <v>145</v>
      </c>
      <c r="B4" s="2" t="s">
        <v>148</v>
      </c>
      <c r="C4">
        <v>50447</v>
      </c>
      <c r="D4">
        <v>46398</v>
      </c>
      <c r="E4">
        <v>1374</v>
      </c>
      <c r="J4">
        <v>38649</v>
      </c>
      <c r="K4">
        <v>18403</v>
      </c>
      <c r="L4">
        <v>26628</v>
      </c>
      <c r="M4">
        <v>1129</v>
      </c>
      <c r="N4">
        <v>856</v>
      </c>
      <c r="O4">
        <v>83086</v>
      </c>
      <c r="P4">
        <v>2005</v>
      </c>
      <c r="Q4">
        <v>2195</v>
      </c>
      <c r="R4">
        <v>11140</v>
      </c>
      <c r="S4">
        <v>1208</v>
      </c>
      <c r="T4">
        <v>109</v>
      </c>
      <c r="U4">
        <v>363785</v>
      </c>
      <c r="V4">
        <v>90694</v>
      </c>
      <c r="W4">
        <v>49351</v>
      </c>
      <c r="X4">
        <v>5501</v>
      </c>
      <c r="Y4">
        <v>22449</v>
      </c>
      <c r="Z4">
        <v>81443</v>
      </c>
      <c r="AA4">
        <v>32274</v>
      </c>
      <c r="AB4">
        <v>49818</v>
      </c>
      <c r="AE4">
        <f>actual1[[#This Row],[Revenue Expenditure]]-(SUM(actual1[[#This Row],[Corporation Tax]:[Other Taxes]])-actual1[[#This Row],[Surcharge for financing of NCCF]]-actual1[[#This Row],[Devolution to State]]+SUM(P4:R4))</f>
        <v>249359</v>
      </c>
      <c r="AF4">
        <f>AE4-actual1[[#This Row],[Grants for Creation of Capital Assets]]</f>
        <v>217085</v>
      </c>
      <c r="AG4">
        <f>U4+AB4-(SUM(actual1[[#This Row],[Corporation Tax]:[Other Taxes]])-actual1[[#This Row],[Surcharge for financing of NCCF]]-actual1[[#This Row],[Devolution to State]]+SUM(P4:R4)+SUM(S4:T4))</f>
        <v>297860</v>
      </c>
      <c r="AH4">
        <f>AG4-actual1[[#This Row],[Interest Payments]]</f>
        <v>207166</v>
      </c>
    </row>
    <row r="5" spans="1:34" x14ac:dyDescent="0.35">
      <c r="A5" t="s">
        <v>145</v>
      </c>
      <c r="B5" s="2" t="s">
        <v>149</v>
      </c>
      <c r="C5">
        <v>62518</v>
      </c>
      <c r="D5">
        <v>64905</v>
      </c>
      <c r="E5">
        <v>2067</v>
      </c>
      <c r="J5">
        <v>53881</v>
      </c>
      <c r="K5">
        <v>32264</v>
      </c>
      <c r="L5">
        <v>41628</v>
      </c>
      <c r="M5">
        <v>1610</v>
      </c>
      <c r="N5">
        <v>1227</v>
      </c>
      <c r="O5">
        <v>110781</v>
      </c>
      <c r="P5">
        <v>3546</v>
      </c>
      <c r="Q5">
        <v>3721</v>
      </c>
      <c r="R5">
        <v>21500</v>
      </c>
      <c r="S5">
        <v>3262</v>
      </c>
      <c r="T5">
        <v>122</v>
      </c>
      <c r="U5">
        <v>442051</v>
      </c>
      <c r="V5">
        <v>118615</v>
      </c>
      <c r="W5">
        <v>65913</v>
      </c>
      <c r="X5">
        <v>11908</v>
      </c>
      <c r="Y5">
        <v>29129</v>
      </c>
      <c r="Z5">
        <v>83557</v>
      </c>
      <c r="AA5">
        <v>36213</v>
      </c>
      <c r="AB5">
        <v>61889</v>
      </c>
      <c r="AE5">
        <f>actual1[[#This Row],[Revenue Expenditure]]-(SUM(actual1[[#This Row],[Corporation Tax]:[Other Taxes]])-actual1[[#This Row],[Surcharge for financing of NCCF]]-actual1[[#This Row],[Devolution to State]]+SUM(P5:R5))</f>
        <v>266419</v>
      </c>
      <c r="AF5">
        <f>AE5-actual1[[#This Row],[Grants for Creation of Capital Assets]]</f>
        <v>230206</v>
      </c>
      <c r="AG5">
        <f>U5+AB5-(SUM(actual1[[#This Row],[Corporation Tax]:[Other Taxes]])-actual1[[#This Row],[Surcharge for financing of NCCF]]-actual1[[#This Row],[Devolution to State]]+SUM(P5:R5)+SUM(S5:T5))</f>
        <v>324924</v>
      </c>
      <c r="AH5">
        <f>AG5-actual1[[#This Row],[Interest Payments]]</f>
        <v>206309</v>
      </c>
    </row>
    <row r="6" spans="1:34" x14ac:dyDescent="0.35">
      <c r="A6" t="s">
        <v>145</v>
      </c>
      <c r="B6" s="2" t="s">
        <v>150</v>
      </c>
      <c r="C6">
        <v>73569</v>
      </c>
      <c r="D6">
        <v>78535</v>
      </c>
      <c r="E6">
        <v>2717</v>
      </c>
      <c r="J6">
        <v>69838</v>
      </c>
      <c r="K6">
        <v>45453</v>
      </c>
      <c r="L6">
        <v>52817</v>
      </c>
      <c r="M6">
        <v>2009</v>
      </c>
      <c r="N6">
        <v>1555</v>
      </c>
      <c r="O6">
        <v>137924</v>
      </c>
      <c r="P6">
        <v>4440</v>
      </c>
      <c r="Q6">
        <v>56274</v>
      </c>
      <c r="R6">
        <v>24282</v>
      </c>
      <c r="S6">
        <v>4212</v>
      </c>
      <c r="T6">
        <v>122</v>
      </c>
      <c r="U6">
        <v>595219</v>
      </c>
      <c r="V6">
        <v>153876</v>
      </c>
      <c r="W6">
        <v>82049</v>
      </c>
      <c r="X6">
        <v>18024</v>
      </c>
      <c r="Y6">
        <v>38354</v>
      </c>
      <c r="Z6">
        <v>125762</v>
      </c>
      <c r="AA6">
        <v>53551</v>
      </c>
      <c r="AB6">
        <v>77499</v>
      </c>
      <c r="AE6">
        <f>actual1[[#This Row],[Revenue Expenditure]]-(SUM(actual1[[#This Row],[Corporation Tax]:[Other Taxes]])-actual1[[#This Row],[Surcharge for financing of NCCF]]-actual1[[#This Row],[Devolution to State]]+SUM(P6:R6))</f>
        <v>324764</v>
      </c>
      <c r="AF6">
        <f>AE6-actual1[[#This Row],[Grants for Creation of Capital Assets]]</f>
        <v>271213</v>
      </c>
      <c r="AG6">
        <f>U6+AB6-(SUM(actual1[[#This Row],[Corporation Tax]:[Other Taxes]])-actual1[[#This Row],[Surcharge for financing of NCCF]]-actual1[[#This Row],[Devolution to State]]+SUM(P6:R6)+SUM(S6:T6))</f>
        <v>397929</v>
      </c>
      <c r="AH6">
        <f>AG6-actual1[[#This Row],[Interest Payments]]</f>
        <v>244053</v>
      </c>
    </row>
    <row r="7" spans="1:34" x14ac:dyDescent="0.35">
      <c r="A7" t="s">
        <v>145</v>
      </c>
      <c r="B7" s="2" t="s">
        <v>151</v>
      </c>
      <c r="C7">
        <v>162269</v>
      </c>
      <c r="D7">
        <v>109412</v>
      </c>
      <c r="E7">
        <v>3223</v>
      </c>
      <c r="J7">
        <v>87408</v>
      </c>
      <c r="K7">
        <v>60547</v>
      </c>
      <c r="L7">
        <v>65201</v>
      </c>
      <c r="M7">
        <v>2558</v>
      </c>
      <c r="N7">
        <v>2012</v>
      </c>
      <c r="O7">
        <v>165415</v>
      </c>
      <c r="P7">
        <v>6347</v>
      </c>
      <c r="Q7">
        <v>61388</v>
      </c>
      <c r="R7">
        <v>26970</v>
      </c>
      <c r="S7">
        <v>5210</v>
      </c>
      <c r="T7">
        <v>121</v>
      </c>
      <c r="U7">
        <v>762949</v>
      </c>
      <c r="V7">
        <v>185670</v>
      </c>
      <c r="W7">
        <v>102021</v>
      </c>
      <c r="X7">
        <v>24324</v>
      </c>
      <c r="Y7">
        <v>46206</v>
      </c>
      <c r="Z7">
        <v>160133</v>
      </c>
      <c r="AA7">
        <v>66269</v>
      </c>
      <c r="AB7">
        <v>99104</v>
      </c>
      <c r="AE7">
        <f>actual1[[#This Row],[Revenue Expenditure]]-(SUM(actual1[[#This Row],[Corporation Tax]:[Other Taxes]])-actual1[[#This Row],[Surcharge for financing of NCCF]]-actual1[[#This Row],[Devolution to State]]+SUM(P7:R7))</f>
        <v>345053</v>
      </c>
      <c r="AF7">
        <f>AE7-actual1[[#This Row],[Grants for Creation of Capital Assets]]</f>
        <v>278784</v>
      </c>
      <c r="AG7">
        <f>U7+AB7-(SUM(actual1[[#This Row],[Corporation Tax]:[Other Taxes]])-actual1[[#This Row],[Surcharge for financing of NCCF]]-actual1[[#This Row],[Devolution to State]]+SUM(P7:R7)+SUM(S7:T7))</f>
        <v>438826</v>
      </c>
      <c r="AH7">
        <f>AG7-actual1[[#This Row],[Interest Payments]]</f>
        <v>253156</v>
      </c>
    </row>
    <row r="8" spans="1:34" x14ac:dyDescent="0.35">
      <c r="A8" t="s">
        <v>145</v>
      </c>
      <c r="B8" s="2" t="s">
        <v>152</v>
      </c>
      <c r="C8">
        <v>173381</v>
      </c>
      <c r="D8">
        <v>124972</v>
      </c>
      <c r="E8">
        <v>3876</v>
      </c>
      <c r="J8">
        <v>104104</v>
      </c>
      <c r="K8">
        <v>73105</v>
      </c>
      <c r="L8">
        <v>81213</v>
      </c>
      <c r="M8">
        <v>2947</v>
      </c>
      <c r="N8">
        <v>2515</v>
      </c>
      <c r="O8">
        <v>192211</v>
      </c>
      <c r="P8">
        <v>10651</v>
      </c>
      <c r="Q8">
        <v>63856</v>
      </c>
      <c r="R8">
        <v>36694</v>
      </c>
      <c r="S8">
        <v>6142</v>
      </c>
      <c r="T8">
        <v>122</v>
      </c>
      <c r="U8">
        <v>852707</v>
      </c>
      <c r="V8">
        <v>205974</v>
      </c>
      <c r="W8">
        <v>119070</v>
      </c>
      <c r="X8">
        <v>28317</v>
      </c>
      <c r="Y8">
        <v>53737</v>
      </c>
      <c r="Z8">
        <v>178105</v>
      </c>
      <c r="AA8">
        <v>73705</v>
      </c>
      <c r="AB8">
        <v>109382</v>
      </c>
      <c r="AE8">
        <f>actual1[[#This Row],[Revenue Expenditure]]-(SUM(actual1[[#This Row],[Corporation Tax]:[Other Taxes]])-actual1[[#This Row],[Surcharge for financing of NCCF]]-actual1[[#This Row],[Devolution to State]]+SUM(P8:R8))</f>
        <v>372634</v>
      </c>
      <c r="AF8">
        <f>AE8-actual1[[#This Row],[Grants for Creation of Capital Assets]]</f>
        <v>298929</v>
      </c>
      <c r="AG8">
        <f>U8+AB8-(SUM(actual1[[#This Row],[Corporation Tax]:[Other Taxes]])-actual1[[#This Row],[Surcharge for financing of NCCF]]-actual1[[#This Row],[Devolution to State]]+SUM(P8:R8)+SUM(S8:T8))</f>
        <v>475752</v>
      </c>
      <c r="AH8">
        <f>AG8-actual1[[#This Row],[Interest Payments]]</f>
        <v>269778</v>
      </c>
    </row>
    <row r="9" spans="1:34" x14ac:dyDescent="0.35">
      <c r="A9" t="s">
        <v>145</v>
      </c>
      <c r="B9" s="2" t="s">
        <v>153</v>
      </c>
      <c r="C9">
        <v>188553</v>
      </c>
      <c r="D9">
        <v>140150</v>
      </c>
      <c r="E9">
        <v>4357</v>
      </c>
      <c r="J9">
        <v>120225</v>
      </c>
      <c r="K9">
        <v>85925</v>
      </c>
      <c r="L9">
        <v>92903</v>
      </c>
      <c r="M9">
        <v>3470</v>
      </c>
      <c r="N9">
        <v>2918</v>
      </c>
      <c r="O9">
        <v>219355</v>
      </c>
      <c r="P9">
        <v>11629</v>
      </c>
      <c r="Q9">
        <v>63959</v>
      </c>
      <c r="R9">
        <v>52755</v>
      </c>
      <c r="S9">
        <v>7174</v>
      </c>
      <c r="T9">
        <v>222</v>
      </c>
      <c r="U9">
        <v>952728</v>
      </c>
      <c r="V9">
        <v>232650</v>
      </c>
      <c r="W9">
        <v>135526</v>
      </c>
      <c r="X9">
        <v>33124</v>
      </c>
      <c r="Y9">
        <v>61316</v>
      </c>
      <c r="Z9">
        <v>195504</v>
      </c>
      <c r="AA9">
        <v>81584</v>
      </c>
      <c r="AB9">
        <v>121455</v>
      </c>
      <c r="AE9">
        <f>actual1[[#This Row],[Revenue Expenditure]]-(SUM(actual1[[#This Row],[Corporation Tax]:[Other Taxes]])-actual1[[#This Row],[Surcharge for financing of NCCF]]-actual1[[#This Row],[Devolution to State]]+SUM(P9:R9))</f>
        <v>411075</v>
      </c>
      <c r="AF9">
        <f>AE9-actual1[[#This Row],[Grants for Creation of Capital Assets]]</f>
        <v>329491</v>
      </c>
      <c r="AG9">
        <f>U9+AB9-(SUM(actual1[[#This Row],[Corporation Tax]:[Other Taxes]])-actual1[[#This Row],[Surcharge for financing of NCCF]]-actual1[[#This Row],[Devolution to State]]+SUM(P9:R9)+SUM(S9:T9))</f>
        <v>525134</v>
      </c>
      <c r="AH9">
        <f>AG9-actual1[[#This Row],[Interest Payments]]</f>
        <v>292484</v>
      </c>
    </row>
    <row r="10" spans="1:34" x14ac:dyDescent="0.35">
      <c r="A10" t="s">
        <v>145</v>
      </c>
      <c r="B10" s="2" t="s">
        <v>154</v>
      </c>
      <c r="C10">
        <v>277620</v>
      </c>
      <c r="D10">
        <v>166556</v>
      </c>
      <c r="E10">
        <v>4939</v>
      </c>
      <c r="J10">
        <v>135596</v>
      </c>
      <c r="K10">
        <v>101859</v>
      </c>
      <c r="L10">
        <v>105196</v>
      </c>
      <c r="M10">
        <v>3920</v>
      </c>
      <c r="N10">
        <v>3362</v>
      </c>
      <c r="O10">
        <v>246610</v>
      </c>
      <c r="P10">
        <v>15808</v>
      </c>
      <c r="Q10">
        <v>69674</v>
      </c>
      <c r="R10">
        <v>62577</v>
      </c>
      <c r="S10">
        <v>8282</v>
      </c>
      <c r="T10">
        <v>1952</v>
      </c>
      <c r="U10">
        <v>1095548</v>
      </c>
      <c r="V10">
        <v>275220</v>
      </c>
      <c r="W10">
        <v>157318</v>
      </c>
      <c r="X10">
        <v>34598</v>
      </c>
      <c r="Y10">
        <v>68104</v>
      </c>
      <c r="Z10">
        <v>212418</v>
      </c>
      <c r="AA10">
        <v>97863</v>
      </c>
      <c r="AB10">
        <v>140840</v>
      </c>
      <c r="AE10">
        <f>actual1[[#This Row],[Revenue Expenditure]]-(SUM(actual1[[#This Row],[Corporation Tax]:[Other Taxes]])-actual1[[#This Row],[Surcharge for financing of NCCF]]-actual1[[#This Row],[Devolution to State]]+SUM(P10:R10))</f>
        <v>401775</v>
      </c>
      <c r="AF10">
        <f>AE10-actual1[[#This Row],[Grants for Creation of Capital Assets]]</f>
        <v>303912</v>
      </c>
      <c r="AG10">
        <f>U10+AB10-(SUM(actual1[[#This Row],[Corporation Tax]:[Other Taxes]])-actual1[[#This Row],[Surcharge for financing of NCCF]]-actual1[[#This Row],[Devolution to State]]+SUM(P10:R10)+SUM(S10:T10))</f>
        <v>532381</v>
      </c>
      <c r="AH10">
        <f>AG10-actual1[[#This Row],[Interest Payments]]</f>
        <v>257161</v>
      </c>
    </row>
    <row r="11" spans="1:34" x14ac:dyDescent="0.35">
      <c r="A11" t="s">
        <v>145</v>
      </c>
      <c r="B11" s="2" t="s">
        <v>156</v>
      </c>
      <c r="C11">
        <v>287720</v>
      </c>
      <c r="D11">
        <v>182077</v>
      </c>
      <c r="E11">
        <v>5556</v>
      </c>
      <c r="J11">
        <v>151849</v>
      </c>
      <c r="K11">
        <v>118109</v>
      </c>
      <c r="L11">
        <v>122450</v>
      </c>
      <c r="M11">
        <v>4323</v>
      </c>
      <c r="N11">
        <v>3645</v>
      </c>
      <c r="O11">
        <v>273642</v>
      </c>
      <c r="P11">
        <v>17236</v>
      </c>
      <c r="Q11">
        <v>70019</v>
      </c>
      <c r="R11">
        <v>71055</v>
      </c>
      <c r="S11">
        <v>9954</v>
      </c>
      <c r="T11">
        <v>7068</v>
      </c>
      <c r="U11">
        <v>1194613</v>
      </c>
      <c r="V11">
        <v>312260</v>
      </c>
      <c r="W11">
        <v>174307</v>
      </c>
      <c r="X11">
        <v>37023</v>
      </c>
      <c r="Y11">
        <v>76133</v>
      </c>
      <c r="Z11">
        <v>231788</v>
      </c>
      <c r="AA11">
        <v>102208</v>
      </c>
      <c r="AB11">
        <v>143655</v>
      </c>
      <c r="AE11">
        <f>actual1[[#This Row],[Revenue Expenditure]]-(SUM(actual1[[#This Row],[Corporation Tax]:[Other Taxes]])-actual1[[#This Row],[Surcharge for financing of NCCF]]-actual1[[#This Row],[Devolution to State]]+SUM(P11:R11))</f>
        <v>441506</v>
      </c>
      <c r="AF11">
        <f>AE11-actual1[[#This Row],[Grants for Creation of Capital Assets]]</f>
        <v>339298</v>
      </c>
      <c r="AG11">
        <f>U11+AB11-(SUM(actual1[[#This Row],[Corporation Tax]:[Other Taxes]])-actual1[[#This Row],[Surcharge for financing of NCCF]]-actual1[[#This Row],[Devolution to State]]+SUM(P11:R11)+SUM(S11:T11))</f>
        <v>568139</v>
      </c>
      <c r="AH11">
        <f>AG11-actual1[[#This Row],[Interest Payments]]</f>
        <v>255879</v>
      </c>
    </row>
    <row r="12" spans="1:34" x14ac:dyDescent="0.35">
      <c r="A12" t="s">
        <v>145</v>
      </c>
      <c r="B12" s="2" t="s">
        <v>155</v>
      </c>
      <c r="C12">
        <v>301761</v>
      </c>
      <c r="D12">
        <v>199496</v>
      </c>
      <c r="E12">
        <v>6280</v>
      </c>
      <c r="J12">
        <v>167492</v>
      </c>
      <c r="K12">
        <v>140322</v>
      </c>
      <c r="L12">
        <v>134889</v>
      </c>
      <c r="M12">
        <v>4713</v>
      </c>
      <c r="N12">
        <v>4035</v>
      </c>
      <c r="O12">
        <v>299499</v>
      </c>
      <c r="P12">
        <v>18561</v>
      </c>
      <c r="Q12">
        <v>72397</v>
      </c>
      <c r="R12">
        <v>73861</v>
      </c>
      <c r="S12">
        <v>11063</v>
      </c>
      <c r="T12">
        <v>29701</v>
      </c>
      <c r="U12">
        <v>1299492</v>
      </c>
      <c r="V12">
        <v>346256</v>
      </c>
      <c r="W12">
        <v>193989</v>
      </c>
      <c r="X12">
        <v>46673</v>
      </c>
      <c r="Y12">
        <v>80321</v>
      </c>
      <c r="Z12">
        <v>237878</v>
      </c>
      <c r="AA12">
        <v>114070</v>
      </c>
      <c r="AB12">
        <v>160044</v>
      </c>
      <c r="AE12">
        <f>actual1[[#This Row],[Revenue Expenditure]]-(SUM(actual1[[#This Row],[Corporation Tax]:[Other Taxes]])-actual1[[#This Row],[Surcharge for financing of NCCF]]-actual1[[#This Row],[Devolution to State]]+SUM(P12:R12))</f>
        <v>483254</v>
      </c>
      <c r="AF12">
        <f>AE12-actual1[[#This Row],[Grants for Creation of Capital Assets]]</f>
        <v>369184</v>
      </c>
      <c r="AG12">
        <f>U12+AB12-(SUM(actual1[[#This Row],[Corporation Tax]:[Other Taxes]])-actual1[[#This Row],[Surcharge for financing of NCCF]]-actual1[[#This Row],[Devolution to State]]+SUM(P12:R12)+SUM(S12:T12))</f>
        <v>602534</v>
      </c>
      <c r="AH12">
        <f>AG12-actual1[[#This Row],[Interest Payments]]</f>
        <v>256278</v>
      </c>
    </row>
    <row r="13" spans="1:34" x14ac:dyDescent="0.35">
      <c r="A13" t="s">
        <v>145</v>
      </c>
      <c r="B13" s="2" t="s">
        <v>157</v>
      </c>
      <c r="C13">
        <v>428925</v>
      </c>
      <c r="D13">
        <v>258334</v>
      </c>
      <c r="E13">
        <v>7398</v>
      </c>
      <c r="J13">
        <v>188016</v>
      </c>
      <c r="K13">
        <v>189953</v>
      </c>
      <c r="L13">
        <v>167969</v>
      </c>
      <c r="M13">
        <v>4289</v>
      </c>
      <c r="N13">
        <v>3461</v>
      </c>
      <c r="O13">
        <v>337808</v>
      </c>
      <c r="P13">
        <v>23734</v>
      </c>
      <c r="Q13">
        <v>89861</v>
      </c>
      <c r="R13">
        <v>84171</v>
      </c>
      <c r="S13">
        <v>13738</v>
      </c>
      <c r="T13">
        <v>37737</v>
      </c>
      <c r="U13">
        <v>1466992</v>
      </c>
      <c r="V13">
        <v>402444</v>
      </c>
      <c r="W13">
        <v>218694</v>
      </c>
      <c r="X13">
        <v>77198</v>
      </c>
      <c r="Y13">
        <v>93611</v>
      </c>
      <c r="Z13">
        <v>249220</v>
      </c>
      <c r="AA13">
        <v>130760</v>
      </c>
      <c r="AB13">
        <v>196681</v>
      </c>
      <c r="AE13">
        <f>actual1[[#This Row],[Revenue Expenditure]]-(SUM(actual1[[#This Row],[Corporation Tax]:[Other Taxes]])-actual1[[#This Row],[Surcharge for financing of NCCF]]-actual1[[#This Row],[Devolution to State]]+SUM(P13:R13))</f>
        <v>365611</v>
      </c>
      <c r="AF13">
        <f>AE13-actual1[[#This Row],[Grants for Creation of Capital Assets]]</f>
        <v>234851</v>
      </c>
      <c r="AG13">
        <f>U13+AB13-(SUM(actual1[[#This Row],[Corporation Tax]:[Other Taxes]])-actual1[[#This Row],[Surcharge for financing of NCCF]]-actual1[[#This Row],[Devolution to State]]+SUM(P13:R13)+SUM(S13:T13))</f>
        <v>510817</v>
      </c>
      <c r="AH13">
        <f>AG13-actual1[[#This Row],[Interest Payments]]</f>
        <v>108373</v>
      </c>
    </row>
    <row r="14" spans="1:34" x14ac:dyDescent="0.35">
      <c r="A14" t="s">
        <v>110</v>
      </c>
      <c r="B14" s="2" t="s">
        <v>126</v>
      </c>
      <c r="C14">
        <v>-4319</v>
      </c>
      <c r="D14">
        <v>19878</v>
      </c>
      <c r="E14">
        <v>268</v>
      </c>
      <c r="J14">
        <v>14452</v>
      </c>
      <c r="K14">
        <v>-2696</v>
      </c>
      <c r="L14">
        <v>6874</v>
      </c>
      <c r="M14">
        <v>359</v>
      </c>
      <c r="N14">
        <v>208</v>
      </c>
      <c r="O14">
        <v>37421</v>
      </c>
      <c r="P14">
        <v>768</v>
      </c>
      <c r="Q14">
        <v>1</v>
      </c>
      <c r="R14">
        <v>27357</v>
      </c>
      <c r="S14">
        <v>173</v>
      </c>
      <c r="T14">
        <v>1608</v>
      </c>
      <c r="U14">
        <v>128408</v>
      </c>
      <c r="V14">
        <v>16994</v>
      </c>
      <c r="W14">
        <v>18512</v>
      </c>
      <c r="X14">
        <v>4856</v>
      </c>
      <c r="Y14">
        <v>9031</v>
      </c>
      <c r="Z14">
        <v>41130</v>
      </c>
      <c r="AA14">
        <v>18367</v>
      </c>
      <c r="AB14">
        <v>26209</v>
      </c>
      <c r="AE14">
        <f>actual1[[#This Row],[Revenue Expenditure]]-(SUM(actual1[[#This Row],[Corporation Tax]:[Other Taxes]])-actual1[[#This Row],[Surcharge for financing of NCCF]]-actual1[[#This Row],[Devolution to State]]+SUM(P14:R14))</f>
        <v>103095</v>
      </c>
      <c r="AF14">
        <f>AE14-actual1[[#This Row],[Grants for Creation of Capital Assets]]</f>
        <v>84728</v>
      </c>
      <c r="AG14">
        <f>U14+AB14-(SUM(actual1[[#This Row],[Corporation Tax]:[Other Taxes]])-actual1[[#This Row],[Surcharge for financing of NCCF]]-actual1[[#This Row],[Devolution to State]]+SUM(P14:R14)+SUM(S14:T14))</f>
        <v>127523</v>
      </c>
      <c r="AH14">
        <f>AG14-actual1[[#This Row],[Interest Payments]]</f>
        <v>110529</v>
      </c>
    </row>
    <row r="15" spans="1:34" x14ac:dyDescent="0.35">
      <c r="A15" t="s">
        <v>110</v>
      </c>
      <c r="B15" s="2" t="s">
        <v>127</v>
      </c>
      <c r="C15">
        <v>1047</v>
      </c>
      <c r="D15">
        <v>31604</v>
      </c>
      <c r="E15">
        <v>939</v>
      </c>
      <c r="J15">
        <v>29907</v>
      </c>
      <c r="K15">
        <v>13649</v>
      </c>
      <c r="L15">
        <v>17411</v>
      </c>
      <c r="M15">
        <v>775</v>
      </c>
      <c r="N15">
        <v>596</v>
      </c>
      <c r="O15">
        <v>74847</v>
      </c>
      <c r="P15">
        <v>1535</v>
      </c>
      <c r="Q15">
        <v>5</v>
      </c>
      <c r="R15">
        <v>30932</v>
      </c>
      <c r="S15">
        <v>238</v>
      </c>
      <c r="T15">
        <v>1608</v>
      </c>
      <c r="U15">
        <v>225088</v>
      </c>
      <c r="V15">
        <v>48447</v>
      </c>
      <c r="W15">
        <v>34670</v>
      </c>
      <c r="X15">
        <v>13137</v>
      </c>
      <c r="Y15">
        <v>15671</v>
      </c>
      <c r="Z15">
        <v>49557</v>
      </c>
      <c r="AA15">
        <v>22138</v>
      </c>
      <c r="AB15">
        <v>37743</v>
      </c>
      <c r="AE15">
        <f>actual1[[#This Row],[Revenue Expenditure]]-(SUM(actual1[[#This Row],[Corporation Tax]:[Other Taxes]])-actual1[[#This Row],[Surcharge for financing of NCCF]]-actual1[[#This Row],[Devolution to State]]+SUM(P15:R15))</f>
        <v>172727</v>
      </c>
      <c r="AF15">
        <f>AE15-actual1[[#This Row],[Grants for Creation of Capital Assets]]</f>
        <v>150589</v>
      </c>
      <c r="AG15">
        <f>U15+AB15-(SUM(actual1[[#This Row],[Corporation Tax]:[Other Taxes]])-actual1[[#This Row],[Surcharge for financing of NCCF]]-actual1[[#This Row],[Devolution to State]]+SUM(P15:R15)+SUM(S15:T15))</f>
        <v>208624</v>
      </c>
      <c r="AH15">
        <f>AG15-actual1[[#This Row],[Interest Payments]]</f>
        <v>160177</v>
      </c>
    </row>
    <row r="16" spans="1:34" x14ac:dyDescent="0.35">
      <c r="A16" t="s">
        <v>110</v>
      </c>
      <c r="B16" s="2" t="s">
        <v>128</v>
      </c>
      <c r="C16">
        <v>52055</v>
      </c>
      <c r="D16">
        <v>45070</v>
      </c>
      <c r="E16">
        <v>1574</v>
      </c>
      <c r="J16">
        <v>47157</v>
      </c>
      <c r="K16">
        <v>37545</v>
      </c>
      <c r="L16">
        <v>30413</v>
      </c>
      <c r="M16">
        <v>1299</v>
      </c>
      <c r="N16">
        <v>1155</v>
      </c>
      <c r="O16">
        <v>112273</v>
      </c>
      <c r="P16">
        <v>2811</v>
      </c>
      <c r="Q16">
        <v>2052</v>
      </c>
      <c r="R16">
        <v>34656</v>
      </c>
      <c r="S16">
        <v>1386</v>
      </c>
      <c r="T16">
        <v>1708</v>
      </c>
      <c r="U16">
        <v>372384</v>
      </c>
      <c r="V16">
        <v>95493</v>
      </c>
      <c r="W16">
        <v>53419</v>
      </c>
      <c r="X16">
        <v>22650</v>
      </c>
      <c r="Y16">
        <v>30458</v>
      </c>
      <c r="Z16">
        <v>60301</v>
      </c>
      <c r="AA16">
        <v>35159</v>
      </c>
      <c r="AB16">
        <v>58609</v>
      </c>
      <c r="AE16">
        <f>actual1[[#This Row],[Revenue Expenditure]]-(SUM(actual1[[#This Row],[Corporation Tax]:[Other Taxes]])-actual1[[#This Row],[Surcharge for financing of NCCF]]-actual1[[#This Row],[Devolution to State]]+SUM(P16:R16))</f>
        <v>231180</v>
      </c>
      <c r="AF16">
        <f>AE16-actual1[[#This Row],[Grants for Creation of Capital Assets]]</f>
        <v>196021</v>
      </c>
      <c r="AG16">
        <f>U16+AB16-(SUM(actual1[[#This Row],[Corporation Tax]:[Other Taxes]])-actual1[[#This Row],[Surcharge for financing of NCCF]]-actual1[[#This Row],[Devolution to State]]+SUM(P16:R16)+SUM(S16:T16))</f>
        <v>286695</v>
      </c>
      <c r="AH16">
        <f>AG16-actual1[[#This Row],[Interest Payments]]</f>
        <v>191202</v>
      </c>
    </row>
    <row r="17" spans="1:34" x14ac:dyDescent="0.35">
      <c r="A17" t="s">
        <v>110</v>
      </c>
      <c r="B17" s="2" t="s">
        <v>129</v>
      </c>
      <c r="C17">
        <v>66319</v>
      </c>
      <c r="D17">
        <v>61950</v>
      </c>
      <c r="E17">
        <v>2165</v>
      </c>
      <c r="J17">
        <v>66399</v>
      </c>
      <c r="K17">
        <v>58033</v>
      </c>
      <c r="L17">
        <v>48535</v>
      </c>
      <c r="M17">
        <v>1709</v>
      </c>
      <c r="N17">
        <v>1560</v>
      </c>
      <c r="O17">
        <v>149699</v>
      </c>
      <c r="P17">
        <v>3999</v>
      </c>
      <c r="Q17">
        <v>6057</v>
      </c>
      <c r="R17">
        <v>45075</v>
      </c>
      <c r="S17">
        <v>3514</v>
      </c>
      <c r="T17">
        <v>3380</v>
      </c>
      <c r="U17">
        <v>514953</v>
      </c>
      <c r="V17">
        <v>127637</v>
      </c>
      <c r="W17">
        <v>71489</v>
      </c>
      <c r="X17">
        <v>36396</v>
      </c>
      <c r="Y17">
        <v>39781</v>
      </c>
      <c r="Z17">
        <v>89794</v>
      </c>
      <c r="AA17">
        <v>43389</v>
      </c>
      <c r="AB17">
        <v>86026</v>
      </c>
      <c r="AE17">
        <f>actual1[[#This Row],[Revenue Expenditure]]-(SUM(actual1[[#This Row],[Corporation Tax]:[Other Taxes]])-actual1[[#This Row],[Surcharge for financing of NCCF]]-actual1[[#This Row],[Devolution to State]]+SUM(P17:R17))</f>
        <v>305971</v>
      </c>
      <c r="AF17">
        <f>AE17-actual1[[#This Row],[Grants for Creation of Capital Assets]]</f>
        <v>262582</v>
      </c>
      <c r="AG17">
        <f>U17+AB17-(SUM(actual1[[#This Row],[Corporation Tax]:[Other Taxes]])-actual1[[#This Row],[Surcharge for financing of NCCF]]-actual1[[#This Row],[Devolution to State]]+SUM(P17:R17)+SUM(S17:T17))</f>
        <v>385103</v>
      </c>
      <c r="AH17">
        <f>AG17-actual1[[#This Row],[Interest Payments]]</f>
        <v>257466</v>
      </c>
    </row>
    <row r="18" spans="1:34" x14ac:dyDescent="0.35">
      <c r="A18" t="s">
        <v>110</v>
      </c>
      <c r="B18" s="2" t="s">
        <v>130</v>
      </c>
      <c r="C18">
        <v>81647</v>
      </c>
      <c r="D18">
        <v>83322</v>
      </c>
      <c r="E18">
        <v>2821</v>
      </c>
      <c r="J18">
        <v>85270</v>
      </c>
      <c r="K18">
        <v>80208</v>
      </c>
      <c r="L18">
        <v>63534</v>
      </c>
      <c r="M18">
        <v>2283</v>
      </c>
      <c r="N18">
        <v>2030</v>
      </c>
      <c r="O18">
        <v>187125</v>
      </c>
      <c r="P18">
        <v>5594</v>
      </c>
      <c r="Q18">
        <v>72147</v>
      </c>
      <c r="R18">
        <v>57865</v>
      </c>
      <c r="S18">
        <v>4559</v>
      </c>
      <c r="T18">
        <v>12803</v>
      </c>
      <c r="U18">
        <v>640255</v>
      </c>
      <c r="V18">
        <v>163469</v>
      </c>
      <c r="W18">
        <v>87261</v>
      </c>
      <c r="X18">
        <v>40353</v>
      </c>
      <c r="Y18">
        <v>47711</v>
      </c>
      <c r="Z18">
        <v>112499</v>
      </c>
      <c r="AA18">
        <v>55064</v>
      </c>
      <c r="AB18">
        <v>91938</v>
      </c>
      <c r="AE18">
        <f>actual1[[#This Row],[Revenue Expenditure]]-(SUM(actual1[[#This Row],[Corporation Tax]:[Other Taxes]])-actual1[[#This Row],[Surcharge for financing of NCCF]]-actual1[[#This Row],[Devolution to State]]+SUM(P18:R18))</f>
        <v>294719</v>
      </c>
      <c r="AF18">
        <f>AE18-actual1[[#This Row],[Grants for Creation of Capital Assets]]</f>
        <v>239655</v>
      </c>
      <c r="AG18">
        <f>U18+AB18-(SUM(actual1[[#This Row],[Corporation Tax]:[Other Taxes]])-actual1[[#This Row],[Surcharge for financing of NCCF]]-actual1[[#This Row],[Devolution to State]]+SUM(P18:R18)+SUM(S18:T18))</f>
        <v>369295</v>
      </c>
      <c r="AH18">
        <f>AG18-actual1[[#This Row],[Interest Payments]]</f>
        <v>205826</v>
      </c>
    </row>
    <row r="19" spans="1:34" x14ac:dyDescent="0.35">
      <c r="A19" t="s">
        <v>110</v>
      </c>
      <c r="B19" s="2" t="s">
        <v>131</v>
      </c>
      <c r="C19">
        <v>182635</v>
      </c>
      <c r="D19">
        <v>122424</v>
      </c>
      <c r="E19">
        <v>3556</v>
      </c>
      <c r="J19">
        <v>103625</v>
      </c>
      <c r="K19">
        <v>103008</v>
      </c>
      <c r="L19">
        <v>78735</v>
      </c>
      <c r="M19">
        <v>2901</v>
      </c>
      <c r="N19">
        <v>2597</v>
      </c>
      <c r="O19">
        <v>224551</v>
      </c>
      <c r="P19">
        <v>6795</v>
      </c>
      <c r="Q19">
        <v>75545</v>
      </c>
      <c r="R19">
        <v>61293</v>
      </c>
      <c r="S19">
        <v>5810</v>
      </c>
      <c r="T19">
        <v>12803</v>
      </c>
      <c r="U19">
        <v>782377</v>
      </c>
      <c r="V19">
        <v>197653</v>
      </c>
      <c r="W19">
        <v>104554</v>
      </c>
      <c r="X19">
        <v>52992</v>
      </c>
      <c r="Y19">
        <v>55171</v>
      </c>
      <c r="Z19">
        <v>140259</v>
      </c>
      <c r="AA19">
        <v>64874</v>
      </c>
      <c r="AB19">
        <v>128168</v>
      </c>
      <c r="AE19">
        <f>actual1[[#This Row],[Revenue Expenditure]]-(SUM(actual1[[#This Row],[Corporation Tax]:[Other Taxes]])-actual1[[#This Row],[Surcharge for financing of NCCF]]-actual1[[#This Row],[Devolution to State]]+SUM(P19:R19))</f>
        <v>269008</v>
      </c>
      <c r="AF19">
        <f>AE19-actual1[[#This Row],[Grants for Creation of Capital Assets]]</f>
        <v>204134</v>
      </c>
      <c r="AG19">
        <f>U19+AB19-(SUM(actual1[[#This Row],[Corporation Tax]:[Other Taxes]])-actual1[[#This Row],[Surcharge for financing of NCCF]]-actual1[[#This Row],[Devolution to State]]+SUM(P19:R19)+SUM(S19:T19))</f>
        <v>378563</v>
      </c>
      <c r="AH19">
        <f>AG19-actual1[[#This Row],[Interest Payments]]</f>
        <v>180910</v>
      </c>
    </row>
    <row r="20" spans="1:34" x14ac:dyDescent="0.35">
      <c r="A20" t="s">
        <v>110</v>
      </c>
      <c r="B20" s="2" t="s">
        <v>132</v>
      </c>
      <c r="C20">
        <v>198338</v>
      </c>
      <c r="D20">
        <v>142420</v>
      </c>
      <c r="E20">
        <v>4126</v>
      </c>
      <c r="J20">
        <v>121944</v>
      </c>
      <c r="K20">
        <v>123363</v>
      </c>
      <c r="L20">
        <v>100333</v>
      </c>
      <c r="M20">
        <v>3318</v>
      </c>
      <c r="N20">
        <v>3062</v>
      </c>
      <c r="O20">
        <v>261977</v>
      </c>
      <c r="P20">
        <v>12835</v>
      </c>
      <c r="Q20">
        <v>78298</v>
      </c>
      <c r="R20">
        <v>70802</v>
      </c>
      <c r="S20">
        <v>6833</v>
      </c>
      <c r="T20">
        <v>12803</v>
      </c>
      <c r="U20">
        <v>878291</v>
      </c>
      <c r="V20">
        <v>215332</v>
      </c>
      <c r="W20">
        <v>123501</v>
      </c>
      <c r="X20">
        <v>60215</v>
      </c>
      <c r="Y20">
        <v>62993</v>
      </c>
      <c r="Z20">
        <v>168439</v>
      </c>
      <c r="AA20">
        <v>68193</v>
      </c>
      <c r="AB20">
        <v>143329</v>
      </c>
      <c r="AE20">
        <f>actual1[[#This Row],[Revenue Expenditure]]-(SUM(actual1[[#This Row],[Corporation Tax]:[Other Taxes]])-actual1[[#This Row],[Surcharge for financing of NCCF]]-actual1[[#This Row],[Devolution to State]]+SUM(P20:R20))</f>
        <v>287553</v>
      </c>
      <c r="AF20">
        <f>AE20-actual1[[#This Row],[Grants for Creation of Capital Assets]]</f>
        <v>219360</v>
      </c>
      <c r="AG20">
        <f>U20+AB20-(SUM(actual1[[#This Row],[Corporation Tax]:[Other Taxes]])-actual1[[#This Row],[Surcharge for financing of NCCF]]-actual1[[#This Row],[Devolution to State]]+SUM(P20:R20)+SUM(S20:T20))</f>
        <v>411246</v>
      </c>
      <c r="AH20">
        <f>AG20-actual1[[#This Row],[Interest Payments]]</f>
        <v>195914</v>
      </c>
    </row>
    <row r="21" spans="1:34" x14ac:dyDescent="0.35">
      <c r="A21" t="s">
        <v>110</v>
      </c>
      <c r="B21" s="2" t="s">
        <v>133</v>
      </c>
      <c r="C21">
        <v>203985</v>
      </c>
      <c r="D21">
        <v>154345</v>
      </c>
      <c r="E21">
        <v>4690</v>
      </c>
      <c r="J21">
        <v>139050</v>
      </c>
      <c r="K21">
        <v>146324</v>
      </c>
      <c r="L21">
        <v>115527</v>
      </c>
      <c r="M21">
        <v>3914</v>
      </c>
      <c r="N21">
        <v>3568</v>
      </c>
      <c r="O21">
        <v>299403</v>
      </c>
      <c r="P21">
        <v>14113</v>
      </c>
      <c r="Q21">
        <v>83225</v>
      </c>
      <c r="R21">
        <v>75854</v>
      </c>
      <c r="S21">
        <v>7875</v>
      </c>
      <c r="T21">
        <v>12853</v>
      </c>
      <c r="U21">
        <v>983384</v>
      </c>
      <c r="V21">
        <v>252599</v>
      </c>
      <c r="W21">
        <v>142622</v>
      </c>
      <c r="X21">
        <v>66220</v>
      </c>
      <c r="Y21">
        <v>60471</v>
      </c>
      <c r="Z21">
        <v>188394</v>
      </c>
      <c r="AA21">
        <v>80924</v>
      </c>
      <c r="AB21">
        <v>158923</v>
      </c>
      <c r="AE21">
        <f>actual1[[#This Row],[Revenue Expenditure]]-(SUM(actual1[[#This Row],[Corporation Tax]:[Other Taxes]])-actual1[[#This Row],[Surcharge for financing of NCCF]]-actual1[[#This Row],[Devolution to State]]+SUM(P21:R21))</f>
        <v>345328</v>
      </c>
      <c r="AF21">
        <f>AE21-actual1[[#This Row],[Grants for Creation of Capital Assets]]</f>
        <v>264404</v>
      </c>
      <c r="AG21">
        <f>U21+AB21-(SUM(actual1[[#This Row],[Corporation Tax]:[Other Taxes]])-actual1[[#This Row],[Surcharge for financing of NCCF]]-actual1[[#This Row],[Devolution to State]]+SUM(P21:R21)+SUM(S21:T21))</f>
        <v>483523</v>
      </c>
      <c r="AH21">
        <f>AG21-actual1[[#This Row],[Interest Payments]]</f>
        <v>230924</v>
      </c>
    </row>
    <row r="22" spans="1:34" x14ac:dyDescent="0.35">
      <c r="A22" t="s">
        <v>110</v>
      </c>
      <c r="B22" s="2" t="s">
        <v>134</v>
      </c>
      <c r="C22">
        <v>305666</v>
      </c>
      <c r="D22">
        <v>186105</v>
      </c>
      <c r="E22">
        <v>5217</v>
      </c>
      <c r="J22">
        <v>159484</v>
      </c>
      <c r="K22">
        <v>171420</v>
      </c>
      <c r="L22">
        <v>130924</v>
      </c>
      <c r="M22">
        <v>4413</v>
      </c>
      <c r="N22">
        <v>4152</v>
      </c>
      <c r="O22">
        <v>336830</v>
      </c>
      <c r="P22">
        <v>15872</v>
      </c>
      <c r="Q22">
        <v>83425</v>
      </c>
      <c r="R22">
        <v>82264</v>
      </c>
      <c r="S22">
        <v>9138</v>
      </c>
      <c r="T22">
        <v>12866</v>
      </c>
      <c r="U22">
        <v>1126042</v>
      </c>
      <c r="V22">
        <v>302298</v>
      </c>
      <c r="W22">
        <v>165985</v>
      </c>
      <c r="X22">
        <v>73910</v>
      </c>
      <c r="Y22">
        <v>69467</v>
      </c>
      <c r="Z22">
        <v>208759</v>
      </c>
      <c r="AA22">
        <v>92788</v>
      </c>
      <c r="AB22">
        <v>187955</v>
      </c>
      <c r="AE22">
        <f>actual1[[#This Row],[Revenue Expenditure]]-(SUM(actual1[[#This Row],[Corporation Tax]:[Other Taxes]])-actual1[[#This Row],[Surcharge for financing of NCCF]]-actual1[[#This Row],[Devolution to State]]+SUM(P22:R22))</f>
        <v>322234</v>
      </c>
      <c r="AF22">
        <f>AE22-actual1[[#This Row],[Grants for Creation of Capital Assets]]</f>
        <v>229446</v>
      </c>
      <c r="AG22">
        <f>U22+AB22-(SUM(actual1[[#This Row],[Corporation Tax]:[Other Taxes]])-actual1[[#This Row],[Surcharge for financing of NCCF]]-actual1[[#This Row],[Devolution to State]]+SUM(P22:R22)+SUM(S22:T22))</f>
        <v>488185</v>
      </c>
      <c r="AH22">
        <f>AG22-actual1[[#This Row],[Interest Payments]]</f>
        <v>185887</v>
      </c>
    </row>
    <row r="23" spans="1:34" x14ac:dyDescent="0.35">
      <c r="A23" t="s">
        <v>110</v>
      </c>
      <c r="B23" s="2" t="s">
        <v>124</v>
      </c>
      <c r="C23">
        <v>317155</v>
      </c>
      <c r="D23">
        <v>205028</v>
      </c>
      <c r="E23">
        <v>5781</v>
      </c>
      <c r="J23">
        <v>177115</v>
      </c>
      <c r="K23">
        <v>194837</v>
      </c>
      <c r="L23">
        <v>153025</v>
      </c>
      <c r="M23">
        <v>4763</v>
      </c>
      <c r="N23">
        <v>4556</v>
      </c>
      <c r="O23">
        <v>374256</v>
      </c>
      <c r="P23">
        <v>17622</v>
      </c>
      <c r="Q23">
        <v>86631</v>
      </c>
      <c r="R23">
        <v>98037</v>
      </c>
      <c r="S23">
        <v>10011</v>
      </c>
      <c r="T23">
        <v>12866</v>
      </c>
      <c r="U23">
        <v>1227356</v>
      </c>
      <c r="V23">
        <v>341634</v>
      </c>
      <c r="W23">
        <v>184131</v>
      </c>
      <c r="X23">
        <v>79419</v>
      </c>
      <c r="Y23">
        <v>77335</v>
      </c>
      <c r="Z23">
        <v>212864</v>
      </c>
      <c r="AA23">
        <v>99268</v>
      </c>
      <c r="AB23">
        <v>208984</v>
      </c>
      <c r="AE23">
        <f>actual1[[#This Row],[Revenue Expenditure]]-(SUM(actual1[[#This Row],[Corporation Tax]:[Other Taxes]])-actual1[[#This Row],[Surcharge for financing of NCCF]]-actual1[[#This Row],[Devolution to State]]+SUM(P23:R23))</f>
        <v>346174</v>
      </c>
      <c r="AF23">
        <f>AE23-actual1[[#This Row],[Grants for Creation of Capital Assets]]</f>
        <v>246906</v>
      </c>
      <c r="AG23">
        <f>U23+AB23-(SUM(actual1[[#This Row],[Corporation Tax]:[Other Taxes]])-actual1[[#This Row],[Surcharge for financing of NCCF]]-actual1[[#This Row],[Devolution to State]]+SUM(P23:R23)+SUM(S23:T23))</f>
        <v>532281</v>
      </c>
      <c r="AH23">
        <f>AG23-actual1[[#This Row],[Interest Payments]]</f>
        <v>190647</v>
      </c>
    </row>
    <row r="24" spans="1:34" x14ac:dyDescent="0.35">
      <c r="A24" t="s">
        <v>110</v>
      </c>
      <c r="B24" s="2" t="s">
        <v>125</v>
      </c>
      <c r="C24">
        <v>332259</v>
      </c>
      <c r="D24">
        <v>221952</v>
      </c>
      <c r="E24">
        <v>6368</v>
      </c>
      <c r="J24">
        <v>193846</v>
      </c>
      <c r="K24">
        <v>222476</v>
      </c>
      <c r="L24">
        <v>170428</v>
      </c>
      <c r="M24">
        <v>5216</v>
      </c>
      <c r="N24">
        <v>5085</v>
      </c>
      <c r="O24">
        <v>411682</v>
      </c>
      <c r="P24">
        <v>19028</v>
      </c>
      <c r="Q24">
        <v>91135</v>
      </c>
      <c r="R24">
        <v>101109</v>
      </c>
      <c r="S24">
        <v>17428</v>
      </c>
      <c r="T24">
        <v>18523</v>
      </c>
      <c r="U24">
        <v>1337860</v>
      </c>
      <c r="V24">
        <v>379485</v>
      </c>
      <c r="W24">
        <v>202265</v>
      </c>
      <c r="X24">
        <v>87706</v>
      </c>
      <c r="Y24">
        <v>85945</v>
      </c>
      <c r="Z24">
        <v>216552</v>
      </c>
      <c r="AA24">
        <v>110796</v>
      </c>
      <c r="AB24">
        <v>218013</v>
      </c>
      <c r="AE24">
        <f>actual1[[#This Row],[Revenue Expenditure]]-(SUM(actual1[[#This Row],[Corporation Tax]:[Other Taxes]])-actual1[[#This Row],[Surcharge for financing of NCCF]]-actual1[[#This Row],[Devolution to State]]+SUM(P24:R24))</f>
        <v>390810</v>
      </c>
      <c r="AF24">
        <f>AE24-actual1[[#This Row],[Grants for Creation of Capital Assets]]</f>
        <v>280014</v>
      </c>
      <c r="AG24">
        <f>U24+AB24-(SUM(actual1[[#This Row],[Corporation Tax]:[Other Taxes]])-actual1[[#This Row],[Surcharge for financing of NCCF]]-actual1[[#This Row],[Devolution to State]]+SUM(P24:R24)+SUM(S24:T24))</f>
        <v>572872</v>
      </c>
      <c r="AH24">
        <f>AG24-actual1[[#This Row],[Interest Payments]]</f>
        <v>193387</v>
      </c>
    </row>
    <row r="25" spans="1:34" x14ac:dyDescent="0.35">
      <c r="A25" t="s">
        <v>110</v>
      </c>
      <c r="B25" s="2" t="s">
        <v>135</v>
      </c>
      <c r="C25">
        <v>453228</v>
      </c>
      <c r="D25">
        <v>280323</v>
      </c>
      <c r="E25">
        <v>7350</v>
      </c>
      <c r="J25">
        <v>210338</v>
      </c>
      <c r="K25">
        <v>287148</v>
      </c>
      <c r="L25">
        <v>211415</v>
      </c>
      <c r="M25">
        <v>5846</v>
      </c>
      <c r="N25">
        <v>5690</v>
      </c>
      <c r="O25">
        <v>506193</v>
      </c>
      <c r="P25">
        <v>25378</v>
      </c>
      <c r="Q25">
        <v>112127</v>
      </c>
      <c r="R25">
        <v>113755</v>
      </c>
      <c r="S25">
        <v>20843</v>
      </c>
      <c r="T25">
        <v>42132</v>
      </c>
      <c r="U25">
        <v>1537761</v>
      </c>
      <c r="V25">
        <v>441659</v>
      </c>
      <c r="W25">
        <v>225895</v>
      </c>
      <c r="X25">
        <v>105444</v>
      </c>
      <c r="Y25">
        <v>96771</v>
      </c>
      <c r="Z25">
        <v>242447</v>
      </c>
      <c r="AA25">
        <v>130955</v>
      </c>
      <c r="AB25">
        <v>253022</v>
      </c>
      <c r="AE25">
        <f>actual1[[#This Row],[Revenue Expenditure]]-(SUM(actual1[[#This Row],[Corporation Tax]:[Other Taxes]])-actual1[[#This Row],[Surcharge for financing of NCCF]]-actual1[[#This Row],[Devolution to State]]+SUM(P25:R25))</f>
        <v>342736</v>
      </c>
      <c r="AF25">
        <f>AE25-actual1[[#This Row],[Grants for Creation of Capital Assets]]</f>
        <v>211781</v>
      </c>
      <c r="AG25">
        <f>U25+AB25-(SUM(actual1[[#This Row],[Corporation Tax]:[Other Taxes]])-actual1[[#This Row],[Surcharge for financing of NCCF]]-actual1[[#This Row],[Devolution to State]]+SUM(P25:R25)+SUM(S25:T25))</f>
        <v>532783</v>
      </c>
      <c r="AH25">
        <f>AG25-actual1[[#This Row],[Interest Payments]]</f>
        <v>91124</v>
      </c>
    </row>
    <row r="26" spans="1:34" x14ac:dyDescent="0.35">
      <c r="A26" t="s">
        <v>109</v>
      </c>
      <c r="B26" s="2" t="s">
        <v>107</v>
      </c>
      <c r="C26">
        <v>-2818</v>
      </c>
      <c r="D26">
        <v>30831</v>
      </c>
      <c r="E26">
        <v>238</v>
      </c>
      <c r="J26">
        <v>17659</v>
      </c>
      <c r="K26">
        <v>-402</v>
      </c>
      <c r="L26">
        <v>7789</v>
      </c>
      <c r="M26">
        <v>404</v>
      </c>
      <c r="N26">
        <v>202</v>
      </c>
      <c r="O26">
        <v>40733</v>
      </c>
      <c r="P26">
        <v>515</v>
      </c>
      <c r="Q26">
        <v>3006</v>
      </c>
      <c r="R26">
        <v>5788</v>
      </c>
      <c r="S26">
        <v>248</v>
      </c>
      <c r="T26">
        <v>2336</v>
      </c>
      <c r="U26">
        <v>141150</v>
      </c>
      <c r="V26">
        <v>15856</v>
      </c>
      <c r="W26">
        <v>16101</v>
      </c>
      <c r="X26">
        <v>31294</v>
      </c>
      <c r="Y26">
        <v>7259</v>
      </c>
      <c r="Z26">
        <v>29147</v>
      </c>
      <c r="AA26">
        <v>23962</v>
      </c>
      <c r="AB26">
        <v>20835</v>
      </c>
      <c r="AE26">
        <f>actual1[[#This Row],[Revenue Expenditure]]-(SUM(actual1[[#This Row],[Corporation Tax]:[Other Taxes]])-actual1[[#This Row],[Surcharge for financing of NCCF]]-actual1[[#This Row],[Devolution to State]]+SUM(P26:R26))</f>
        <v>119075</v>
      </c>
      <c r="AF26">
        <f>AE26-actual1[[#This Row],[Grants for Creation of Capital Assets]]</f>
        <v>95113</v>
      </c>
      <c r="AG26">
        <f>U26+AB26-(SUM(actual1[[#This Row],[Corporation Tax]:[Other Taxes]])-actual1[[#This Row],[Surcharge for financing of NCCF]]-actual1[[#This Row],[Devolution to State]]+SUM(P26:R26)+SUM(S26:T26))</f>
        <v>137326</v>
      </c>
      <c r="AH26">
        <f>AG26-actual1[[#This Row],[Interest Payments]]</f>
        <v>121470</v>
      </c>
    </row>
    <row r="27" spans="1:34" x14ac:dyDescent="0.35">
      <c r="A27" t="s">
        <v>109</v>
      </c>
      <c r="B27" s="2" t="s">
        <v>113</v>
      </c>
      <c r="C27">
        <v>-685</v>
      </c>
      <c r="D27">
        <v>45124</v>
      </c>
      <c r="E27">
        <v>783</v>
      </c>
      <c r="J27">
        <v>36626</v>
      </c>
      <c r="K27">
        <v>26560</v>
      </c>
      <c r="L27">
        <v>22650</v>
      </c>
      <c r="M27">
        <v>800</v>
      </c>
      <c r="N27">
        <v>696</v>
      </c>
      <c r="O27">
        <v>81472</v>
      </c>
      <c r="P27">
        <v>911</v>
      </c>
      <c r="Q27">
        <v>3006</v>
      </c>
      <c r="R27">
        <v>12084</v>
      </c>
      <c r="S27">
        <v>390</v>
      </c>
      <c r="T27">
        <v>2979</v>
      </c>
      <c r="U27">
        <v>264814</v>
      </c>
      <c r="V27">
        <v>54714</v>
      </c>
      <c r="W27">
        <v>27737</v>
      </c>
      <c r="X27">
        <v>59836</v>
      </c>
      <c r="Y27">
        <v>18870</v>
      </c>
      <c r="Z27">
        <v>45751</v>
      </c>
      <c r="AA27">
        <v>33863</v>
      </c>
      <c r="AB27">
        <v>33232</v>
      </c>
      <c r="AE27">
        <f>actual1[[#This Row],[Revenue Expenditure]]-(SUM(actual1[[#This Row],[Corporation Tax]:[Other Taxes]])-actual1[[#This Row],[Surcharge for financing of NCCF]]-actual1[[#This Row],[Devolution to State]]+SUM(P27:R27))</f>
        <v>199123</v>
      </c>
      <c r="AF27">
        <f>AE27-actual1[[#This Row],[Grants for Creation of Capital Assets]]</f>
        <v>165260</v>
      </c>
      <c r="AG27">
        <f>U27+AB27-(SUM(actual1[[#This Row],[Corporation Tax]:[Other Taxes]])-actual1[[#This Row],[Surcharge for financing of NCCF]]-actual1[[#This Row],[Devolution to State]]+SUM(P27:R27)+SUM(S27:T27))</f>
        <v>228986</v>
      </c>
      <c r="AH27">
        <f>AG27-actual1[[#This Row],[Interest Payments]]</f>
        <v>174272</v>
      </c>
    </row>
    <row r="28" spans="1:34" x14ac:dyDescent="0.35">
      <c r="A28" t="s">
        <v>109</v>
      </c>
      <c r="B28" s="2" t="s">
        <v>114</v>
      </c>
      <c r="C28">
        <v>54110</v>
      </c>
      <c r="D28">
        <v>69140</v>
      </c>
      <c r="E28">
        <v>1438</v>
      </c>
      <c r="J28">
        <v>55528</v>
      </c>
      <c r="K28">
        <v>60273</v>
      </c>
      <c r="L28">
        <v>39086</v>
      </c>
      <c r="M28">
        <v>1278</v>
      </c>
      <c r="N28">
        <v>1339</v>
      </c>
      <c r="O28">
        <v>122211</v>
      </c>
      <c r="P28">
        <v>1868</v>
      </c>
      <c r="Q28">
        <v>4221</v>
      </c>
      <c r="R28">
        <v>17395</v>
      </c>
      <c r="S28">
        <v>1743</v>
      </c>
      <c r="T28">
        <v>2979</v>
      </c>
      <c r="U28">
        <v>462836</v>
      </c>
      <c r="V28">
        <v>108802</v>
      </c>
      <c r="W28">
        <v>40230</v>
      </c>
      <c r="X28">
        <v>95327</v>
      </c>
      <c r="Y28">
        <v>27863</v>
      </c>
      <c r="Z28">
        <v>92287</v>
      </c>
      <c r="AA28">
        <v>53773</v>
      </c>
      <c r="AB28">
        <v>48996</v>
      </c>
      <c r="AE28">
        <f>actual1[[#This Row],[Revenue Expenditure]]-(SUM(actual1[[#This Row],[Corporation Tax]:[Other Taxes]])-actual1[[#This Row],[Surcharge for financing of NCCF]]-actual1[[#This Row],[Devolution to State]]+SUM(P28:R28))</f>
        <v>282049</v>
      </c>
      <c r="AF28">
        <f>AE28-actual1[[#This Row],[Grants for Creation of Capital Assets]]</f>
        <v>228276</v>
      </c>
      <c r="AG28">
        <f>U28+AB28-(SUM(actual1[[#This Row],[Corporation Tax]:[Other Taxes]])-actual1[[#This Row],[Surcharge for financing of NCCF]]-actual1[[#This Row],[Devolution to State]]+SUM(P28:R28)+SUM(S28:T28))</f>
        <v>326323</v>
      </c>
      <c r="AH28">
        <f>AG28-actual1[[#This Row],[Interest Payments]]</f>
        <v>217521</v>
      </c>
    </row>
    <row r="29" spans="1:34" x14ac:dyDescent="0.35">
      <c r="A29" t="s">
        <v>109</v>
      </c>
      <c r="B29" s="2" t="s">
        <v>115</v>
      </c>
      <c r="C29">
        <v>67061</v>
      </c>
      <c r="D29">
        <v>91834</v>
      </c>
      <c r="E29">
        <v>1952</v>
      </c>
      <c r="F29">
        <v>0</v>
      </c>
      <c r="G29">
        <v>0</v>
      </c>
      <c r="H29">
        <v>0</v>
      </c>
      <c r="I29">
        <v>0</v>
      </c>
      <c r="J29">
        <v>72153</v>
      </c>
      <c r="K29">
        <v>90328</v>
      </c>
      <c r="L29">
        <v>61195</v>
      </c>
      <c r="M29">
        <v>1916</v>
      </c>
      <c r="N29">
        <v>1822</v>
      </c>
      <c r="O29">
        <v>162949</v>
      </c>
      <c r="P29">
        <v>2866</v>
      </c>
      <c r="Q29">
        <v>4522</v>
      </c>
      <c r="R29">
        <v>26710</v>
      </c>
      <c r="S29">
        <v>4251</v>
      </c>
      <c r="T29">
        <v>3183</v>
      </c>
      <c r="U29">
        <v>585404</v>
      </c>
      <c r="V29">
        <v>140479</v>
      </c>
      <c r="W29">
        <v>52565</v>
      </c>
      <c r="X29">
        <v>119808</v>
      </c>
      <c r="Y29">
        <v>36867</v>
      </c>
      <c r="Z29">
        <v>105879</v>
      </c>
      <c r="AA29">
        <v>63211</v>
      </c>
      <c r="AB29">
        <v>71283</v>
      </c>
      <c r="AE29">
        <f>actual1[[#This Row],[Revenue Expenditure]]-(SUM(actual1[[#This Row],[Corporation Tax]:[Other Taxes]])-actual1[[#This Row],[Surcharge for financing of NCCF]]-actual1[[#This Row],[Devolution to State]]+SUM(P29:R29))</f>
        <v>329638</v>
      </c>
      <c r="AF29">
        <f>AE29-actual1[[#This Row],[Grants for Creation of Capital Assets]]</f>
        <v>266427</v>
      </c>
      <c r="AG29">
        <f>U29+AB29-(SUM(actual1[[#This Row],[Corporation Tax]:[Other Taxes]])-actual1[[#This Row],[Surcharge for financing of NCCF]]-actual1[[#This Row],[Devolution to State]]+SUM(P29:R29)+SUM(S29:T29))</f>
        <v>393487</v>
      </c>
      <c r="AH29">
        <f>AG29-actual1[[#This Row],[Interest Payments]]</f>
        <v>253008</v>
      </c>
    </row>
    <row r="30" spans="1:34" x14ac:dyDescent="0.35">
      <c r="A30" t="s">
        <v>109</v>
      </c>
      <c r="B30" s="2" t="s">
        <v>116</v>
      </c>
      <c r="C30">
        <v>80464</v>
      </c>
      <c r="D30">
        <v>109918</v>
      </c>
      <c r="E30">
        <v>2812</v>
      </c>
      <c r="F30">
        <v>0</v>
      </c>
      <c r="G30">
        <v>0</v>
      </c>
      <c r="H30">
        <v>0</v>
      </c>
      <c r="I30">
        <v>0</v>
      </c>
      <c r="J30">
        <v>90774</v>
      </c>
      <c r="K30">
        <v>120935</v>
      </c>
      <c r="L30">
        <v>79039</v>
      </c>
      <c r="M30">
        <v>2414</v>
      </c>
      <c r="N30">
        <v>2413</v>
      </c>
      <c r="O30">
        <v>203688</v>
      </c>
      <c r="P30">
        <v>3891</v>
      </c>
      <c r="Q30">
        <v>70678</v>
      </c>
      <c r="R30">
        <v>30499</v>
      </c>
      <c r="S30">
        <v>5335</v>
      </c>
      <c r="T30">
        <v>3183</v>
      </c>
      <c r="U30">
        <v>710329</v>
      </c>
      <c r="V30">
        <v>174472</v>
      </c>
      <c r="W30">
        <v>65949</v>
      </c>
      <c r="X30">
        <v>147192</v>
      </c>
      <c r="Y30">
        <v>48052</v>
      </c>
      <c r="Z30">
        <v>115219</v>
      </c>
      <c r="AA30">
        <v>70380</v>
      </c>
      <c r="AB30">
        <v>91332</v>
      </c>
      <c r="AE30">
        <f>actual1[[#This Row],[Revenue Expenditure]]-(SUM(actual1[[#This Row],[Corporation Tax]:[Other Taxes]])-actual1[[#This Row],[Surcharge for financing of NCCF]]-actual1[[#This Row],[Devolution to State]]+SUM(P30:R30))</f>
        <v>325006</v>
      </c>
      <c r="AF30">
        <f>AE30-actual1[[#This Row],[Grants for Creation of Capital Assets]]</f>
        <v>254626</v>
      </c>
      <c r="AG30">
        <f>U30+AB30-(SUM(actual1[[#This Row],[Corporation Tax]:[Other Taxes]])-actual1[[#This Row],[Surcharge for financing of NCCF]]-actual1[[#This Row],[Devolution to State]]+SUM(P30:R30)+SUM(S30:T30))</f>
        <v>407820</v>
      </c>
      <c r="AH30">
        <f>AG30-actual1[[#This Row],[Interest Payments]]</f>
        <v>233348</v>
      </c>
    </row>
    <row r="31" spans="1:34" x14ac:dyDescent="0.35">
      <c r="A31" t="s">
        <v>109</v>
      </c>
      <c r="B31" s="2" t="s">
        <v>117</v>
      </c>
      <c r="C31">
        <v>186789</v>
      </c>
      <c r="D31">
        <v>144233</v>
      </c>
      <c r="E31">
        <v>3607</v>
      </c>
      <c r="F31">
        <v>0</v>
      </c>
      <c r="G31">
        <v>0</v>
      </c>
      <c r="H31">
        <v>0</v>
      </c>
      <c r="I31">
        <v>0</v>
      </c>
      <c r="J31">
        <v>109087</v>
      </c>
      <c r="K31">
        <v>152347</v>
      </c>
      <c r="L31">
        <v>96673</v>
      </c>
      <c r="M31">
        <v>2957</v>
      </c>
      <c r="N31">
        <v>3111</v>
      </c>
      <c r="O31">
        <v>244427</v>
      </c>
      <c r="P31">
        <v>6223</v>
      </c>
      <c r="Q31">
        <v>79046</v>
      </c>
      <c r="R31">
        <v>33499</v>
      </c>
      <c r="S31">
        <v>6802</v>
      </c>
      <c r="T31">
        <v>6015</v>
      </c>
      <c r="U31">
        <v>892803</v>
      </c>
      <c r="V31">
        <v>213229</v>
      </c>
      <c r="W31">
        <v>78764</v>
      </c>
      <c r="X31">
        <v>188886</v>
      </c>
      <c r="Y31">
        <v>59643</v>
      </c>
      <c r="Z31">
        <v>142643</v>
      </c>
      <c r="AA31">
        <v>100762</v>
      </c>
      <c r="AB31">
        <v>134925</v>
      </c>
      <c r="AE31">
        <f>actual1[[#This Row],[Revenue Expenditure]]-(SUM(actual1[[#This Row],[Corporation Tax]:[Other Taxes]])-actual1[[#This Row],[Surcharge for financing of NCCF]]-actual1[[#This Row],[Devolution to State]]+SUM(P31:R31))</f>
        <v>325880</v>
      </c>
      <c r="AF31">
        <f>AE31-actual1[[#This Row],[Grants for Creation of Capital Assets]]</f>
        <v>225118</v>
      </c>
      <c r="AG31">
        <f>U31+AB31-(SUM(actual1[[#This Row],[Corporation Tax]:[Other Taxes]])-actual1[[#This Row],[Surcharge for financing of NCCF]]-actual1[[#This Row],[Devolution to State]]+SUM(P31:R31)+SUM(S31:T31))</f>
        <v>447988</v>
      </c>
      <c r="AH31">
        <f>AG31-actual1[[#This Row],[Interest Payments]]</f>
        <v>234759</v>
      </c>
    </row>
    <row r="32" spans="1:34" x14ac:dyDescent="0.35">
      <c r="A32" t="s">
        <v>109</v>
      </c>
      <c r="B32" s="2" t="s">
        <v>118</v>
      </c>
      <c r="C32">
        <v>207334</v>
      </c>
      <c r="D32">
        <v>169891</v>
      </c>
      <c r="E32">
        <v>4416</v>
      </c>
      <c r="F32">
        <v>0</v>
      </c>
      <c r="G32">
        <v>0</v>
      </c>
      <c r="H32">
        <v>0</v>
      </c>
      <c r="I32">
        <v>0</v>
      </c>
      <c r="J32">
        <v>127971</v>
      </c>
      <c r="K32">
        <v>180663</v>
      </c>
      <c r="L32">
        <v>124912</v>
      </c>
      <c r="M32">
        <v>3697</v>
      </c>
      <c r="N32">
        <v>3703</v>
      </c>
      <c r="O32">
        <v>285166</v>
      </c>
      <c r="P32">
        <v>7581</v>
      </c>
      <c r="Q32">
        <v>83225</v>
      </c>
      <c r="R32">
        <v>77167</v>
      </c>
      <c r="S32">
        <v>7938</v>
      </c>
      <c r="T32">
        <v>21410</v>
      </c>
      <c r="U32">
        <v>1025884</v>
      </c>
      <c r="V32">
        <v>226807</v>
      </c>
      <c r="W32">
        <v>99185</v>
      </c>
      <c r="X32">
        <v>207331</v>
      </c>
      <c r="Y32">
        <v>70097</v>
      </c>
      <c r="Z32">
        <v>192395</v>
      </c>
      <c r="AA32">
        <v>105256</v>
      </c>
      <c r="AB32">
        <v>124959</v>
      </c>
      <c r="AE32">
        <f>actual1[[#This Row],[Revenue Expenditure]]-(SUM(actual1[[#This Row],[Corporation Tax]:[Other Taxes]])-actual1[[#This Row],[Surcharge for financing of NCCF]]-actual1[[#This Row],[Devolution to State]]+SUM(P32:R32))</f>
        <v>327896</v>
      </c>
      <c r="AF32">
        <f>AE32-actual1[[#This Row],[Grants for Creation of Capital Assets]]</f>
        <v>222640</v>
      </c>
      <c r="AG32">
        <f>U32+AB32-(SUM(actual1[[#This Row],[Corporation Tax]:[Other Taxes]])-actual1[[#This Row],[Surcharge for financing of NCCF]]-actual1[[#This Row],[Devolution to State]]+SUM(P32:R32)+SUM(S32:T32))</f>
        <v>423507</v>
      </c>
      <c r="AH32">
        <f>AG32-actual1[[#This Row],[Interest Payments]]</f>
        <v>196700</v>
      </c>
    </row>
    <row r="33" spans="1:34" x14ac:dyDescent="0.35">
      <c r="A33" t="s">
        <v>109</v>
      </c>
      <c r="B33" s="2" t="s">
        <v>119</v>
      </c>
      <c r="C33">
        <v>222258</v>
      </c>
      <c r="D33">
        <v>186675</v>
      </c>
      <c r="E33">
        <v>5109</v>
      </c>
      <c r="F33">
        <v>0</v>
      </c>
      <c r="G33">
        <v>0</v>
      </c>
      <c r="H33">
        <v>0</v>
      </c>
      <c r="I33">
        <v>0</v>
      </c>
      <c r="J33">
        <v>148501</v>
      </c>
      <c r="K33">
        <v>213584</v>
      </c>
      <c r="L33">
        <v>146839</v>
      </c>
      <c r="M33">
        <v>10314</v>
      </c>
      <c r="N33">
        <v>4294</v>
      </c>
      <c r="O33">
        <v>307814</v>
      </c>
      <c r="P33">
        <v>9007</v>
      </c>
      <c r="Q33">
        <v>86460</v>
      </c>
      <c r="R33">
        <v>79484</v>
      </c>
      <c r="S33">
        <v>9033</v>
      </c>
      <c r="T33">
        <v>23529</v>
      </c>
      <c r="U33">
        <v>1144334</v>
      </c>
      <c r="V33">
        <v>266678</v>
      </c>
      <c r="W33">
        <v>111244</v>
      </c>
      <c r="X33">
        <v>221296</v>
      </c>
      <c r="Y33">
        <v>81111</v>
      </c>
      <c r="Z33">
        <v>197791</v>
      </c>
      <c r="AA33">
        <v>112921</v>
      </c>
      <c r="AB33">
        <v>142347</v>
      </c>
      <c r="AE33">
        <f>actual1[[#This Row],[Revenue Expenditure]]-(SUM(actual1[[#This Row],[Corporation Tax]:[Other Taxes]])-actual1[[#This Row],[Surcharge for financing of NCCF]]-actual1[[#This Row],[Devolution to State]]+SUM(P33:R33))</f>
        <v>348211</v>
      </c>
      <c r="AF33">
        <f>AE33-actual1[[#This Row],[Grants for Creation of Capital Assets]]</f>
        <v>235290</v>
      </c>
      <c r="AG33">
        <f>U33+AB33-(SUM(actual1[[#This Row],[Corporation Tax]:[Other Taxes]])-actual1[[#This Row],[Surcharge for financing of NCCF]]-actual1[[#This Row],[Devolution to State]]+SUM(P33:R33)+SUM(S33:T33))</f>
        <v>457996</v>
      </c>
      <c r="AH33">
        <f>AG33-actual1[[#This Row],[Interest Payments]]</f>
        <v>191318</v>
      </c>
    </row>
    <row r="34" spans="1:34" x14ac:dyDescent="0.35">
      <c r="A34" t="s">
        <v>109</v>
      </c>
      <c r="B34" s="2" t="s">
        <v>120</v>
      </c>
      <c r="C34">
        <v>320280</v>
      </c>
      <c r="D34">
        <v>224241</v>
      </c>
      <c r="E34">
        <v>5931</v>
      </c>
      <c r="F34">
        <v>0</v>
      </c>
      <c r="G34">
        <v>0</v>
      </c>
      <c r="H34">
        <v>0</v>
      </c>
      <c r="I34">
        <v>0</v>
      </c>
      <c r="J34">
        <v>167294</v>
      </c>
      <c r="K34">
        <v>246335</v>
      </c>
      <c r="L34">
        <v>163646</v>
      </c>
      <c r="M34">
        <v>11360</v>
      </c>
      <c r="N34">
        <v>4864</v>
      </c>
      <c r="O34">
        <v>382107</v>
      </c>
      <c r="P34">
        <v>10787</v>
      </c>
      <c r="Q34">
        <v>86908</v>
      </c>
      <c r="R34">
        <v>84755</v>
      </c>
      <c r="S34">
        <v>10403</v>
      </c>
      <c r="T34">
        <v>23529</v>
      </c>
      <c r="U34">
        <v>1288862</v>
      </c>
      <c r="V34">
        <v>325684</v>
      </c>
      <c r="W34">
        <v>126595</v>
      </c>
      <c r="X34">
        <v>251796</v>
      </c>
      <c r="Y34">
        <v>93394</v>
      </c>
      <c r="Z34">
        <v>214320</v>
      </c>
      <c r="AA34">
        <v>125523</v>
      </c>
      <c r="AB34">
        <v>180886</v>
      </c>
      <c r="AE34">
        <f>actual1[[#This Row],[Revenue Expenditure]]-(SUM(actual1[[#This Row],[Corporation Tax]:[Other Taxes]])-actual1[[#This Row],[Surcharge for financing of NCCF]]-actual1[[#This Row],[Devolution to State]]+SUM(P34:R34))</f>
        <v>354296</v>
      </c>
      <c r="AF34">
        <f>AE34-actual1[[#This Row],[Grants for Creation of Capital Assets]]</f>
        <v>228773</v>
      </c>
      <c r="AG34">
        <f>U34+AB34-(SUM(actual1[[#This Row],[Corporation Tax]:[Other Taxes]])-actual1[[#This Row],[Surcharge for financing of NCCF]]-actual1[[#This Row],[Devolution to State]]+SUM(P34:R34)+SUM(S34:T34))</f>
        <v>501250</v>
      </c>
      <c r="AH34">
        <f>AG34-actual1[[#This Row],[Interest Payments]]</f>
        <v>175566</v>
      </c>
    </row>
    <row r="35" spans="1:34" x14ac:dyDescent="0.35">
      <c r="A35" t="s">
        <v>109</v>
      </c>
      <c r="B35" s="2" t="s">
        <v>121</v>
      </c>
      <c r="C35">
        <v>327303</v>
      </c>
      <c r="D35">
        <v>245413</v>
      </c>
      <c r="E35">
        <v>6523</v>
      </c>
      <c r="F35">
        <v>0</v>
      </c>
      <c r="G35">
        <v>0</v>
      </c>
      <c r="H35">
        <v>0</v>
      </c>
      <c r="I35">
        <v>0</v>
      </c>
      <c r="J35">
        <v>186291</v>
      </c>
      <c r="K35">
        <v>278330</v>
      </c>
      <c r="L35">
        <v>188752</v>
      </c>
      <c r="M35">
        <v>12058</v>
      </c>
      <c r="N35">
        <v>5470</v>
      </c>
      <c r="O35">
        <v>422846</v>
      </c>
      <c r="P35">
        <v>12842</v>
      </c>
      <c r="Q35">
        <v>88325</v>
      </c>
      <c r="R35">
        <v>91873</v>
      </c>
      <c r="S35">
        <v>13057</v>
      </c>
      <c r="T35">
        <v>31014</v>
      </c>
      <c r="U35">
        <v>1414220</v>
      </c>
      <c r="V35">
        <v>368592</v>
      </c>
      <c r="W35">
        <v>140910</v>
      </c>
      <c r="X35">
        <v>275458</v>
      </c>
      <c r="Y35">
        <v>113148</v>
      </c>
      <c r="Z35">
        <v>216266</v>
      </c>
      <c r="AA35">
        <v>135063</v>
      </c>
      <c r="AB35">
        <v>203437</v>
      </c>
      <c r="AE35">
        <f>actual1[[#This Row],[Revenue Expenditure]]-(SUM(actual1[[#This Row],[Corporation Tax]:[Other Taxes]])-actual1[[#This Row],[Surcharge for financing of NCCF]]-actual1[[#This Row],[Devolution to State]]+SUM(P35:R35))</f>
        <v>404826</v>
      </c>
      <c r="AF35">
        <f>AE35-actual1[[#This Row],[Grants for Creation of Capital Assets]]</f>
        <v>269763</v>
      </c>
      <c r="AG35">
        <f>U35+AB35-(SUM(actual1[[#This Row],[Corporation Tax]:[Other Taxes]])-actual1[[#This Row],[Surcharge for financing of NCCF]]-actual1[[#This Row],[Devolution to State]]+SUM(P35:R35)+SUM(S35:T35))</f>
        <v>564192</v>
      </c>
      <c r="AH35">
        <f>AG35-actual1[[#This Row],[Interest Payments]]</f>
        <v>195600</v>
      </c>
    </row>
    <row r="36" spans="1:34" x14ac:dyDescent="0.35">
      <c r="A36" t="s">
        <v>109</v>
      </c>
      <c r="B36" s="2" t="s">
        <v>122</v>
      </c>
      <c r="C36">
        <v>343945</v>
      </c>
      <c r="D36">
        <v>268313</v>
      </c>
      <c r="E36">
        <v>7218</v>
      </c>
      <c r="F36">
        <v>0</v>
      </c>
      <c r="G36">
        <v>0</v>
      </c>
      <c r="H36">
        <v>0</v>
      </c>
      <c r="I36">
        <v>0</v>
      </c>
      <c r="J36">
        <v>203880</v>
      </c>
      <c r="K36">
        <v>312241</v>
      </c>
      <c r="L36">
        <v>206673</v>
      </c>
      <c r="M36">
        <v>12672</v>
      </c>
      <c r="N36">
        <v>6085</v>
      </c>
      <c r="O36">
        <v>463585</v>
      </c>
      <c r="P36">
        <v>13775</v>
      </c>
      <c r="Q36">
        <v>96957</v>
      </c>
      <c r="R36">
        <v>98179</v>
      </c>
      <c r="S36">
        <v>14180</v>
      </c>
      <c r="T36">
        <v>39043</v>
      </c>
      <c r="U36">
        <v>1538224</v>
      </c>
      <c r="V36">
        <v>403984</v>
      </c>
      <c r="W36">
        <v>154043</v>
      </c>
      <c r="X36">
        <v>295708</v>
      </c>
      <c r="Y36">
        <v>123174</v>
      </c>
      <c r="Z36">
        <v>226746</v>
      </c>
      <c r="AA36">
        <v>145377</v>
      </c>
      <c r="AB36">
        <v>214796</v>
      </c>
      <c r="AE36">
        <f>actual1[[#This Row],[Revenue Expenditure]]-(SUM(actual1[[#This Row],[Corporation Tax]:[Other Taxes]])-actual1[[#This Row],[Surcharge for financing of NCCF]]-actual1[[#This Row],[Devolution to State]]+SUM(P36:R36))</f>
        <v>444041</v>
      </c>
      <c r="AF36">
        <f>AE36-actual1[[#This Row],[Grants for Creation of Capital Assets]]</f>
        <v>298664</v>
      </c>
      <c r="AG36">
        <f>U36+AB36-(SUM(actual1[[#This Row],[Corporation Tax]:[Other Taxes]])-actual1[[#This Row],[Surcharge for financing of NCCF]]-actual1[[#This Row],[Devolution to State]]+SUM(P36:R36)+SUM(S36:T36))</f>
        <v>605614</v>
      </c>
      <c r="AH36">
        <f>AG36-actual1[[#This Row],[Interest Payments]]</f>
        <v>201630</v>
      </c>
    </row>
    <row r="37" spans="1:34" x14ac:dyDescent="0.35">
      <c r="A37" t="s">
        <v>109</v>
      </c>
      <c r="B37" s="2" t="s">
        <v>123</v>
      </c>
      <c r="C37">
        <v>484924</v>
      </c>
      <c r="D37">
        <v>340592</v>
      </c>
      <c r="E37">
        <v>8998</v>
      </c>
      <c r="F37">
        <v>0</v>
      </c>
      <c r="G37">
        <v>0</v>
      </c>
      <c r="H37">
        <v>0</v>
      </c>
      <c r="I37">
        <v>0</v>
      </c>
      <c r="J37">
        <v>225370</v>
      </c>
      <c r="K37">
        <v>380496</v>
      </c>
      <c r="L37">
        <v>254499</v>
      </c>
      <c r="M37">
        <v>20943</v>
      </c>
      <c r="N37">
        <v>6450</v>
      </c>
      <c r="O37">
        <v>608000</v>
      </c>
      <c r="P37">
        <v>16264</v>
      </c>
      <c r="Q37">
        <v>123021</v>
      </c>
      <c r="R37">
        <v>135299</v>
      </c>
      <c r="S37">
        <v>17770</v>
      </c>
      <c r="T37">
        <v>47743</v>
      </c>
      <c r="U37">
        <v>1692986</v>
      </c>
      <c r="V37">
        <v>480714</v>
      </c>
      <c r="W37">
        <v>165410</v>
      </c>
      <c r="X37">
        <v>285876</v>
      </c>
      <c r="Y37">
        <v>131401</v>
      </c>
      <c r="Z37">
        <v>206666</v>
      </c>
      <c r="AA37">
        <v>166560</v>
      </c>
      <c r="AB37">
        <v>286282</v>
      </c>
      <c r="AE37">
        <f>actual1[[#This Row],[Revenue Expenditure]]-(SUM(actual1[[#This Row],[Corporation Tax]:[Other Taxes]])-actual1[[#This Row],[Surcharge for financing of NCCF]]-actual1[[#This Row],[Devolution to State]]+SUM(P37:R37))</f>
        <v>317030</v>
      </c>
      <c r="AF37">
        <f>AE37-actual1[[#This Row],[Grants for Creation of Capital Assets]]</f>
        <v>150470</v>
      </c>
      <c r="AG37">
        <f>U37+AB37-(SUM(actual1[[#This Row],[Corporation Tax]:[Other Taxes]])-actual1[[#This Row],[Surcharge for financing of NCCF]]-actual1[[#This Row],[Devolution to State]]+SUM(P37:R37)+SUM(S37:T37))</f>
        <v>537799</v>
      </c>
      <c r="AH37">
        <f>AG37-actual1[[#This Row],[Interest Payments]]</f>
        <v>57085</v>
      </c>
    </row>
    <row r="38" spans="1:34" x14ac:dyDescent="0.35">
      <c r="A38" t="s">
        <v>106</v>
      </c>
      <c r="B38" s="2" t="s">
        <v>108</v>
      </c>
      <c r="C38">
        <v>6266</v>
      </c>
      <c r="D38">
        <v>33310</v>
      </c>
      <c r="E38">
        <v>410</v>
      </c>
      <c r="F38">
        <v>0</v>
      </c>
      <c r="G38">
        <v>0</v>
      </c>
      <c r="H38">
        <v>0</v>
      </c>
      <c r="I38">
        <v>0</v>
      </c>
      <c r="J38">
        <v>20574</v>
      </c>
      <c r="K38">
        <v>1323</v>
      </c>
      <c r="L38">
        <v>8901</v>
      </c>
      <c r="M38">
        <v>613</v>
      </c>
      <c r="N38">
        <v>187</v>
      </c>
      <c r="O38">
        <v>48178</v>
      </c>
      <c r="P38">
        <v>426</v>
      </c>
      <c r="Q38">
        <v>15</v>
      </c>
      <c r="R38">
        <v>11608</v>
      </c>
      <c r="S38">
        <v>255</v>
      </c>
      <c r="T38">
        <v>1193</v>
      </c>
      <c r="U38">
        <v>213464</v>
      </c>
      <c r="V38">
        <v>19422</v>
      </c>
      <c r="W38">
        <v>17828</v>
      </c>
      <c r="X38">
        <v>35733</v>
      </c>
      <c r="Y38">
        <v>17855</v>
      </c>
      <c r="Z38">
        <v>79480</v>
      </c>
      <c r="AA38">
        <v>24666</v>
      </c>
      <c r="AB38">
        <v>28687</v>
      </c>
      <c r="AE38">
        <f>actual1[[#This Row],[Revenue Expenditure]]-(SUM(actual1[[#This Row],[Corporation Tax]:[Other Taxes]])-actual1[[#This Row],[Surcharge for financing of NCCF]]-actual1[[#This Row],[Devolution to State]]+SUM(P38:R38))</f>
        <v>178383</v>
      </c>
      <c r="AF38">
        <f>AE38-actual1[[#This Row],[Grants for Creation of Capital Assets]]</f>
        <v>153717</v>
      </c>
      <c r="AG38">
        <f>U38+AB38-(SUM(actual1[[#This Row],[Corporation Tax]:[Other Taxes]])-actual1[[#This Row],[Surcharge for financing of NCCF]]-actual1[[#This Row],[Devolution to State]]+SUM(P38:R38)+SUM(S38:T38))</f>
        <v>205622</v>
      </c>
      <c r="AH38">
        <f>AG38-actual1[[#This Row],[Interest Payments]]</f>
        <v>186200</v>
      </c>
    </row>
    <row r="39" spans="1:34" x14ac:dyDescent="0.35">
      <c r="A39" t="s">
        <v>106</v>
      </c>
      <c r="B39" s="2" t="s">
        <v>111</v>
      </c>
      <c r="C39">
        <v>13482</v>
      </c>
      <c r="D39">
        <v>50275</v>
      </c>
      <c r="E39">
        <v>1189</v>
      </c>
      <c r="F39">
        <v>0</v>
      </c>
      <c r="G39">
        <v>0</v>
      </c>
      <c r="H39">
        <v>0</v>
      </c>
      <c r="I39">
        <v>0</v>
      </c>
      <c r="J39">
        <v>43058</v>
      </c>
      <c r="K39">
        <v>30778</v>
      </c>
      <c r="L39">
        <v>24958</v>
      </c>
      <c r="M39">
        <v>1093</v>
      </c>
      <c r="N39">
        <v>804</v>
      </c>
      <c r="O39">
        <v>96361</v>
      </c>
      <c r="P39">
        <v>696</v>
      </c>
      <c r="Q39">
        <v>16</v>
      </c>
      <c r="R39">
        <v>14632</v>
      </c>
      <c r="S39">
        <v>398</v>
      </c>
      <c r="T39">
        <v>2255</v>
      </c>
      <c r="U39">
        <v>406490</v>
      </c>
      <c r="V39">
        <v>69014</v>
      </c>
      <c r="W39">
        <v>39548</v>
      </c>
      <c r="X39">
        <v>63029</v>
      </c>
      <c r="Y39">
        <v>36027</v>
      </c>
      <c r="Z39">
        <v>117215</v>
      </c>
      <c r="AA39">
        <v>42805</v>
      </c>
      <c r="AB39">
        <v>52536</v>
      </c>
      <c r="AE39">
        <f>actual1[[#This Row],[Revenue Expenditure]]-(SUM(actual1[[#This Row],[Corporation Tax]:[Other Taxes]])-actual1[[#This Row],[Surcharge for financing of NCCF]]-actual1[[#This Row],[Devolution to State]]+SUM(P39:R39))</f>
        <v>323478</v>
      </c>
      <c r="AF39">
        <f>AE39-actual1[[#This Row],[Grants for Creation of Capital Assets]]</f>
        <v>280673</v>
      </c>
      <c r="AG39">
        <f>U39+AB39-(SUM(actual1[[#This Row],[Corporation Tax]:[Other Taxes]])-actual1[[#This Row],[Surcharge for financing of NCCF]]-actual1[[#This Row],[Devolution to State]]+SUM(P39:R39)+SUM(S39:T39))</f>
        <v>373361</v>
      </c>
      <c r="AH39">
        <f>AG39-actual1[[#This Row],[Interest Payments]]</f>
        <v>304347</v>
      </c>
    </row>
    <row r="40" spans="1:34" x14ac:dyDescent="0.35">
      <c r="A40" t="s">
        <v>106</v>
      </c>
      <c r="B40" s="2" t="s">
        <v>112</v>
      </c>
      <c r="C40">
        <v>67259</v>
      </c>
      <c r="D40">
        <v>76497</v>
      </c>
      <c r="E40">
        <v>2147</v>
      </c>
      <c r="F40">
        <v>0</v>
      </c>
      <c r="G40">
        <v>0</v>
      </c>
      <c r="H40">
        <v>0</v>
      </c>
      <c r="I40">
        <v>0</v>
      </c>
      <c r="J40">
        <v>63859</v>
      </c>
      <c r="K40">
        <v>64673</v>
      </c>
      <c r="L40">
        <v>47048</v>
      </c>
      <c r="M40">
        <v>1937</v>
      </c>
      <c r="N40">
        <v>1538</v>
      </c>
      <c r="O40">
        <v>144545</v>
      </c>
      <c r="P40">
        <v>1487</v>
      </c>
      <c r="Q40">
        <v>1297</v>
      </c>
      <c r="R40">
        <v>19181</v>
      </c>
      <c r="S40">
        <v>2054</v>
      </c>
      <c r="T40">
        <v>7690</v>
      </c>
      <c r="U40">
        <v>582403</v>
      </c>
      <c r="V40">
        <v>133410</v>
      </c>
      <c r="W40">
        <v>56447</v>
      </c>
      <c r="X40">
        <v>95816</v>
      </c>
      <c r="Y40">
        <v>48090</v>
      </c>
      <c r="Z40">
        <v>135450</v>
      </c>
      <c r="AA40">
        <v>55515</v>
      </c>
      <c r="AB40">
        <v>68328</v>
      </c>
      <c r="AE40">
        <f>actual1[[#This Row],[Revenue Expenditure]]-(SUM(actual1[[#This Row],[Corporation Tax]:[Other Taxes]])-actual1[[#This Row],[Surcharge for financing of NCCF]]-actual1[[#This Row],[Devolution to State]]+SUM(P40:R40))</f>
        <v>383101</v>
      </c>
      <c r="AF40">
        <f>AE40-actual1[[#This Row],[Grants for Creation of Capital Assets]]</f>
        <v>327586</v>
      </c>
      <c r="AG40">
        <f>U40+AB40-(SUM(actual1[[#This Row],[Corporation Tax]:[Other Taxes]])-actual1[[#This Row],[Surcharge for financing of NCCF]]-actual1[[#This Row],[Devolution to State]]+SUM(P40:R40)+SUM(S40:T40))</f>
        <v>441685</v>
      </c>
      <c r="AH40">
        <f>AG40-actual1[[#This Row],[Interest Payments]]</f>
        <v>308275</v>
      </c>
    </row>
    <row r="41" spans="1:34" x14ac:dyDescent="0.35">
      <c r="A41" t="s">
        <v>106</v>
      </c>
      <c r="B41" s="2" t="s">
        <v>136</v>
      </c>
      <c r="C41">
        <v>83305</v>
      </c>
      <c r="D41">
        <v>109128</v>
      </c>
      <c r="E41">
        <v>3009</v>
      </c>
      <c r="F41">
        <v>10</v>
      </c>
      <c r="G41">
        <v>34</v>
      </c>
      <c r="H41">
        <v>0</v>
      </c>
      <c r="I41">
        <v>0</v>
      </c>
      <c r="J41">
        <v>95006</v>
      </c>
      <c r="K41">
        <v>89784</v>
      </c>
      <c r="L41">
        <v>69947</v>
      </c>
      <c r="M41">
        <v>2304</v>
      </c>
      <c r="N41">
        <v>1916</v>
      </c>
      <c r="O41">
        <v>192728</v>
      </c>
      <c r="P41">
        <v>2282</v>
      </c>
      <c r="Q41">
        <v>1799</v>
      </c>
      <c r="R41">
        <v>29055</v>
      </c>
      <c r="S41">
        <v>4179</v>
      </c>
      <c r="T41">
        <v>8323</v>
      </c>
      <c r="U41">
        <v>713291</v>
      </c>
      <c r="V41">
        <v>160841</v>
      </c>
      <c r="W41">
        <v>70764</v>
      </c>
      <c r="X41">
        <v>128005</v>
      </c>
      <c r="Y41">
        <v>61508</v>
      </c>
      <c r="Z41">
        <v>150726</v>
      </c>
      <c r="AA41">
        <v>73725</v>
      </c>
      <c r="AB41">
        <v>95126</v>
      </c>
      <c r="AE41">
        <f>actual1[[#This Row],[Revenue Expenditure]]-(SUM(actual1[[#This Row],[Corporation Tax]:[Other Taxes]])-actual1[[#This Row],[Surcharge for financing of NCCF]]-actual1[[#This Row],[Devolution to State]]+SUM(P41:R41))</f>
        <v>422272</v>
      </c>
      <c r="AF41">
        <f>AE41-actual1[[#This Row],[Grants for Creation of Capital Assets]]</f>
        <v>348547</v>
      </c>
      <c r="AG41">
        <f>U41+AB41-(SUM(actual1[[#This Row],[Corporation Tax]:[Other Taxes]])-actual1[[#This Row],[Surcharge for financing of NCCF]]-actual1[[#This Row],[Devolution to State]]+SUM(P41:R41)+SUM(S41:T41))</f>
        <v>504896</v>
      </c>
      <c r="AH41">
        <f>AG41-actual1[[#This Row],[Interest Payments]]</f>
        <v>344055</v>
      </c>
    </row>
    <row r="42" spans="1:34" x14ac:dyDescent="0.35">
      <c r="A42" t="s">
        <v>106</v>
      </c>
      <c r="B42" s="2" t="s">
        <v>137</v>
      </c>
      <c r="C42">
        <v>92939</v>
      </c>
      <c r="D42">
        <v>124520</v>
      </c>
      <c r="E42">
        <v>3712</v>
      </c>
      <c r="F42">
        <v>15263</v>
      </c>
      <c r="G42">
        <v>70952</v>
      </c>
      <c r="H42">
        <v>0</v>
      </c>
      <c r="I42">
        <v>7749</v>
      </c>
      <c r="J42">
        <v>80527</v>
      </c>
      <c r="K42">
        <v>111059</v>
      </c>
      <c r="L42">
        <v>73875</v>
      </c>
      <c r="M42">
        <v>3030</v>
      </c>
      <c r="N42">
        <v>2102</v>
      </c>
      <c r="O42">
        <v>240912</v>
      </c>
      <c r="P42">
        <v>3224</v>
      </c>
      <c r="Q42">
        <v>33076</v>
      </c>
      <c r="R42">
        <v>32956</v>
      </c>
      <c r="S42">
        <v>5562</v>
      </c>
      <c r="T42">
        <v>9972</v>
      </c>
      <c r="U42">
        <v>840799</v>
      </c>
      <c r="V42">
        <v>196393</v>
      </c>
      <c r="W42">
        <v>85591</v>
      </c>
      <c r="X42">
        <v>146433</v>
      </c>
      <c r="Y42">
        <v>74351</v>
      </c>
      <c r="Z42">
        <v>166978</v>
      </c>
      <c r="AA42">
        <v>84800</v>
      </c>
      <c r="AB42">
        <v>109648</v>
      </c>
      <c r="AE42">
        <f>actual1[[#This Row],[Revenue Expenditure]]-(SUM(actual1[[#This Row],[Corporation Tax]:[Other Taxes]])-actual1[[#This Row],[Surcharge for financing of NCCF]]-actual1[[#This Row],[Devolution to State]]+SUM(P42:R42))</f>
        <v>430931</v>
      </c>
      <c r="AF42">
        <f>AE42-actual1[[#This Row],[Grants for Creation of Capital Assets]]</f>
        <v>346131</v>
      </c>
      <c r="AG42">
        <f>U42+AB42-(SUM(actual1[[#This Row],[Corporation Tax]:[Other Taxes]])-actual1[[#This Row],[Surcharge for financing of NCCF]]-actual1[[#This Row],[Devolution to State]]+SUM(P42:R42)+SUM(S42:T42))</f>
        <v>525045</v>
      </c>
      <c r="AH42">
        <f>AG42-actual1[[#This Row],[Interest Payments]]</f>
        <v>328652</v>
      </c>
    </row>
    <row r="43" spans="1:34" x14ac:dyDescent="0.35">
      <c r="A43" t="s">
        <v>106</v>
      </c>
      <c r="B43" s="2" t="s">
        <v>138</v>
      </c>
      <c r="C43">
        <v>207904</v>
      </c>
      <c r="D43">
        <v>167851</v>
      </c>
      <c r="E43">
        <v>4808</v>
      </c>
      <c r="F43">
        <v>30398</v>
      </c>
      <c r="G43">
        <v>101347</v>
      </c>
      <c r="H43">
        <v>0</v>
      </c>
      <c r="I43">
        <v>15773</v>
      </c>
      <c r="J43">
        <v>87060</v>
      </c>
      <c r="K43">
        <v>129973</v>
      </c>
      <c r="L43">
        <v>75923</v>
      </c>
      <c r="M43">
        <v>12803</v>
      </c>
      <c r="N43">
        <v>2386</v>
      </c>
      <c r="O43">
        <v>289096</v>
      </c>
      <c r="P43">
        <v>4461</v>
      </c>
      <c r="Q43">
        <v>39309</v>
      </c>
      <c r="R43">
        <v>37079</v>
      </c>
      <c r="S43">
        <v>7284</v>
      </c>
      <c r="T43">
        <v>19758</v>
      </c>
      <c r="U43">
        <v>1002798</v>
      </c>
      <c r="V43">
        <v>225766</v>
      </c>
      <c r="W43">
        <v>100428</v>
      </c>
      <c r="X43">
        <v>183539</v>
      </c>
      <c r="Y43">
        <v>84091</v>
      </c>
      <c r="Z43">
        <v>186043</v>
      </c>
      <c r="AA43">
        <v>106592</v>
      </c>
      <c r="AB43">
        <v>146389</v>
      </c>
      <c r="AE43">
        <f>actual1[[#This Row],[Revenue Expenditure]]-(SUM(actual1[[#This Row],[Corporation Tax]:[Other Taxes]])-actual1[[#This Row],[Surcharge for financing of NCCF]]-actual1[[#This Row],[Devolution to State]]+SUM(P43:R43))</f>
        <v>379591</v>
      </c>
      <c r="AF43">
        <f>AE43-actual1[[#This Row],[Grants for Creation of Capital Assets]]</f>
        <v>272999</v>
      </c>
      <c r="AG43">
        <f>U43+AB43-(SUM(actual1[[#This Row],[Corporation Tax]:[Other Taxes]])-actual1[[#This Row],[Surcharge for financing of NCCF]]-actual1[[#This Row],[Devolution to State]]+SUM(P43:R43)+SUM(S43:T43))</f>
        <v>498938</v>
      </c>
      <c r="AH43">
        <f>AG43-actual1[[#This Row],[Interest Payments]]</f>
        <v>273172</v>
      </c>
    </row>
    <row r="44" spans="1:34" x14ac:dyDescent="0.35">
      <c r="A44" t="s">
        <v>106</v>
      </c>
      <c r="B44" s="2" t="s">
        <v>139</v>
      </c>
      <c r="C44">
        <v>231855</v>
      </c>
      <c r="D44">
        <v>197350</v>
      </c>
      <c r="E44">
        <v>5574</v>
      </c>
      <c r="F44">
        <v>61585</v>
      </c>
      <c r="G44">
        <v>119717</v>
      </c>
      <c r="H44">
        <v>21</v>
      </c>
      <c r="I44">
        <v>23804</v>
      </c>
      <c r="J44">
        <v>94431</v>
      </c>
      <c r="K44">
        <v>147699</v>
      </c>
      <c r="L44">
        <v>77980</v>
      </c>
      <c r="M44">
        <v>13396</v>
      </c>
      <c r="N44">
        <v>2515</v>
      </c>
      <c r="O44">
        <v>337280</v>
      </c>
      <c r="P44">
        <v>5786</v>
      </c>
      <c r="Q44">
        <v>42415</v>
      </c>
      <c r="R44">
        <v>46950</v>
      </c>
      <c r="S44">
        <v>8394</v>
      </c>
      <c r="T44">
        <v>30165</v>
      </c>
      <c r="U44">
        <v>1129853</v>
      </c>
      <c r="V44">
        <v>257909</v>
      </c>
      <c r="W44">
        <v>116243</v>
      </c>
      <c r="X44">
        <v>212568</v>
      </c>
      <c r="Y44">
        <v>97799</v>
      </c>
      <c r="Z44">
        <v>191336</v>
      </c>
      <c r="AA44">
        <v>115854</v>
      </c>
      <c r="AB44">
        <v>162795</v>
      </c>
      <c r="AE44">
        <f>actual1[[#This Row],[Revenue Expenditure]]-(SUM(actual1[[#This Row],[Corporation Tax]:[Other Taxes]])-actual1[[#This Row],[Surcharge for financing of NCCF]]-actual1[[#This Row],[Devolution to State]]+SUM(P44:R44))</f>
        <v>401085</v>
      </c>
      <c r="AF44">
        <f>AE44-actual1[[#This Row],[Grants for Creation of Capital Assets]]</f>
        <v>285231</v>
      </c>
      <c r="AG44">
        <f>U44+AB44-(SUM(actual1[[#This Row],[Corporation Tax]:[Other Taxes]])-actual1[[#This Row],[Surcharge for financing of NCCF]]-actual1[[#This Row],[Devolution to State]]+SUM(P44:R44)+SUM(S44:T44))</f>
        <v>525321</v>
      </c>
      <c r="AH44">
        <f>AG44-actual1[[#This Row],[Interest Payments]]</f>
        <v>267412</v>
      </c>
    </row>
    <row r="45" spans="1:34" x14ac:dyDescent="0.35">
      <c r="A45" t="s">
        <v>106</v>
      </c>
      <c r="B45" s="2" t="s">
        <v>140</v>
      </c>
      <c r="C45">
        <v>249829</v>
      </c>
      <c r="D45">
        <v>215183</v>
      </c>
      <c r="E45">
        <v>6562</v>
      </c>
      <c r="F45">
        <v>85424</v>
      </c>
      <c r="G45">
        <v>138344</v>
      </c>
      <c r="H45">
        <v>96</v>
      </c>
      <c r="I45">
        <v>30907</v>
      </c>
      <c r="J45">
        <v>102837</v>
      </c>
      <c r="K45">
        <v>165167</v>
      </c>
      <c r="L45">
        <v>79129</v>
      </c>
      <c r="M45">
        <v>13824</v>
      </c>
      <c r="N45">
        <v>2624</v>
      </c>
      <c r="O45">
        <v>385286</v>
      </c>
      <c r="P45">
        <v>6953</v>
      </c>
      <c r="Q45">
        <v>47115</v>
      </c>
      <c r="R45">
        <v>51401</v>
      </c>
      <c r="S45">
        <v>9471</v>
      </c>
      <c r="T45">
        <v>52378</v>
      </c>
      <c r="U45">
        <v>1294700</v>
      </c>
      <c r="V45">
        <v>309799</v>
      </c>
      <c r="W45">
        <v>131079</v>
      </c>
      <c r="X45">
        <v>251489</v>
      </c>
      <c r="Y45">
        <v>111593</v>
      </c>
      <c r="Z45">
        <v>206068</v>
      </c>
      <c r="AA45">
        <v>128434</v>
      </c>
      <c r="AB45">
        <v>184115</v>
      </c>
      <c r="AE45">
        <f>actual1[[#This Row],[Revenue Expenditure]]-(SUM(actual1[[#This Row],[Corporation Tax]:[Other Taxes]])-actual1[[#This Row],[Surcharge for financing of NCCF]]-actual1[[#This Row],[Devolution to State]]+SUM(P45:R45))</f>
        <v>489839</v>
      </c>
      <c r="AF45">
        <f>AE45-actual1[[#This Row],[Grants for Creation of Capital Assets]]</f>
        <v>361405</v>
      </c>
      <c r="AG45">
        <f>U45+AB45-(SUM(actual1[[#This Row],[Corporation Tax]:[Other Taxes]])-actual1[[#This Row],[Surcharge for financing of NCCF]]-actual1[[#This Row],[Devolution to State]]+SUM(P45:R45)+SUM(S45:T45))</f>
        <v>612105</v>
      </c>
      <c r="AH45">
        <f>AG45-actual1[[#This Row],[Interest Payments]]</f>
        <v>302306</v>
      </c>
    </row>
    <row r="46" spans="1:34" x14ac:dyDescent="0.35">
      <c r="A46" t="s">
        <v>106</v>
      </c>
      <c r="B46" s="2" t="s">
        <v>141</v>
      </c>
      <c r="C46">
        <v>375116</v>
      </c>
      <c r="D46">
        <v>262320</v>
      </c>
      <c r="E46">
        <v>7703</v>
      </c>
      <c r="F46">
        <v>109639</v>
      </c>
      <c r="G46">
        <v>155486</v>
      </c>
      <c r="H46">
        <v>312</v>
      </c>
      <c r="I46">
        <v>38806</v>
      </c>
      <c r="J46">
        <v>110152</v>
      </c>
      <c r="K46">
        <v>183044</v>
      </c>
      <c r="L46">
        <v>79930</v>
      </c>
      <c r="M46">
        <v>14058</v>
      </c>
      <c r="N46">
        <v>2972</v>
      </c>
      <c r="O46">
        <v>433470</v>
      </c>
      <c r="P46">
        <v>8281</v>
      </c>
      <c r="Q46">
        <v>49383</v>
      </c>
      <c r="R46">
        <v>55834</v>
      </c>
      <c r="S46">
        <v>10640</v>
      </c>
      <c r="T46">
        <v>53744</v>
      </c>
      <c r="U46">
        <v>1462359</v>
      </c>
      <c r="V46">
        <v>373956</v>
      </c>
      <c r="W46">
        <v>146139</v>
      </c>
      <c r="X46">
        <v>285444</v>
      </c>
      <c r="Y46">
        <v>121981</v>
      </c>
      <c r="Z46">
        <v>214845</v>
      </c>
      <c r="AA46">
        <v>146249</v>
      </c>
      <c r="AB46">
        <v>236596</v>
      </c>
      <c r="AE46">
        <f>actual1[[#This Row],[Revenue Expenditure]]-(SUM(actual1[[#This Row],[Corporation Tax]:[Other Taxes]])-actual1[[#This Row],[Surcharge for financing of NCCF]]-actual1[[#This Row],[Devolution to State]]+SUM(P46:R46))</f>
        <v>448737</v>
      </c>
      <c r="AF46">
        <f>AE46-actual1[[#This Row],[Grants for Creation of Capital Assets]]</f>
        <v>302488</v>
      </c>
      <c r="AG46">
        <f>U46+AB46-(SUM(actual1[[#This Row],[Corporation Tax]:[Other Taxes]])-actual1[[#This Row],[Surcharge for financing of NCCF]]-actual1[[#This Row],[Devolution to State]]+SUM(P46:R46)+SUM(S46:T46))</f>
        <v>620949</v>
      </c>
      <c r="AH46">
        <f>AG46-actual1[[#This Row],[Interest Payments]]</f>
        <v>246993</v>
      </c>
    </row>
    <row r="47" spans="1:34" x14ac:dyDescent="0.35">
      <c r="A47" t="s">
        <v>106</v>
      </c>
      <c r="B47" s="2" t="s">
        <v>142</v>
      </c>
      <c r="C47">
        <v>389571</v>
      </c>
      <c r="D47">
        <v>288297</v>
      </c>
      <c r="E47">
        <v>8698</v>
      </c>
      <c r="F47">
        <v>132772</v>
      </c>
      <c r="G47">
        <v>174888</v>
      </c>
      <c r="H47">
        <v>505</v>
      </c>
      <c r="I47">
        <v>46830</v>
      </c>
      <c r="J47">
        <v>118459</v>
      </c>
      <c r="K47">
        <v>201050</v>
      </c>
      <c r="L47">
        <v>80479</v>
      </c>
      <c r="M47">
        <v>14297</v>
      </c>
      <c r="N47">
        <v>3046</v>
      </c>
      <c r="O47">
        <v>481477</v>
      </c>
      <c r="P47">
        <v>9697</v>
      </c>
      <c r="Q47">
        <v>50165</v>
      </c>
      <c r="R47">
        <v>64502</v>
      </c>
      <c r="S47">
        <v>12156</v>
      </c>
      <c r="T47">
        <v>55543</v>
      </c>
      <c r="U47">
        <v>1575780</v>
      </c>
      <c r="V47">
        <v>414238</v>
      </c>
      <c r="W47">
        <v>160438</v>
      </c>
      <c r="X47">
        <v>305881</v>
      </c>
      <c r="Y47">
        <v>134907</v>
      </c>
      <c r="Z47">
        <v>218581</v>
      </c>
      <c r="AA47">
        <v>153736</v>
      </c>
      <c r="AB47">
        <v>264165</v>
      </c>
      <c r="AE47">
        <f>actual1[[#This Row],[Revenue Expenditure]]-(SUM(actual1[[#This Row],[Corporation Tax]:[Other Taxes]])-actual1[[#This Row],[Surcharge for financing of NCCF]]-actual1[[#This Row],[Devolution to State]]+SUM(P47:R47))</f>
        <v>480093</v>
      </c>
      <c r="AF47">
        <f>AE47-actual1[[#This Row],[Grants for Creation of Capital Assets]]</f>
        <v>326357</v>
      </c>
      <c r="AG47">
        <f>U47+AB47-(SUM(actual1[[#This Row],[Corporation Tax]:[Other Taxes]])-actual1[[#This Row],[Surcharge for financing of NCCF]]-actual1[[#This Row],[Devolution to State]]+SUM(P47:R47)+SUM(S47:T47))</f>
        <v>676559</v>
      </c>
      <c r="AH47">
        <f>AG47-actual1[[#This Row],[Interest Payments]]</f>
        <v>262321</v>
      </c>
    </row>
    <row r="48" spans="1:34" x14ac:dyDescent="0.35">
      <c r="A48" t="s">
        <v>106</v>
      </c>
      <c r="B48" s="2" t="s">
        <v>143</v>
      </c>
      <c r="C48">
        <v>411814</v>
      </c>
      <c r="D48">
        <v>315698</v>
      </c>
      <c r="E48">
        <v>9934</v>
      </c>
      <c r="F48">
        <v>175863</v>
      </c>
      <c r="G48">
        <v>155163</v>
      </c>
      <c r="H48">
        <v>594</v>
      </c>
      <c r="I48">
        <v>55027</v>
      </c>
      <c r="J48">
        <v>127940</v>
      </c>
      <c r="K48">
        <v>221032</v>
      </c>
      <c r="L48">
        <v>80840</v>
      </c>
      <c r="M48">
        <v>14486</v>
      </c>
      <c r="N48">
        <v>3221</v>
      </c>
      <c r="O48">
        <v>529624</v>
      </c>
      <c r="P48">
        <v>14165</v>
      </c>
      <c r="Q48">
        <v>59264</v>
      </c>
      <c r="R48">
        <v>68703</v>
      </c>
      <c r="S48">
        <v>13301</v>
      </c>
      <c r="T48">
        <v>92493</v>
      </c>
      <c r="U48">
        <v>1702085</v>
      </c>
      <c r="V48">
        <v>450729</v>
      </c>
      <c r="W48">
        <v>174514</v>
      </c>
      <c r="X48">
        <v>328359</v>
      </c>
      <c r="Y48">
        <v>145026</v>
      </c>
      <c r="Z48">
        <v>227678</v>
      </c>
      <c r="AA48">
        <v>164649</v>
      </c>
      <c r="AB48">
        <v>297086</v>
      </c>
      <c r="AE48">
        <f>actual1[[#This Row],[Revenue Expenditure]]-(SUM(actual1[[#This Row],[Corporation Tax]:[Other Taxes]])-actual1[[#This Row],[Surcharge for financing of NCCF]]-actual1[[#This Row],[Devolution to State]]+SUM(P48:R48))</f>
        <v>524407</v>
      </c>
      <c r="AF48">
        <f>AE48-actual1[[#This Row],[Grants for Creation of Capital Assets]]</f>
        <v>359758</v>
      </c>
      <c r="AG48">
        <f>U48+AB48-(SUM(actual1[[#This Row],[Corporation Tax]:[Other Taxes]])-actual1[[#This Row],[Surcharge for financing of NCCF]]-actual1[[#This Row],[Devolution to State]]+SUM(P48:R48)+SUM(S48:T48))</f>
        <v>715699</v>
      </c>
      <c r="AH48">
        <f>AG48-actual1[[#This Row],[Interest Payments]]</f>
        <v>264970</v>
      </c>
    </row>
    <row r="49" spans="1:34" x14ac:dyDescent="0.35">
      <c r="A49" t="s">
        <v>106</v>
      </c>
      <c r="B49" s="2" t="s">
        <v>144</v>
      </c>
      <c r="C49">
        <v>571202</v>
      </c>
      <c r="D49">
        <v>408203</v>
      </c>
      <c r="E49">
        <v>11881</v>
      </c>
      <c r="F49">
        <v>203261</v>
      </c>
      <c r="G49">
        <v>176688</v>
      </c>
      <c r="H49">
        <v>1635</v>
      </c>
      <c r="I49">
        <v>62612</v>
      </c>
      <c r="J49">
        <v>129030</v>
      </c>
      <c r="K49">
        <v>258636</v>
      </c>
      <c r="L49">
        <v>81229</v>
      </c>
      <c r="M49">
        <v>14632</v>
      </c>
      <c r="N49">
        <v>3517</v>
      </c>
      <c r="O49">
        <v>673005</v>
      </c>
      <c r="P49">
        <v>13581</v>
      </c>
      <c r="Q49">
        <v>91367</v>
      </c>
      <c r="R49">
        <v>82969</v>
      </c>
      <c r="S49">
        <v>20311</v>
      </c>
      <c r="T49">
        <v>100045</v>
      </c>
      <c r="U49">
        <v>1879346</v>
      </c>
      <c r="V49">
        <v>528952</v>
      </c>
      <c r="W49">
        <v>186127</v>
      </c>
      <c r="X49">
        <v>376502</v>
      </c>
      <c r="Y49">
        <v>145745</v>
      </c>
      <c r="Z49">
        <v>191110</v>
      </c>
      <c r="AA49">
        <v>192520</v>
      </c>
      <c r="AB49">
        <v>262476</v>
      </c>
      <c r="AE49">
        <f>actual1[[#This Row],[Revenue Expenditure]]-(SUM(actual1[[#This Row],[Corporation Tax]:[Other Taxes]])-actual1[[#This Row],[Surcharge for financing of NCCF]]-actual1[[#This Row],[Devolution to State]]+SUM(P49:R49))</f>
        <v>448942</v>
      </c>
      <c r="AF49">
        <f>AE49-actual1[[#This Row],[Grants for Creation of Capital Assets]]</f>
        <v>256422</v>
      </c>
      <c r="AG49">
        <f>U49+AB49-(SUM(actual1[[#This Row],[Corporation Tax]:[Other Taxes]])-actual1[[#This Row],[Surcharge for financing of NCCF]]-actual1[[#This Row],[Devolution to State]]+SUM(P49:R49)+SUM(S49:T49))</f>
        <v>591062</v>
      </c>
      <c r="AH49">
        <f>AG49-actual1[[#This Row],[Interest Payments]]</f>
        <v>62110</v>
      </c>
    </row>
    <row r="50" spans="1:34" x14ac:dyDescent="0.35">
      <c r="A50" t="s">
        <v>64</v>
      </c>
      <c r="B50" s="2" t="s">
        <v>43</v>
      </c>
      <c r="C50">
        <v>7771</v>
      </c>
      <c r="D50">
        <v>34136</v>
      </c>
      <c r="E50">
        <v>231</v>
      </c>
      <c r="F50">
        <v>32089</v>
      </c>
      <c r="G50">
        <v>19996</v>
      </c>
      <c r="H50">
        <v>90</v>
      </c>
      <c r="I50">
        <v>8503</v>
      </c>
      <c r="J50">
        <v>10128</v>
      </c>
      <c r="K50">
        <v>-551</v>
      </c>
      <c r="L50">
        <v>684</v>
      </c>
      <c r="M50">
        <v>253</v>
      </c>
      <c r="N50">
        <v>8</v>
      </c>
      <c r="O50">
        <v>55789</v>
      </c>
      <c r="P50">
        <v>1277</v>
      </c>
      <c r="Q50">
        <v>17</v>
      </c>
      <c r="R50">
        <v>11830</v>
      </c>
      <c r="S50">
        <v>359</v>
      </c>
      <c r="T50">
        <v>434</v>
      </c>
      <c r="U50">
        <v>176714</v>
      </c>
      <c r="V50">
        <v>15618</v>
      </c>
      <c r="W50">
        <v>20651</v>
      </c>
      <c r="X50">
        <v>21114</v>
      </c>
      <c r="Y50">
        <v>21810</v>
      </c>
      <c r="Z50">
        <v>58136</v>
      </c>
      <c r="AA50">
        <v>22655</v>
      </c>
      <c r="AB50">
        <v>46703</v>
      </c>
      <c r="AE50">
        <f>actual1[[#This Row],[Revenue Expenditure]]-(SUM(actual1[[#This Row],[Corporation Tax]:[Other Taxes]])-actual1[[#This Row],[Surcharge for financing of NCCF]]-actual1[[#This Row],[Devolution to State]]+SUM(P50:R50))</f>
        <v>106057</v>
      </c>
      <c r="AF50">
        <f>AE50-actual1[[#This Row],[Grants for Creation of Capital Assets]]</f>
        <v>83402</v>
      </c>
      <c r="AG50">
        <f>U50+AB50-(SUM(actual1[[#This Row],[Corporation Tax]:[Other Taxes]])-actual1[[#This Row],[Surcharge for financing of NCCF]]-actual1[[#This Row],[Devolution to State]]+SUM(P50:R50)+SUM(S50:T50))</f>
        <v>151967</v>
      </c>
      <c r="AH50">
        <f>AG50-actual1[[#This Row],[Interest Payments]]</f>
        <v>136349</v>
      </c>
    </row>
    <row r="51" spans="1:34" x14ac:dyDescent="0.35">
      <c r="A51" t="s">
        <v>64</v>
      </c>
      <c r="B51" s="2" t="s">
        <v>53</v>
      </c>
      <c r="C51">
        <v>2328</v>
      </c>
      <c r="D51">
        <v>52680</v>
      </c>
      <c r="E51">
        <v>1180</v>
      </c>
      <c r="F51">
        <v>60208</v>
      </c>
      <c r="G51">
        <v>36928</v>
      </c>
      <c r="H51">
        <v>144</v>
      </c>
      <c r="I51">
        <v>15704</v>
      </c>
      <c r="J51">
        <v>23260</v>
      </c>
      <c r="K51">
        <v>18411</v>
      </c>
      <c r="L51">
        <v>2740</v>
      </c>
      <c r="M51">
        <v>515</v>
      </c>
      <c r="N51">
        <v>112</v>
      </c>
      <c r="O51">
        <v>111578</v>
      </c>
      <c r="P51">
        <v>1603</v>
      </c>
      <c r="Q51">
        <v>18</v>
      </c>
      <c r="R51">
        <v>22428</v>
      </c>
      <c r="S51">
        <v>570</v>
      </c>
      <c r="T51">
        <v>434</v>
      </c>
      <c r="U51">
        <v>409163</v>
      </c>
      <c r="V51">
        <v>73606</v>
      </c>
      <c r="W51">
        <v>39291</v>
      </c>
      <c r="X51">
        <v>70149</v>
      </c>
      <c r="Y51">
        <v>42312</v>
      </c>
      <c r="Z51">
        <v>88689</v>
      </c>
      <c r="AA51">
        <v>45808</v>
      </c>
      <c r="AB51">
        <v>63791</v>
      </c>
      <c r="AE51">
        <f>actual1[[#This Row],[Revenue Expenditure]]-(SUM(actual1[[#This Row],[Corporation Tax]:[Other Taxes]])-actual1[[#This Row],[Surcharge for financing of NCCF]]-actual1[[#This Row],[Devolution to State]]+SUM(P51:R51))</f>
        <v>282706</v>
      </c>
      <c r="AF51">
        <f>AE51-actual1[[#This Row],[Grants for Creation of Capital Assets]]</f>
        <v>236898</v>
      </c>
      <c r="AG51">
        <f>U51+AB51-(SUM(actual1[[#This Row],[Corporation Tax]:[Other Taxes]])-actual1[[#This Row],[Surcharge for financing of NCCF]]-actual1[[#This Row],[Devolution to State]]+SUM(P51:R51)+SUM(S51:T51))</f>
        <v>345493</v>
      </c>
      <c r="AH51">
        <f>AG51-actual1[[#This Row],[Interest Payments]]</f>
        <v>271887</v>
      </c>
    </row>
    <row r="52" spans="1:34" x14ac:dyDescent="0.35">
      <c r="A52" t="s">
        <v>64</v>
      </c>
      <c r="B52" s="2" t="s">
        <v>54</v>
      </c>
      <c r="C52">
        <v>66427</v>
      </c>
      <c r="D52">
        <v>86297</v>
      </c>
      <c r="E52">
        <v>2210</v>
      </c>
      <c r="F52">
        <v>91144</v>
      </c>
      <c r="G52">
        <v>47140</v>
      </c>
      <c r="H52">
        <v>206</v>
      </c>
      <c r="I52">
        <v>23720</v>
      </c>
      <c r="J52">
        <v>33779</v>
      </c>
      <c r="K52">
        <v>40052</v>
      </c>
      <c r="L52">
        <v>3212</v>
      </c>
      <c r="M52">
        <v>851</v>
      </c>
      <c r="N52">
        <v>341</v>
      </c>
      <c r="O52">
        <v>157527</v>
      </c>
      <c r="P52">
        <v>2473</v>
      </c>
      <c r="Q52">
        <v>18</v>
      </c>
      <c r="R52">
        <v>28110</v>
      </c>
      <c r="S52">
        <v>2083</v>
      </c>
      <c r="T52">
        <v>8760</v>
      </c>
      <c r="U52">
        <v>620659</v>
      </c>
      <c r="V52">
        <v>144915</v>
      </c>
      <c r="W52">
        <v>55139</v>
      </c>
      <c r="X52">
        <v>110962</v>
      </c>
      <c r="Y52">
        <v>56257</v>
      </c>
      <c r="Z52">
        <v>116820</v>
      </c>
      <c r="AA52">
        <v>63060</v>
      </c>
      <c r="AB52">
        <v>86988</v>
      </c>
      <c r="AE52">
        <f>actual1[[#This Row],[Revenue Expenditure]]-(SUM(actual1[[#This Row],[Corporation Tax]:[Other Taxes]])-actual1[[#This Row],[Surcharge for financing of NCCF]]-actual1[[#This Row],[Devolution to State]]+SUM(P52:R52))</f>
        <v>352888</v>
      </c>
      <c r="AF52">
        <f>AE52-actual1[[#This Row],[Grants for Creation of Capital Assets]]</f>
        <v>289828</v>
      </c>
      <c r="AG52">
        <f>U52+AB52-(SUM(actual1[[#This Row],[Corporation Tax]:[Other Taxes]])-actual1[[#This Row],[Surcharge for financing of NCCF]]-actual1[[#This Row],[Devolution to State]]+SUM(P52:R52)+SUM(S52:T52))</f>
        <v>429033</v>
      </c>
      <c r="AH52">
        <f>AG52-actual1[[#This Row],[Interest Payments]]</f>
        <v>284118</v>
      </c>
    </row>
    <row r="53" spans="1:34" x14ac:dyDescent="0.35">
      <c r="A53" t="s">
        <v>64</v>
      </c>
      <c r="B53" s="2" t="s">
        <v>55</v>
      </c>
      <c r="C53">
        <v>83787</v>
      </c>
      <c r="D53">
        <v>121502</v>
      </c>
      <c r="E53">
        <v>3142</v>
      </c>
      <c r="F53">
        <v>149037</v>
      </c>
      <c r="G53">
        <v>7237</v>
      </c>
      <c r="H53">
        <v>369</v>
      </c>
      <c r="I53">
        <v>31683</v>
      </c>
      <c r="J53">
        <v>42874</v>
      </c>
      <c r="K53">
        <v>61075</v>
      </c>
      <c r="L53">
        <v>3630</v>
      </c>
      <c r="M53">
        <v>1148</v>
      </c>
      <c r="N53">
        <v>459</v>
      </c>
      <c r="O53">
        <v>212414</v>
      </c>
      <c r="P53">
        <v>3444</v>
      </c>
      <c r="Q53">
        <v>87</v>
      </c>
      <c r="R53">
        <v>39594</v>
      </c>
      <c r="S53">
        <v>4512</v>
      </c>
      <c r="T53">
        <v>9219</v>
      </c>
      <c r="U53">
        <v>778387</v>
      </c>
      <c r="V53">
        <v>180844</v>
      </c>
      <c r="W53">
        <v>72580</v>
      </c>
      <c r="X53">
        <v>143830</v>
      </c>
      <c r="Y53">
        <v>70055</v>
      </c>
      <c r="Z53">
        <v>141682</v>
      </c>
      <c r="AA53">
        <v>79645</v>
      </c>
      <c r="AB53">
        <v>111337</v>
      </c>
      <c r="AE53">
        <f>actual1[[#This Row],[Revenue Expenditure]]-(SUM(actual1[[#This Row],[Corporation Tax]:[Other Taxes]])-actual1[[#This Row],[Surcharge for financing of NCCF]]-actual1[[#This Row],[Devolution to State]]+SUM(P53:R53))</f>
        <v>442651</v>
      </c>
      <c r="AF53">
        <f>AE53-actual1[[#This Row],[Grants for Creation of Capital Assets]]</f>
        <v>363006</v>
      </c>
      <c r="AG53">
        <f>U53+AB53-(SUM(actual1[[#This Row],[Corporation Tax]:[Other Taxes]])-actual1[[#This Row],[Surcharge for financing of NCCF]]-actual1[[#This Row],[Devolution to State]]+SUM(P53:R53)+SUM(S53:T53))</f>
        <v>540257</v>
      </c>
      <c r="AH53">
        <f>AG53-actual1[[#This Row],[Interest Payments]]</f>
        <v>359413</v>
      </c>
    </row>
    <row r="54" spans="1:34" x14ac:dyDescent="0.35">
      <c r="A54" t="s">
        <v>64</v>
      </c>
      <c r="B54" s="2" t="s">
        <v>56</v>
      </c>
      <c r="C54">
        <v>106268</v>
      </c>
      <c r="D54">
        <v>146249</v>
      </c>
      <c r="E54">
        <v>4102</v>
      </c>
      <c r="F54">
        <v>185084</v>
      </c>
      <c r="G54">
        <v>12436</v>
      </c>
      <c r="H54">
        <v>696</v>
      </c>
      <c r="I54">
        <v>39088</v>
      </c>
      <c r="J54">
        <v>53263</v>
      </c>
      <c r="K54">
        <v>81388</v>
      </c>
      <c r="L54">
        <v>4120</v>
      </c>
      <c r="M54">
        <v>1437</v>
      </c>
      <c r="N54">
        <v>613</v>
      </c>
      <c r="O54">
        <v>267302</v>
      </c>
      <c r="P54">
        <v>4207</v>
      </c>
      <c r="Q54">
        <v>40457</v>
      </c>
      <c r="R54">
        <v>53668</v>
      </c>
      <c r="S54">
        <v>5596</v>
      </c>
      <c r="T54">
        <v>9424</v>
      </c>
      <c r="U54">
        <v>938641</v>
      </c>
      <c r="V54">
        <v>219111</v>
      </c>
      <c r="W54">
        <v>88885</v>
      </c>
      <c r="X54">
        <v>163782</v>
      </c>
      <c r="Y54">
        <v>84995</v>
      </c>
      <c r="Z54">
        <v>170617</v>
      </c>
      <c r="AA54">
        <v>94822</v>
      </c>
      <c r="AB54">
        <v>132218</v>
      </c>
      <c r="AE54">
        <f>actual1[[#This Row],[Revenue Expenditure]]-(SUM(actual1[[#This Row],[Corporation Tax]:[Other Taxes]])-actual1[[#This Row],[Surcharge for financing of NCCF]]-actual1[[#This Row],[Devolution to State]]+SUM(P54:R54))</f>
        <v>474093</v>
      </c>
      <c r="AF54">
        <f>AE54-actual1[[#This Row],[Grants for Creation of Capital Assets]]</f>
        <v>379271</v>
      </c>
      <c r="AG54">
        <f>U54+AB54-(SUM(actual1[[#This Row],[Corporation Tax]:[Other Taxes]])-actual1[[#This Row],[Surcharge for financing of NCCF]]-actual1[[#This Row],[Devolution to State]]+SUM(P54:R54)+SUM(S54:T54))</f>
        <v>591291</v>
      </c>
      <c r="AH54">
        <f>AG54-actual1[[#This Row],[Interest Payments]]</f>
        <v>372180</v>
      </c>
    </row>
    <row r="55" spans="1:34" x14ac:dyDescent="0.35">
      <c r="A55" t="s">
        <v>64</v>
      </c>
      <c r="B55" s="2" t="s">
        <v>57</v>
      </c>
      <c r="C55">
        <v>243742</v>
      </c>
      <c r="D55">
        <v>195603</v>
      </c>
      <c r="E55">
        <v>5095</v>
      </c>
      <c r="F55">
        <v>214946</v>
      </c>
      <c r="G55">
        <v>27189</v>
      </c>
      <c r="H55">
        <v>805</v>
      </c>
      <c r="I55">
        <v>46938</v>
      </c>
      <c r="J55">
        <v>64456</v>
      </c>
      <c r="K55">
        <v>100590</v>
      </c>
      <c r="L55">
        <v>4707</v>
      </c>
      <c r="M55">
        <v>1728</v>
      </c>
      <c r="N55">
        <v>827</v>
      </c>
      <c r="O55">
        <v>322189</v>
      </c>
      <c r="P55">
        <v>5842</v>
      </c>
      <c r="Q55">
        <v>44695</v>
      </c>
      <c r="R55">
        <v>58432</v>
      </c>
      <c r="S55">
        <v>7786</v>
      </c>
      <c r="T55">
        <v>9945</v>
      </c>
      <c r="U55">
        <v>1141586</v>
      </c>
      <c r="V55">
        <v>255432</v>
      </c>
      <c r="W55">
        <v>104840</v>
      </c>
      <c r="X55">
        <v>229246</v>
      </c>
      <c r="Y55">
        <v>100631</v>
      </c>
      <c r="Z55">
        <v>188291</v>
      </c>
      <c r="AA55">
        <v>119217</v>
      </c>
      <c r="AB55">
        <v>162629</v>
      </c>
      <c r="AE55">
        <f>actual1[[#This Row],[Revenue Expenditure]]-(SUM(actual1[[#This Row],[Corporation Tax]:[Other Taxes]])-actual1[[#This Row],[Surcharge for financing of NCCF]]-actual1[[#This Row],[Devolution to State]]+SUM(P55:R55))</f>
        <v>449834</v>
      </c>
      <c r="AF55">
        <f>AE55-actual1[[#This Row],[Grants for Creation of Capital Assets]]</f>
        <v>330617</v>
      </c>
      <c r="AG55">
        <f>U55+AB55-(SUM(actual1[[#This Row],[Corporation Tax]:[Other Taxes]])-actual1[[#This Row],[Surcharge for financing of NCCF]]-actual1[[#This Row],[Devolution to State]]+SUM(P55:R55)+SUM(S55:T55))</f>
        <v>594732</v>
      </c>
      <c r="AH55">
        <f>AG55-actual1[[#This Row],[Interest Payments]]</f>
        <v>339300</v>
      </c>
    </row>
    <row r="56" spans="1:34" x14ac:dyDescent="0.35">
      <c r="A56" t="s">
        <v>64</v>
      </c>
      <c r="B56" s="2" t="s">
        <v>58</v>
      </c>
      <c r="C56">
        <v>270390</v>
      </c>
      <c r="D56">
        <v>229091</v>
      </c>
      <c r="E56">
        <v>6143</v>
      </c>
      <c r="F56">
        <v>262897</v>
      </c>
      <c r="G56">
        <v>12974</v>
      </c>
      <c r="H56">
        <v>931</v>
      </c>
      <c r="I56">
        <v>54662</v>
      </c>
      <c r="J56">
        <v>75919</v>
      </c>
      <c r="K56">
        <v>118694</v>
      </c>
      <c r="L56">
        <v>5370</v>
      </c>
      <c r="M56">
        <v>2019</v>
      </c>
      <c r="N56">
        <v>901</v>
      </c>
      <c r="O56">
        <v>377076</v>
      </c>
      <c r="P56">
        <v>7269</v>
      </c>
      <c r="Q56">
        <v>49368</v>
      </c>
      <c r="R56">
        <v>71079</v>
      </c>
      <c r="S56">
        <v>9080</v>
      </c>
      <c r="T56">
        <v>10101</v>
      </c>
      <c r="U56">
        <v>1279494</v>
      </c>
      <c r="V56">
        <v>292093</v>
      </c>
      <c r="W56">
        <v>122130</v>
      </c>
      <c r="X56">
        <v>243854</v>
      </c>
      <c r="Y56">
        <v>115531</v>
      </c>
      <c r="Z56">
        <v>208421</v>
      </c>
      <c r="AA56">
        <v>124740</v>
      </c>
      <c r="AB56">
        <v>177099</v>
      </c>
      <c r="AE56">
        <f>actual1[[#This Row],[Revenue Expenditure]]-(SUM(actual1[[#This Row],[Corporation Tax]:[Other Taxes]])-actual1[[#This Row],[Surcharge for financing of NCCF]]-actual1[[#This Row],[Devolution to State]]+SUM(P56:R56))</f>
        <v>490665</v>
      </c>
      <c r="AF56">
        <f>AE56-actual1[[#This Row],[Grants for Creation of Capital Assets]]</f>
        <v>365925</v>
      </c>
      <c r="AG56">
        <f>U56+AB56-(SUM(actual1[[#This Row],[Corporation Tax]:[Other Taxes]])-actual1[[#This Row],[Surcharge for financing of NCCF]]-actual1[[#This Row],[Devolution to State]]+SUM(P56:R56)+SUM(S56:T56))</f>
        <v>648583</v>
      </c>
      <c r="AH56">
        <f>AG56-actual1[[#This Row],[Interest Payments]]</f>
        <v>356490</v>
      </c>
    </row>
    <row r="57" spans="1:34" x14ac:dyDescent="0.35">
      <c r="A57" t="s">
        <v>64</v>
      </c>
      <c r="B57" s="2" t="s">
        <v>59</v>
      </c>
      <c r="C57">
        <v>291254</v>
      </c>
      <c r="D57">
        <v>250412</v>
      </c>
      <c r="E57">
        <v>7225</v>
      </c>
      <c r="F57">
        <v>297295</v>
      </c>
      <c r="G57">
        <v>22011</v>
      </c>
      <c r="H57">
        <v>1007</v>
      </c>
      <c r="I57">
        <v>62598</v>
      </c>
      <c r="J57">
        <v>86788</v>
      </c>
      <c r="K57">
        <v>138123</v>
      </c>
      <c r="L57">
        <v>5630</v>
      </c>
      <c r="M57">
        <v>2342</v>
      </c>
      <c r="N57">
        <v>1053</v>
      </c>
      <c r="O57">
        <v>431963</v>
      </c>
      <c r="P57">
        <v>7871</v>
      </c>
      <c r="Q57">
        <v>55253</v>
      </c>
      <c r="R57">
        <v>75513</v>
      </c>
      <c r="S57">
        <v>10467</v>
      </c>
      <c r="T57">
        <v>15810</v>
      </c>
      <c r="U57">
        <v>1421778</v>
      </c>
      <c r="V57">
        <v>348233</v>
      </c>
      <c r="W57">
        <v>138281</v>
      </c>
      <c r="X57">
        <v>260223</v>
      </c>
      <c r="Y57">
        <v>130079</v>
      </c>
      <c r="Z57">
        <v>219046</v>
      </c>
      <c r="AA57">
        <v>134787</v>
      </c>
      <c r="AB57">
        <v>191430</v>
      </c>
      <c r="AE57">
        <f>actual1[[#This Row],[Revenue Expenditure]]-(SUM(actual1[[#This Row],[Corporation Tax]:[Other Taxes]])-actual1[[#This Row],[Surcharge for financing of NCCF]]-actual1[[#This Row],[Devolution to State]]+SUM(P57:R57))</f>
        <v>551472</v>
      </c>
      <c r="AF57">
        <f>AE57-actual1[[#This Row],[Grants for Creation of Capital Assets]]</f>
        <v>416685</v>
      </c>
      <c r="AG57">
        <f>U57+AB57-(SUM(actual1[[#This Row],[Corporation Tax]:[Other Taxes]])-actual1[[#This Row],[Surcharge for financing of NCCF]]-actual1[[#This Row],[Devolution to State]]+SUM(P57:R57)+SUM(S57:T57))</f>
        <v>716625</v>
      </c>
      <c r="AH57">
        <f>AG57-actual1[[#This Row],[Interest Payments]]</f>
        <v>368392</v>
      </c>
    </row>
    <row r="58" spans="1:34" x14ac:dyDescent="0.35">
      <c r="A58" t="s">
        <v>64</v>
      </c>
      <c r="B58" s="2" t="s">
        <v>60</v>
      </c>
      <c r="C58">
        <v>427481</v>
      </c>
      <c r="D58">
        <v>302164</v>
      </c>
      <c r="E58">
        <v>8101</v>
      </c>
      <c r="F58">
        <v>340370</v>
      </c>
      <c r="G58">
        <v>12643</v>
      </c>
      <c r="H58">
        <v>1592</v>
      </c>
      <c r="I58">
        <v>70298</v>
      </c>
      <c r="J58">
        <v>97047</v>
      </c>
      <c r="K58">
        <v>156354</v>
      </c>
      <c r="L58">
        <v>5767</v>
      </c>
      <c r="M58">
        <v>2634</v>
      </c>
      <c r="N58">
        <v>1267</v>
      </c>
      <c r="O58">
        <v>486851</v>
      </c>
      <c r="P58">
        <v>9218</v>
      </c>
      <c r="Q58">
        <v>58994</v>
      </c>
      <c r="R58">
        <v>79499</v>
      </c>
      <c r="S58">
        <v>12317</v>
      </c>
      <c r="T58">
        <v>34215</v>
      </c>
      <c r="U58">
        <v>1620211</v>
      </c>
      <c r="V58">
        <v>421193</v>
      </c>
      <c r="W58">
        <v>153652</v>
      </c>
      <c r="X58">
        <v>287474</v>
      </c>
      <c r="Y58">
        <v>144472</v>
      </c>
      <c r="Z58">
        <v>244977</v>
      </c>
      <c r="AA58">
        <v>151018</v>
      </c>
      <c r="AB58">
        <v>211822</v>
      </c>
      <c r="AE58">
        <f>actual1[[#This Row],[Revenue Expenditure]]-(SUM(actual1[[#This Row],[Corporation Tax]:[Other Taxes]])-actual1[[#This Row],[Surcharge for financing of NCCF]]-actual1[[#This Row],[Devolution to State]]+SUM(P58:R58))</f>
        <v>536167</v>
      </c>
      <c r="AF58">
        <f>AE58-actual1[[#This Row],[Grants for Creation of Capital Assets]]</f>
        <v>385149</v>
      </c>
      <c r="AG58">
        <f>U58+AB58-(SUM(actual1[[#This Row],[Corporation Tax]:[Other Taxes]])-actual1[[#This Row],[Surcharge for financing of NCCF]]-actual1[[#This Row],[Devolution to State]]+SUM(P58:R58)+SUM(S58:T58))</f>
        <v>701457</v>
      </c>
      <c r="AH58">
        <f>AG58-actual1[[#This Row],[Interest Payments]]</f>
        <v>280264</v>
      </c>
    </row>
    <row r="59" spans="1:34" x14ac:dyDescent="0.35">
      <c r="A59" t="s">
        <v>64</v>
      </c>
      <c r="B59" s="2" t="s">
        <v>61</v>
      </c>
      <c r="C59">
        <v>454689</v>
      </c>
      <c r="D59">
        <v>329660</v>
      </c>
      <c r="E59">
        <v>8914</v>
      </c>
      <c r="F59">
        <v>375436</v>
      </c>
      <c r="G59">
        <v>22154</v>
      </c>
      <c r="H59">
        <v>1718</v>
      </c>
      <c r="I59">
        <v>78733</v>
      </c>
      <c r="J59">
        <v>107501</v>
      </c>
      <c r="K59">
        <v>174620</v>
      </c>
      <c r="L59">
        <v>6031</v>
      </c>
      <c r="M59">
        <v>2927</v>
      </c>
      <c r="N59">
        <v>1357</v>
      </c>
      <c r="O59">
        <v>541738</v>
      </c>
      <c r="P59">
        <v>9831</v>
      </c>
      <c r="Q59">
        <v>62443</v>
      </c>
      <c r="R59">
        <v>89852</v>
      </c>
      <c r="S59">
        <v>13717</v>
      </c>
      <c r="T59">
        <v>35606</v>
      </c>
      <c r="U59">
        <v>1771851</v>
      </c>
      <c r="V59">
        <v>463325</v>
      </c>
      <c r="W59">
        <v>169331</v>
      </c>
      <c r="X59">
        <v>331611</v>
      </c>
      <c r="Y59">
        <v>156116</v>
      </c>
      <c r="Z59">
        <v>259900</v>
      </c>
      <c r="AA59">
        <v>157820</v>
      </c>
      <c r="AB59">
        <v>229731</v>
      </c>
      <c r="AE59">
        <f>actual1[[#This Row],[Revenue Expenditure]]-(SUM(actual1[[#This Row],[Corporation Tax]:[Other Taxes]])-actual1[[#This Row],[Surcharge for financing of NCCF]]-actual1[[#This Row],[Devolution to State]]+SUM(P59:R59))</f>
        <v>590437</v>
      </c>
      <c r="AF59">
        <f>AE59-actual1[[#This Row],[Grants for Creation of Capital Assets]]</f>
        <v>432617</v>
      </c>
      <c r="AG59">
        <f>U59+AB59-(SUM(actual1[[#This Row],[Corporation Tax]:[Other Taxes]])-actual1[[#This Row],[Surcharge for financing of NCCF]]-actual1[[#This Row],[Devolution to State]]+SUM(P59:R59)+SUM(S59:T59))</f>
        <v>770845</v>
      </c>
      <c r="AH59">
        <f>AG59-actual1[[#This Row],[Interest Payments]]</f>
        <v>307520</v>
      </c>
    </row>
    <row r="60" spans="1:34" x14ac:dyDescent="0.35">
      <c r="A60" t="s">
        <v>64</v>
      </c>
      <c r="B60" s="2" t="s">
        <v>62</v>
      </c>
      <c r="C60">
        <v>475365</v>
      </c>
      <c r="D60">
        <v>360448</v>
      </c>
      <c r="E60">
        <v>9844</v>
      </c>
      <c r="F60">
        <v>411344</v>
      </c>
      <c r="G60">
        <v>26607</v>
      </c>
      <c r="H60">
        <v>1823</v>
      </c>
      <c r="I60">
        <v>86906</v>
      </c>
      <c r="J60">
        <v>116689</v>
      </c>
      <c r="K60">
        <v>193274</v>
      </c>
      <c r="L60">
        <v>6557</v>
      </c>
      <c r="M60">
        <v>3253</v>
      </c>
      <c r="N60">
        <v>1520</v>
      </c>
      <c r="O60">
        <v>596667</v>
      </c>
      <c r="P60">
        <v>10848</v>
      </c>
      <c r="Q60">
        <v>65974</v>
      </c>
      <c r="R60">
        <v>94933</v>
      </c>
      <c r="S60">
        <v>15042</v>
      </c>
      <c r="T60">
        <v>56620</v>
      </c>
      <c r="U60">
        <v>1915303</v>
      </c>
      <c r="V60">
        <v>501160</v>
      </c>
      <c r="W60">
        <v>185322</v>
      </c>
      <c r="X60">
        <v>370236</v>
      </c>
      <c r="Y60">
        <v>162201</v>
      </c>
      <c r="Z60">
        <v>263868</v>
      </c>
      <c r="AA60">
        <v>176996</v>
      </c>
      <c r="AB60">
        <v>273536</v>
      </c>
      <c r="AE60">
        <f>actual1[[#This Row],[Revenue Expenditure]]-(SUM(actual1[[#This Row],[Corporation Tax]:[Other Taxes]])-actual1[[#This Row],[Surcharge for financing of NCCF]]-actual1[[#This Row],[Devolution to State]]+SUM(P60:R60))</f>
        <v>649625</v>
      </c>
      <c r="AF60">
        <f>AE60-actual1[[#This Row],[Grants for Creation of Capital Assets]]</f>
        <v>472629</v>
      </c>
      <c r="AG60">
        <f>U60+AB60-(SUM(actual1[[#This Row],[Corporation Tax]:[Other Taxes]])-actual1[[#This Row],[Surcharge for financing of NCCF]]-actual1[[#This Row],[Devolution to State]]+SUM(P60:R60)+SUM(S60:T60))</f>
        <v>851499</v>
      </c>
      <c r="AH60">
        <f>AG60-actual1[[#This Row],[Interest Payments]]</f>
        <v>350339</v>
      </c>
    </row>
    <row r="61" spans="1:34" x14ac:dyDescent="0.35">
      <c r="A61" t="s">
        <v>64</v>
      </c>
      <c r="B61" s="2" t="s">
        <v>63</v>
      </c>
      <c r="C61">
        <v>663572</v>
      </c>
      <c r="D61">
        <v>461652</v>
      </c>
      <c r="E61">
        <v>11527</v>
      </c>
      <c r="F61">
        <v>457534</v>
      </c>
      <c r="G61">
        <v>28944</v>
      </c>
      <c r="H61">
        <v>2779</v>
      </c>
      <c r="I61">
        <v>95081</v>
      </c>
      <c r="J61">
        <v>117813</v>
      </c>
      <c r="K61">
        <v>230992</v>
      </c>
      <c r="L61">
        <v>6904</v>
      </c>
      <c r="M61">
        <v>3667</v>
      </c>
      <c r="N61">
        <v>1800</v>
      </c>
      <c r="O61">
        <v>761454</v>
      </c>
      <c r="P61">
        <v>12167</v>
      </c>
      <c r="Q61">
        <v>113427</v>
      </c>
      <c r="R61">
        <v>110206</v>
      </c>
      <c r="S61">
        <v>17957</v>
      </c>
      <c r="T61">
        <v>94727</v>
      </c>
      <c r="U61">
        <v>2008024</v>
      </c>
      <c r="V61">
        <v>582648</v>
      </c>
      <c r="W61">
        <v>195572</v>
      </c>
      <c r="X61">
        <v>375997</v>
      </c>
      <c r="Y61">
        <v>160212</v>
      </c>
      <c r="Z61">
        <v>196496</v>
      </c>
      <c r="AA61">
        <v>191220</v>
      </c>
      <c r="AB61">
        <v>307089</v>
      </c>
      <c r="AE61">
        <f>actual1[[#This Row],[Revenue Expenditure]]-(SUM(actual1[[#This Row],[Corporation Tax]:[Other Taxes]])-actual1[[#This Row],[Surcharge for financing of NCCF]]-actual1[[#This Row],[Devolution to State]]+SUM(P61:R61))</f>
        <v>455013</v>
      </c>
      <c r="AF61">
        <f>AE61-actual1[[#This Row],[Grants for Creation of Capital Assets]]</f>
        <v>263793</v>
      </c>
      <c r="AG61">
        <f>U61+AB61-(SUM(actual1[[#This Row],[Corporation Tax]:[Other Taxes]])-actual1[[#This Row],[Surcharge for financing of NCCF]]-actual1[[#This Row],[Devolution to State]]+SUM(P61:R61)+SUM(S61:T61))</f>
        <v>649418</v>
      </c>
      <c r="AH61">
        <f>AG61-actual1[[#This Row],[Interest Payments]]</f>
        <v>66770</v>
      </c>
    </row>
    <row r="62" spans="1:34" x14ac:dyDescent="0.35">
      <c r="A62" t="s">
        <v>22</v>
      </c>
      <c r="B62" s="2" t="s">
        <v>23</v>
      </c>
      <c r="C62">
        <v>12376</v>
      </c>
      <c r="D62">
        <v>39716</v>
      </c>
      <c r="E62">
        <v>282</v>
      </c>
      <c r="F62">
        <v>46848</v>
      </c>
      <c r="G62">
        <v>-564</v>
      </c>
      <c r="H62">
        <v>171</v>
      </c>
      <c r="I62">
        <v>8874</v>
      </c>
      <c r="J62">
        <v>13105</v>
      </c>
      <c r="K62">
        <v>-114</v>
      </c>
      <c r="L62">
        <v>219</v>
      </c>
      <c r="M62">
        <v>277</v>
      </c>
      <c r="N62">
        <v>9</v>
      </c>
      <c r="O62">
        <v>49544</v>
      </c>
      <c r="P62">
        <v>1489</v>
      </c>
      <c r="Q62">
        <v>35</v>
      </c>
      <c r="R62">
        <v>21769</v>
      </c>
      <c r="S62">
        <v>350</v>
      </c>
      <c r="T62">
        <v>2351</v>
      </c>
      <c r="U62">
        <v>224091</v>
      </c>
      <c r="V62">
        <v>19557</v>
      </c>
      <c r="W62">
        <v>24973</v>
      </c>
      <c r="X62">
        <v>24514</v>
      </c>
      <c r="Y62">
        <v>34739</v>
      </c>
      <c r="Z62">
        <v>68974</v>
      </c>
      <c r="AA62">
        <v>17560</v>
      </c>
      <c r="AB62">
        <v>30588</v>
      </c>
      <c r="AE62">
        <f>actual1[[#This Row],[Revenue Expenditure]]-(SUM(actual1[[#This Row],[Corporation Tax]:[Other Taxes]])-actual1[[#This Row],[Surcharge for financing of NCCF]]-actual1[[#This Row],[Devolution to State]]+SUM(P62:R62))</f>
        <v>129161</v>
      </c>
      <c r="AF62">
        <f>AE62-actual1[[#This Row],[Grants for Creation of Capital Assets]]</f>
        <v>111601</v>
      </c>
      <c r="AG62">
        <f>U62+AB62-(SUM(actual1[[#This Row],[Corporation Tax]:[Other Taxes]])-actual1[[#This Row],[Surcharge for financing of NCCF]]-actual1[[#This Row],[Devolution to State]]+SUM(P62:R62)+SUM(S62:T62))</f>
        <v>157048</v>
      </c>
      <c r="AH62">
        <f>AG62-actual1[[#This Row],[Interest Payments]]</f>
        <v>137491</v>
      </c>
    </row>
    <row r="63" spans="1:34" x14ac:dyDescent="0.35">
      <c r="A63" t="s">
        <v>22</v>
      </c>
      <c r="B63" s="2" t="s">
        <v>25</v>
      </c>
      <c r="C63">
        <v>1126</v>
      </c>
      <c r="D63">
        <v>60556</v>
      </c>
      <c r="E63">
        <v>1172</v>
      </c>
      <c r="F63">
        <v>81405</v>
      </c>
      <c r="G63">
        <v>6631</v>
      </c>
      <c r="H63">
        <v>325</v>
      </c>
      <c r="I63">
        <v>16587</v>
      </c>
      <c r="J63">
        <v>28229</v>
      </c>
      <c r="K63">
        <v>17333</v>
      </c>
      <c r="L63">
        <v>541</v>
      </c>
      <c r="M63">
        <v>674</v>
      </c>
      <c r="N63">
        <v>152</v>
      </c>
      <c r="O63">
        <v>99087</v>
      </c>
      <c r="P63">
        <v>2175</v>
      </c>
      <c r="Q63">
        <v>35</v>
      </c>
      <c r="R63">
        <v>26213</v>
      </c>
      <c r="S63">
        <v>712</v>
      </c>
      <c r="T63">
        <v>2355</v>
      </c>
      <c r="U63">
        <v>465284</v>
      </c>
      <c r="V63">
        <v>74804</v>
      </c>
      <c r="W63">
        <v>43462</v>
      </c>
      <c r="X63">
        <v>66019</v>
      </c>
      <c r="Y63">
        <v>53964</v>
      </c>
      <c r="Z63">
        <v>115059</v>
      </c>
      <c r="AA63">
        <v>30023</v>
      </c>
      <c r="AB63">
        <v>47703</v>
      </c>
      <c r="AE63">
        <f>actual1[[#This Row],[Revenue Expenditure]]-(SUM(actual1[[#This Row],[Corporation Tax]:[Other Taxes]])-actual1[[#This Row],[Surcharge for financing of NCCF]]-actual1[[#This Row],[Devolution to State]]+SUM(P63:R63))</f>
        <v>321521</v>
      </c>
      <c r="AF63">
        <f>AE63-actual1[[#This Row],[Grants for Creation of Capital Assets]]</f>
        <v>291498</v>
      </c>
      <c r="AG63">
        <f>U63+AB63-(SUM(actual1[[#This Row],[Corporation Tax]:[Other Taxes]])-actual1[[#This Row],[Surcharge for financing of NCCF]]-actual1[[#This Row],[Devolution to State]]+SUM(P63:R63)+SUM(S63:T63))</f>
        <v>366157</v>
      </c>
      <c r="AH63">
        <f>AG63-actual1[[#This Row],[Interest Payments]]</f>
        <v>291353</v>
      </c>
    </row>
    <row r="64" spans="1:34" x14ac:dyDescent="0.35">
      <c r="A64" t="s">
        <v>22</v>
      </c>
      <c r="B64" s="2" t="s">
        <v>26</v>
      </c>
      <c r="C64">
        <v>70640</v>
      </c>
      <c r="D64">
        <v>96927</v>
      </c>
      <c r="E64">
        <v>2261</v>
      </c>
      <c r="F64">
        <v>116805</v>
      </c>
      <c r="G64">
        <v>10670</v>
      </c>
      <c r="H64">
        <v>513</v>
      </c>
      <c r="I64">
        <v>24613</v>
      </c>
      <c r="J64">
        <v>39480</v>
      </c>
      <c r="K64">
        <v>36951</v>
      </c>
      <c r="L64">
        <v>648</v>
      </c>
      <c r="M64">
        <v>913</v>
      </c>
      <c r="N64">
        <v>379</v>
      </c>
      <c r="O64">
        <v>148631</v>
      </c>
      <c r="P64">
        <v>3259</v>
      </c>
      <c r="Q64">
        <v>283</v>
      </c>
      <c r="R64">
        <v>29933</v>
      </c>
      <c r="S64">
        <v>2407</v>
      </c>
      <c r="T64">
        <v>2357</v>
      </c>
      <c r="U64">
        <v>658705</v>
      </c>
      <c r="V64">
        <v>141755</v>
      </c>
      <c r="W64">
        <v>58790</v>
      </c>
      <c r="X64">
        <v>97932</v>
      </c>
      <c r="Y64">
        <v>57184</v>
      </c>
      <c r="Z64">
        <v>151824</v>
      </c>
      <c r="AA64">
        <v>45753</v>
      </c>
      <c r="AB64">
        <v>63000</v>
      </c>
      <c r="AE64">
        <f>actual1[[#This Row],[Revenue Expenditure]]-(SUM(actual1[[#This Row],[Corporation Tax]:[Other Taxes]])-actual1[[#This Row],[Surcharge for financing of NCCF]]-actual1[[#This Row],[Devolution to State]]+SUM(P64:R64))</f>
        <v>373819</v>
      </c>
      <c r="AF64">
        <f>AE64-actual1[[#This Row],[Grants for Creation of Capital Assets]]</f>
        <v>328066</v>
      </c>
      <c r="AG64">
        <f>U64+AB64-(SUM(actual1[[#This Row],[Corporation Tax]:[Other Taxes]])-actual1[[#This Row],[Surcharge for financing of NCCF]]-actual1[[#This Row],[Devolution to State]]+SUM(P64:R64)+SUM(S64:T64))</f>
        <v>432055</v>
      </c>
      <c r="AH64">
        <f>AG64-actual1[[#This Row],[Interest Payments]]</f>
        <v>290300</v>
      </c>
    </row>
    <row r="65" spans="1:34" x14ac:dyDescent="0.35">
      <c r="A65" t="s">
        <v>22</v>
      </c>
      <c r="B65" s="2" t="s">
        <v>27</v>
      </c>
      <c r="C65">
        <v>88381</v>
      </c>
      <c r="D65">
        <v>128752</v>
      </c>
      <c r="E65">
        <v>3096</v>
      </c>
      <c r="F65">
        <v>140900</v>
      </c>
      <c r="G65">
        <v>35920</v>
      </c>
      <c r="H65">
        <v>710</v>
      </c>
      <c r="I65">
        <v>32796</v>
      </c>
      <c r="J65">
        <v>51719</v>
      </c>
      <c r="K65">
        <v>54844</v>
      </c>
      <c r="L65">
        <v>719</v>
      </c>
      <c r="M65">
        <v>1231</v>
      </c>
      <c r="N65">
        <v>451</v>
      </c>
      <c r="O65">
        <v>199912</v>
      </c>
      <c r="P65">
        <v>4127</v>
      </c>
      <c r="Q65">
        <v>278</v>
      </c>
      <c r="R65">
        <v>39500</v>
      </c>
      <c r="S65">
        <v>4705</v>
      </c>
      <c r="T65">
        <v>12358</v>
      </c>
      <c r="U65">
        <v>839673</v>
      </c>
      <c r="V65">
        <v>183524</v>
      </c>
      <c r="W65">
        <v>75895</v>
      </c>
      <c r="X65">
        <v>142075</v>
      </c>
      <c r="Y65">
        <v>67000</v>
      </c>
      <c r="Z65">
        <v>169660</v>
      </c>
      <c r="AA65">
        <v>58191</v>
      </c>
      <c r="AB65">
        <v>107605</v>
      </c>
      <c r="AE65">
        <f>actual1[[#This Row],[Revenue Expenditure]]-(SUM(actual1[[#This Row],[Corporation Tax]:[Other Taxes]])-actual1[[#This Row],[Surcharge for financing of NCCF]]-actual1[[#This Row],[Devolution to State]]+SUM(P65:R65))</f>
        <v>457063</v>
      </c>
      <c r="AF65">
        <f>AE65-actual1[[#This Row],[Grants for Creation of Capital Assets]]</f>
        <v>398872</v>
      </c>
      <c r="AG65">
        <f>U65+AB65-(SUM(actual1[[#This Row],[Corporation Tax]:[Other Taxes]])-actual1[[#This Row],[Surcharge for financing of NCCF]]-actual1[[#This Row],[Devolution to State]]+SUM(P65:R65)+SUM(S65:T65))</f>
        <v>547605</v>
      </c>
      <c r="AH65">
        <f>AG65-actual1[[#This Row],[Interest Payments]]</f>
        <v>364081</v>
      </c>
    </row>
    <row r="66" spans="1:34" x14ac:dyDescent="0.35">
      <c r="A66" t="s">
        <v>22</v>
      </c>
      <c r="B66" s="2" t="s">
        <v>28</v>
      </c>
      <c r="C66">
        <v>111166</v>
      </c>
      <c r="D66">
        <v>165500</v>
      </c>
      <c r="E66">
        <v>4066</v>
      </c>
      <c r="F66">
        <v>209445</v>
      </c>
      <c r="G66">
        <v>-10178</v>
      </c>
      <c r="H66">
        <v>827</v>
      </c>
      <c r="I66">
        <v>39618</v>
      </c>
      <c r="J66">
        <v>62031</v>
      </c>
      <c r="K66">
        <v>76032</v>
      </c>
      <c r="L66">
        <v>672</v>
      </c>
      <c r="M66">
        <v>1595</v>
      </c>
      <c r="N66">
        <v>589</v>
      </c>
      <c r="O66">
        <v>255605</v>
      </c>
      <c r="P66">
        <v>5021</v>
      </c>
      <c r="Q66">
        <v>149859</v>
      </c>
      <c r="R66">
        <v>43741</v>
      </c>
      <c r="S66">
        <v>5902</v>
      </c>
      <c r="T66">
        <v>12358</v>
      </c>
      <c r="U66">
        <v>1039125</v>
      </c>
      <c r="V66">
        <v>219026</v>
      </c>
      <c r="W66">
        <v>93595</v>
      </c>
      <c r="X66">
        <v>183811</v>
      </c>
      <c r="Y66">
        <v>105835</v>
      </c>
      <c r="Z66">
        <v>189527</v>
      </c>
      <c r="AA66">
        <v>82399</v>
      </c>
      <c r="AB66">
        <v>136176</v>
      </c>
      <c r="AE66">
        <f>actual1[[#This Row],[Revenue Expenditure]]-(SUM(actual1[[#This Row],[Corporation Tax]:[Other Taxes]])-actual1[[#This Row],[Surcharge for financing of NCCF]]-actual1[[#This Row],[Devolution to State]]+SUM(P66:R66))</f>
        <v>435924</v>
      </c>
      <c r="AF66">
        <f>AE66-actual1[[#This Row],[Grants for Creation of Capital Assets]]</f>
        <v>353525</v>
      </c>
      <c r="AG66">
        <f>U66+AB66-(SUM(actual1[[#This Row],[Corporation Tax]:[Other Taxes]])-actual1[[#This Row],[Surcharge for financing of NCCF]]-actual1[[#This Row],[Devolution to State]]+SUM(P66:R66)+SUM(S66:T66))</f>
        <v>553840</v>
      </c>
      <c r="AH66">
        <f>AG66-actual1[[#This Row],[Interest Payments]]</f>
        <v>334814</v>
      </c>
    </row>
    <row r="67" spans="1:34" x14ac:dyDescent="0.35">
      <c r="A67" t="s">
        <v>22</v>
      </c>
      <c r="B67" s="2" t="s">
        <v>29</v>
      </c>
      <c r="C67">
        <v>249327</v>
      </c>
      <c r="D67">
        <v>213004</v>
      </c>
      <c r="E67">
        <v>5038</v>
      </c>
      <c r="F67">
        <v>247577</v>
      </c>
      <c r="G67">
        <v>-13828</v>
      </c>
      <c r="H67">
        <v>1309</v>
      </c>
      <c r="I67">
        <v>46766</v>
      </c>
      <c r="J67">
        <v>71838</v>
      </c>
      <c r="K67">
        <v>95930</v>
      </c>
      <c r="L67">
        <v>642</v>
      </c>
      <c r="M67">
        <v>1867</v>
      </c>
      <c r="N67">
        <v>823</v>
      </c>
      <c r="O67">
        <v>311218</v>
      </c>
      <c r="P67">
        <v>6479</v>
      </c>
      <c r="Q67">
        <v>154798</v>
      </c>
      <c r="R67">
        <v>47761</v>
      </c>
      <c r="S67">
        <v>8239</v>
      </c>
      <c r="T67">
        <v>12359</v>
      </c>
      <c r="U67">
        <v>1301082</v>
      </c>
      <c r="V67">
        <v>270696</v>
      </c>
      <c r="W67">
        <v>110931</v>
      </c>
      <c r="X67">
        <v>267424</v>
      </c>
      <c r="Y67">
        <v>121112</v>
      </c>
      <c r="Z67">
        <v>211388</v>
      </c>
      <c r="AA67">
        <v>105374</v>
      </c>
      <c r="AB67">
        <v>187537</v>
      </c>
      <c r="AE67">
        <f>actual1[[#This Row],[Revenue Expenditure]]-(SUM(actual1[[#This Row],[Corporation Tax]:[Other Taxes]])-actual1[[#This Row],[Surcharge for financing of NCCF]]-actual1[[#This Row],[Devolution to State]]+SUM(P67:R67))</f>
        <v>484615</v>
      </c>
      <c r="AF67">
        <f>AE67-actual1[[#This Row],[Grants for Creation of Capital Assets]]</f>
        <v>379241</v>
      </c>
      <c r="AG67">
        <f>U67+AB67-(SUM(actual1[[#This Row],[Corporation Tax]:[Other Taxes]])-actual1[[#This Row],[Surcharge for financing of NCCF]]-actual1[[#This Row],[Devolution to State]]+SUM(P67:R67)+SUM(S67:T67))</f>
        <v>651554</v>
      </c>
      <c r="AH67">
        <f>AG67-actual1[[#This Row],[Interest Payments]]</f>
        <v>380858</v>
      </c>
    </row>
    <row r="68" spans="1:34" x14ac:dyDescent="0.35">
      <c r="A68" t="s">
        <v>22</v>
      </c>
      <c r="B68" s="2" t="s">
        <v>30</v>
      </c>
      <c r="C68">
        <v>272756</v>
      </c>
      <c r="D68">
        <v>244394</v>
      </c>
      <c r="E68">
        <v>6054</v>
      </c>
      <c r="F68">
        <v>284712</v>
      </c>
      <c r="G68">
        <v>5745</v>
      </c>
      <c r="H68">
        <v>1499</v>
      </c>
      <c r="I68">
        <v>55467</v>
      </c>
      <c r="J68">
        <v>64459</v>
      </c>
      <c r="K68">
        <v>113951</v>
      </c>
      <c r="L68">
        <v>508</v>
      </c>
      <c r="M68">
        <v>2259</v>
      </c>
      <c r="N68">
        <v>1447</v>
      </c>
      <c r="O68">
        <v>366871</v>
      </c>
      <c r="P68">
        <v>6685</v>
      </c>
      <c r="Q68">
        <v>157879</v>
      </c>
      <c r="R68">
        <v>59584</v>
      </c>
      <c r="S68">
        <v>9461</v>
      </c>
      <c r="T68">
        <v>17365</v>
      </c>
      <c r="U68">
        <v>1453632</v>
      </c>
      <c r="V68">
        <v>289565</v>
      </c>
      <c r="W68">
        <v>129820</v>
      </c>
      <c r="X68">
        <v>308479</v>
      </c>
      <c r="Y68">
        <v>135102</v>
      </c>
      <c r="Z68">
        <v>226724</v>
      </c>
      <c r="AA68">
        <v>117770</v>
      </c>
      <c r="AB68">
        <v>201273</v>
      </c>
      <c r="AE68">
        <f>actual1[[#This Row],[Revenue Expenditure]]-(SUM(actual1[[#This Row],[Corporation Tax]:[Other Taxes]])-actual1[[#This Row],[Surcharge for financing of NCCF]]-actual1[[#This Row],[Devolution to State]]+SUM(P68:R68))</f>
        <v>545998</v>
      </c>
      <c r="AF68">
        <f>AE68-actual1[[#This Row],[Grants for Creation of Capital Assets]]</f>
        <v>428228</v>
      </c>
      <c r="AG68">
        <f>U68+AB68-(SUM(actual1[[#This Row],[Corporation Tax]:[Other Taxes]])-actual1[[#This Row],[Surcharge for financing of NCCF]]-actual1[[#This Row],[Devolution to State]]+SUM(P68:R68)+SUM(S68:T68))</f>
        <v>720445</v>
      </c>
      <c r="AH68">
        <f>AG68-actual1[[#This Row],[Interest Payments]]</f>
        <v>430880</v>
      </c>
    </row>
    <row r="69" spans="1:34" x14ac:dyDescent="0.35">
      <c r="A69" t="s">
        <v>22</v>
      </c>
      <c r="B69" s="2" t="s">
        <v>31</v>
      </c>
      <c r="C69">
        <v>288602</v>
      </c>
      <c r="D69">
        <v>267929</v>
      </c>
      <c r="E69">
        <v>7054</v>
      </c>
      <c r="F69">
        <v>328366</v>
      </c>
      <c r="G69">
        <v>5992</v>
      </c>
      <c r="H69">
        <v>1696</v>
      </c>
      <c r="I69">
        <v>62586</v>
      </c>
      <c r="J69">
        <v>75933</v>
      </c>
      <c r="K69">
        <v>132899</v>
      </c>
      <c r="L69">
        <v>532</v>
      </c>
      <c r="M69">
        <v>2554</v>
      </c>
      <c r="N69">
        <v>1679</v>
      </c>
      <c r="O69">
        <v>421850</v>
      </c>
      <c r="P69">
        <v>7539</v>
      </c>
      <c r="Q69">
        <v>158385</v>
      </c>
      <c r="R69">
        <v>66676</v>
      </c>
      <c r="S69">
        <v>10910</v>
      </c>
      <c r="T69">
        <v>18099</v>
      </c>
      <c r="U69">
        <v>1606215</v>
      </c>
      <c r="V69">
        <v>341812</v>
      </c>
      <c r="W69">
        <v>145450</v>
      </c>
      <c r="X69">
        <v>332099</v>
      </c>
      <c r="Y69">
        <v>150825</v>
      </c>
      <c r="Z69">
        <v>235015</v>
      </c>
      <c r="AA69">
        <v>129218</v>
      </c>
      <c r="AB69">
        <v>213842</v>
      </c>
      <c r="AE69">
        <f>actual1[[#This Row],[Revenue Expenditure]]-(SUM(actual1[[#This Row],[Corporation Tax]:[Other Taxes]])-actual1[[#This Row],[Surcharge for financing of NCCF]]-actual1[[#This Row],[Devolution to State]]+SUM(P69:R69))</f>
        <v>623001</v>
      </c>
      <c r="AF69">
        <f>AE69-actual1[[#This Row],[Grants for Creation of Capital Assets]]</f>
        <v>493783</v>
      </c>
      <c r="AG69">
        <f>U69+AB69-(SUM(actual1[[#This Row],[Corporation Tax]:[Other Taxes]])-actual1[[#This Row],[Surcharge for financing of NCCF]]-actual1[[#This Row],[Devolution to State]]+SUM(P69:R69)+SUM(S69:T69))</f>
        <v>807834</v>
      </c>
      <c r="AH69">
        <f>AG69-actual1[[#This Row],[Interest Payments]]</f>
        <v>466022</v>
      </c>
    </row>
    <row r="70" spans="1:34" x14ac:dyDescent="0.35">
      <c r="A70" t="s">
        <v>22</v>
      </c>
      <c r="B70" s="2" t="s">
        <v>32</v>
      </c>
      <c r="C70">
        <v>369533</v>
      </c>
      <c r="D70">
        <v>317652</v>
      </c>
      <c r="E70">
        <v>8141</v>
      </c>
      <c r="F70">
        <v>368838</v>
      </c>
      <c r="G70">
        <v>4168</v>
      </c>
      <c r="H70">
        <v>1866</v>
      </c>
      <c r="I70">
        <v>70499</v>
      </c>
      <c r="J70">
        <v>85154</v>
      </c>
      <c r="K70">
        <v>153199</v>
      </c>
      <c r="L70">
        <v>1074</v>
      </c>
      <c r="M70">
        <v>2911</v>
      </c>
      <c r="N70">
        <v>1978</v>
      </c>
      <c r="O70">
        <v>476113</v>
      </c>
      <c r="P70">
        <v>8620</v>
      </c>
      <c r="Q70">
        <v>161979</v>
      </c>
      <c r="R70">
        <v>71354</v>
      </c>
      <c r="S70">
        <v>12925</v>
      </c>
      <c r="T70">
        <v>18100</v>
      </c>
      <c r="U70">
        <v>1854125</v>
      </c>
      <c r="V70">
        <v>424314</v>
      </c>
      <c r="W70">
        <v>162106</v>
      </c>
      <c r="X70">
        <v>401585</v>
      </c>
      <c r="Y70">
        <v>160656</v>
      </c>
      <c r="Z70">
        <v>252038</v>
      </c>
      <c r="AA70">
        <v>142945</v>
      </c>
      <c r="AB70">
        <v>255522</v>
      </c>
      <c r="AE70">
        <f>actual1[[#This Row],[Revenue Expenditure]]-(SUM(actual1[[#This Row],[Corporation Tax]:[Other Taxes]])-actual1[[#This Row],[Surcharge for financing of NCCF]]-actual1[[#This Row],[Devolution to State]]+SUM(P70:R70))</f>
        <v>707228</v>
      </c>
      <c r="AF70">
        <f>AE70-actual1[[#This Row],[Grants for Creation of Capital Assets]]</f>
        <v>564283</v>
      </c>
      <c r="AG70">
        <f>U70+AB70-(SUM(actual1[[#This Row],[Corporation Tax]:[Other Taxes]])-actual1[[#This Row],[Surcharge for financing of NCCF]]-actual1[[#This Row],[Devolution to State]]+SUM(P70:R70)+SUM(S70:T70))</f>
        <v>931725</v>
      </c>
      <c r="AH70">
        <f>AG70-actual1[[#This Row],[Interest Payments]]</f>
        <v>507411</v>
      </c>
    </row>
    <row r="71" spans="1:34" x14ac:dyDescent="0.35">
      <c r="A71" t="s">
        <v>22</v>
      </c>
      <c r="B71" s="2" t="s">
        <v>33</v>
      </c>
      <c r="C71">
        <v>393249</v>
      </c>
      <c r="D71">
        <v>352427</v>
      </c>
      <c r="E71">
        <v>9031</v>
      </c>
      <c r="F71">
        <v>412620</v>
      </c>
      <c r="G71">
        <v>6296</v>
      </c>
      <c r="H71">
        <v>2023</v>
      </c>
      <c r="I71">
        <v>78858</v>
      </c>
      <c r="J71">
        <v>95760</v>
      </c>
      <c r="K71">
        <v>174528</v>
      </c>
      <c r="L71">
        <v>2832</v>
      </c>
      <c r="M71">
        <v>3317</v>
      </c>
      <c r="N71">
        <v>2169</v>
      </c>
      <c r="O71">
        <v>530735</v>
      </c>
      <c r="P71">
        <v>9386</v>
      </c>
      <c r="Q71">
        <v>162226</v>
      </c>
      <c r="R71">
        <v>80471</v>
      </c>
      <c r="S71">
        <v>14386</v>
      </c>
      <c r="T71">
        <v>18351</v>
      </c>
      <c r="U71">
        <v>2000595</v>
      </c>
      <c r="V71">
        <v>471916</v>
      </c>
      <c r="W71">
        <v>178460</v>
      </c>
      <c r="X71">
        <v>418070</v>
      </c>
      <c r="Y71">
        <v>174294</v>
      </c>
      <c r="Z71">
        <v>262978</v>
      </c>
      <c r="AA71">
        <v>152505</v>
      </c>
      <c r="AB71">
        <v>267734</v>
      </c>
      <c r="AE71">
        <f>actual1[[#This Row],[Revenue Expenditure]]-(SUM(actual1[[#This Row],[Corporation Tax]:[Other Taxes]])-actual1[[#This Row],[Surcharge for financing of NCCF]]-actual1[[#This Row],[Devolution to State]]+SUM(P71:R71))</f>
        <v>750475</v>
      </c>
      <c r="AF71">
        <f>AE71-actual1[[#This Row],[Grants for Creation of Capital Assets]]</f>
        <v>597970</v>
      </c>
      <c r="AG71">
        <f>U71+AB71-(SUM(actual1[[#This Row],[Corporation Tax]:[Other Taxes]])-actual1[[#This Row],[Surcharge for financing of NCCF]]-actual1[[#This Row],[Devolution to State]]+SUM(P71:R71)+SUM(S71:T71))</f>
        <v>985472</v>
      </c>
      <c r="AH71">
        <f>AG71-actual1[[#This Row],[Interest Payments]]</f>
        <v>513556</v>
      </c>
    </row>
    <row r="72" spans="1:34" x14ac:dyDescent="0.35">
      <c r="A72" t="s">
        <v>22</v>
      </c>
      <c r="B72" s="2" t="s">
        <v>34</v>
      </c>
      <c r="C72">
        <v>418554</v>
      </c>
      <c r="D72">
        <v>388299</v>
      </c>
      <c r="E72">
        <v>10142</v>
      </c>
      <c r="F72">
        <v>453911</v>
      </c>
      <c r="G72">
        <v>6849</v>
      </c>
      <c r="H72">
        <v>2182</v>
      </c>
      <c r="I72">
        <v>87462</v>
      </c>
      <c r="J72">
        <v>104972</v>
      </c>
      <c r="K72">
        <v>196855</v>
      </c>
      <c r="L72">
        <v>4866</v>
      </c>
      <c r="M72">
        <v>3695</v>
      </c>
      <c r="N72">
        <v>2431</v>
      </c>
      <c r="O72">
        <v>560720</v>
      </c>
      <c r="P72">
        <v>10197</v>
      </c>
      <c r="Q72">
        <v>164531</v>
      </c>
      <c r="R72">
        <v>88413</v>
      </c>
      <c r="S72">
        <v>15849</v>
      </c>
      <c r="T72">
        <v>35243</v>
      </c>
      <c r="U72">
        <v>2160701</v>
      </c>
      <c r="V72">
        <v>512984</v>
      </c>
      <c r="W72">
        <v>196546</v>
      </c>
      <c r="X72">
        <v>469999</v>
      </c>
      <c r="Y72">
        <v>182540</v>
      </c>
      <c r="Z72">
        <v>265781</v>
      </c>
      <c r="AA72">
        <v>168827</v>
      </c>
      <c r="AB72">
        <v>304653</v>
      </c>
      <c r="AE72">
        <f>actual1[[#This Row],[Revenue Expenditure]]-(SUM(actual1[[#This Row],[Corporation Tax]:[Other Taxes]])-actual1[[#This Row],[Surcharge for financing of NCCF]]-actual1[[#This Row],[Devolution to State]]+SUM(P72:R72))</f>
        <v>782924</v>
      </c>
      <c r="AF72">
        <f>AE72-actual1[[#This Row],[Grants for Creation of Capital Assets]]</f>
        <v>614097</v>
      </c>
      <c r="AG72">
        <f>U72+AB72-(SUM(actual1[[#This Row],[Corporation Tax]:[Other Taxes]])-actual1[[#This Row],[Surcharge for financing of NCCF]]-actual1[[#This Row],[Devolution to State]]+SUM(P72:R72)+SUM(S72:T72))</f>
        <v>1036485</v>
      </c>
      <c r="AH72">
        <f>AG72-actual1[[#This Row],[Interest Payments]]</f>
        <v>523501</v>
      </c>
    </row>
    <row r="73" spans="1:34" x14ac:dyDescent="0.35">
      <c r="A73" t="s">
        <v>22</v>
      </c>
      <c r="B73" s="2" t="s">
        <v>35</v>
      </c>
      <c r="C73">
        <v>556876</v>
      </c>
      <c r="D73">
        <v>480341</v>
      </c>
      <c r="E73">
        <v>12374</v>
      </c>
      <c r="F73">
        <v>494070</v>
      </c>
      <c r="G73">
        <v>9204</v>
      </c>
      <c r="H73">
        <v>2629</v>
      </c>
      <c r="I73">
        <v>95551</v>
      </c>
      <c r="J73">
        <v>109171</v>
      </c>
      <c r="K73">
        <v>239599</v>
      </c>
      <c r="L73">
        <v>6043</v>
      </c>
      <c r="M73">
        <v>4024</v>
      </c>
      <c r="N73">
        <v>3319</v>
      </c>
      <c r="O73">
        <v>650677</v>
      </c>
      <c r="P73">
        <v>11627</v>
      </c>
      <c r="Q73">
        <v>186142</v>
      </c>
      <c r="R73">
        <v>128452</v>
      </c>
      <c r="S73">
        <v>18316</v>
      </c>
      <c r="T73">
        <v>50304</v>
      </c>
      <c r="U73">
        <v>2349618</v>
      </c>
      <c r="V73">
        <v>611036</v>
      </c>
      <c r="W73">
        <v>207542</v>
      </c>
      <c r="X73">
        <v>512050</v>
      </c>
      <c r="Y73">
        <v>183637</v>
      </c>
      <c r="Z73">
        <v>223213</v>
      </c>
      <c r="AA73">
        <v>187372</v>
      </c>
      <c r="AB73">
        <v>336744</v>
      </c>
      <c r="AE73">
        <f>actual1[[#This Row],[Revenue Expenditure]]-(SUM(actual1[[#This Row],[Corporation Tax]:[Other Taxes]])-actual1[[#This Row],[Surcharge for financing of NCCF]]-actual1[[#This Row],[Devolution to State]]+SUM(P73:R73))</f>
        <v>667511</v>
      </c>
      <c r="AF73">
        <f>AE73-actual1[[#This Row],[Grants for Creation of Capital Assets]]</f>
        <v>480139</v>
      </c>
      <c r="AG73">
        <f>U73+AB73-(SUM(actual1[[#This Row],[Corporation Tax]:[Other Taxes]])-actual1[[#This Row],[Surcharge for financing of NCCF]]-actual1[[#This Row],[Devolution to State]]+SUM(P73:R73)+SUM(S73:T73))</f>
        <v>935635</v>
      </c>
      <c r="AH73">
        <f>AG73-actual1[[#This Row],[Interest Payments]]</f>
        <v>324599</v>
      </c>
    </row>
    <row r="74" spans="1:34" x14ac:dyDescent="0.35">
      <c r="A74" t="s">
        <v>42</v>
      </c>
      <c r="B74" s="2" t="s">
        <v>24</v>
      </c>
      <c r="C74">
        <v>19514</v>
      </c>
      <c r="D74">
        <v>26978</v>
      </c>
      <c r="E74">
        <v>369</v>
      </c>
      <c r="F74">
        <v>5934</v>
      </c>
      <c r="G74">
        <v>9749</v>
      </c>
      <c r="H74">
        <v>34</v>
      </c>
      <c r="I74">
        <v>990</v>
      </c>
      <c r="J74">
        <v>3934</v>
      </c>
      <c r="K74">
        <v>80</v>
      </c>
      <c r="L74">
        <v>-106</v>
      </c>
      <c r="M74">
        <v>81</v>
      </c>
      <c r="N74">
        <v>106</v>
      </c>
      <c r="O74">
        <v>46039</v>
      </c>
      <c r="P74">
        <v>294</v>
      </c>
      <c r="Q74">
        <v>2</v>
      </c>
      <c r="R74">
        <v>5475</v>
      </c>
      <c r="S74">
        <v>365</v>
      </c>
      <c r="T74">
        <v>0</v>
      </c>
      <c r="U74">
        <v>278754</v>
      </c>
      <c r="V74">
        <v>26696</v>
      </c>
      <c r="W74">
        <v>22886</v>
      </c>
      <c r="X74">
        <v>68821</v>
      </c>
      <c r="Y74">
        <v>29816</v>
      </c>
      <c r="Z74">
        <v>44069</v>
      </c>
      <c r="AA74">
        <v>25619</v>
      </c>
      <c r="AB74">
        <v>28306</v>
      </c>
      <c r="AE74">
        <f>actual1[[#This Row],[Revenue Expenditure]]-(SUM(actual1[[#This Row],[Corporation Tax]:[Other Taxes]])-actual1[[#This Row],[Surcharge for financing of NCCF]]-actual1[[#This Row],[Devolution to State]]+SUM(P74:R74))</f>
        <v>251571</v>
      </c>
      <c r="AF74">
        <f>AE74-actual1[[#This Row],[Grants for Creation of Capital Assets]]</f>
        <v>225952</v>
      </c>
      <c r="AG74">
        <f>U74+AB74-(SUM(actual1[[#This Row],[Corporation Tax]:[Other Taxes]])-actual1[[#This Row],[Surcharge for financing of NCCF]]-actual1[[#This Row],[Devolution to State]]+SUM(P74:R74)+SUM(S74:T74))</f>
        <v>279512</v>
      </c>
      <c r="AH74">
        <f>AG74-actual1[[#This Row],[Interest Payments]]</f>
        <v>252816</v>
      </c>
    </row>
    <row r="75" spans="1:34" x14ac:dyDescent="0.35">
      <c r="A75" t="s">
        <v>42</v>
      </c>
      <c r="B75" s="2" t="s">
        <v>36</v>
      </c>
      <c r="C75">
        <v>16981</v>
      </c>
      <c r="D75">
        <v>35726</v>
      </c>
      <c r="E75">
        <v>1386</v>
      </c>
      <c r="F75">
        <v>24895</v>
      </c>
      <c r="G75">
        <v>19392</v>
      </c>
      <c r="H75">
        <v>141</v>
      </c>
      <c r="I75">
        <v>7010</v>
      </c>
      <c r="J75">
        <v>9567</v>
      </c>
      <c r="K75">
        <v>10956</v>
      </c>
      <c r="L75">
        <v>-171</v>
      </c>
      <c r="M75">
        <v>227</v>
      </c>
      <c r="N75">
        <v>183</v>
      </c>
      <c r="O75">
        <v>92077</v>
      </c>
      <c r="P75">
        <v>610</v>
      </c>
      <c r="Q75">
        <v>2154</v>
      </c>
      <c r="R75">
        <v>8053</v>
      </c>
      <c r="S75">
        <v>831</v>
      </c>
      <c r="T75">
        <v>0</v>
      </c>
      <c r="U75">
        <v>456635</v>
      </c>
      <c r="V75">
        <v>78265</v>
      </c>
      <c r="W75">
        <v>37395</v>
      </c>
      <c r="X75">
        <v>96549</v>
      </c>
      <c r="Y75">
        <v>41589</v>
      </c>
      <c r="Z75">
        <v>67469</v>
      </c>
      <c r="AA75">
        <v>36845</v>
      </c>
      <c r="AB75">
        <v>55206</v>
      </c>
      <c r="AE75">
        <f>actual1[[#This Row],[Revenue Expenditure]]-(SUM(actual1[[#This Row],[Corporation Tax]:[Other Taxes]])-actual1[[#This Row],[Surcharge for financing of NCCF]]-actual1[[#This Row],[Devolution to State]]+SUM(P75:R75))</f>
        <v>411968</v>
      </c>
      <c r="AF75">
        <f>AE75-actual1[[#This Row],[Grants for Creation of Capital Assets]]</f>
        <v>375123</v>
      </c>
      <c r="AG75">
        <f>U75+AB75-(SUM(actual1[[#This Row],[Corporation Tax]:[Other Taxes]])-actual1[[#This Row],[Surcharge for financing of NCCF]]-actual1[[#This Row],[Devolution to State]]+SUM(P75:R75)+SUM(S75:T75))</f>
        <v>466343</v>
      </c>
      <c r="AH75">
        <f>AG75-actual1[[#This Row],[Interest Payments]]</f>
        <v>388078</v>
      </c>
    </row>
    <row r="76" spans="1:34" x14ac:dyDescent="0.35">
      <c r="A76" t="s">
        <v>42</v>
      </c>
      <c r="B76" s="2" t="s">
        <v>37</v>
      </c>
      <c r="C76">
        <v>54212</v>
      </c>
      <c r="D76">
        <v>62123</v>
      </c>
      <c r="E76">
        <v>2568</v>
      </c>
      <c r="F76">
        <v>55047</v>
      </c>
      <c r="G76">
        <v>29064</v>
      </c>
      <c r="H76">
        <v>295</v>
      </c>
      <c r="I76">
        <v>14482</v>
      </c>
      <c r="J76">
        <v>15416</v>
      </c>
      <c r="K76">
        <v>35347</v>
      </c>
      <c r="L76">
        <v>754</v>
      </c>
      <c r="M76">
        <v>378</v>
      </c>
      <c r="N76">
        <v>821</v>
      </c>
      <c r="O76">
        <v>134043</v>
      </c>
      <c r="P76">
        <v>1629</v>
      </c>
      <c r="Q76">
        <v>2349</v>
      </c>
      <c r="R76">
        <v>11208</v>
      </c>
      <c r="S76">
        <v>3573</v>
      </c>
      <c r="T76">
        <v>0</v>
      </c>
      <c r="U76">
        <v>727671</v>
      </c>
      <c r="V76">
        <v>160493</v>
      </c>
      <c r="W76">
        <v>53968</v>
      </c>
      <c r="X76">
        <v>171682</v>
      </c>
      <c r="Y76">
        <v>65705</v>
      </c>
      <c r="Z76">
        <v>78964</v>
      </c>
      <c r="AA76">
        <v>59765</v>
      </c>
      <c r="AB76">
        <v>88273</v>
      </c>
      <c r="AE76">
        <f>actual1[[#This Row],[Revenue Expenditure]]-(SUM(actual1[[#This Row],[Corporation Tax]:[Other Taxes]])-actual1[[#This Row],[Surcharge for financing of NCCF]]-actual1[[#This Row],[Devolution to State]]+SUM(P76:R76))</f>
        <v>577663</v>
      </c>
      <c r="AF76">
        <f>AE76-actual1[[#This Row],[Grants for Creation of Capital Assets]]</f>
        <v>517898</v>
      </c>
      <c r="AG76">
        <f>U76+AB76-(SUM(actual1[[#This Row],[Corporation Tax]:[Other Taxes]])-actual1[[#This Row],[Surcharge for financing of NCCF]]-actual1[[#This Row],[Devolution to State]]+SUM(P76:R76)+SUM(S76:T76))</f>
        <v>662363</v>
      </c>
      <c r="AH76">
        <f>AG76-actual1[[#This Row],[Interest Payments]]</f>
        <v>501870</v>
      </c>
    </row>
    <row r="77" spans="1:34" x14ac:dyDescent="0.35">
      <c r="A77" t="s">
        <v>42</v>
      </c>
      <c r="B77" s="2" t="s">
        <v>38</v>
      </c>
      <c r="C77">
        <v>53724</v>
      </c>
      <c r="D77">
        <v>91244</v>
      </c>
      <c r="E77">
        <v>4133</v>
      </c>
      <c r="F77">
        <v>92949</v>
      </c>
      <c r="G77">
        <v>23038</v>
      </c>
      <c r="H77">
        <v>519</v>
      </c>
      <c r="I77">
        <v>21298</v>
      </c>
      <c r="J77">
        <v>23747</v>
      </c>
      <c r="K77">
        <v>67895</v>
      </c>
      <c r="L77">
        <v>740</v>
      </c>
      <c r="M77">
        <v>713</v>
      </c>
      <c r="N77">
        <v>1203</v>
      </c>
      <c r="O77">
        <v>176009</v>
      </c>
      <c r="P77">
        <v>2819</v>
      </c>
      <c r="Q77">
        <v>2420</v>
      </c>
      <c r="R77">
        <v>19375</v>
      </c>
      <c r="S77">
        <v>5455</v>
      </c>
      <c r="T77">
        <v>3</v>
      </c>
      <c r="U77">
        <v>942360</v>
      </c>
      <c r="V77">
        <v>198584</v>
      </c>
      <c r="W77">
        <v>70789</v>
      </c>
      <c r="X77">
        <v>229308</v>
      </c>
      <c r="Y77">
        <v>82554</v>
      </c>
      <c r="Z77">
        <v>104638</v>
      </c>
      <c r="AA77">
        <v>78661</v>
      </c>
      <c r="AB77">
        <v>111849</v>
      </c>
      <c r="AE77">
        <f>actual1[[#This Row],[Revenue Expenditure]]-(SUM(actual1[[#This Row],[Corporation Tax]:[Other Taxes]])-actual1[[#This Row],[Surcharge for financing of NCCF]]-actual1[[#This Row],[Devolution to State]]+SUM(P77:R77))</f>
        <v>714958</v>
      </c>
      <c r="AF77">
        <f>AE77-actual1[[#This Row],[Grants for Creation of Capital Assets]]</f>
        <v>636297</v>
      </c>
      <c r="AG77">
        <f>U77+AB77-(SUM(actual1[[#This Row],[Corporation Tax]:[Other Taxes]])-actual1[[#This Row],[Surcharge for financing of NCCF]]-actual1[[#This Row],[Devolution to State]]+SUM(P77:R77)+SUM(S77:T77))</f>
        <v>821349</v>
      </c>
      <c r="AH77">
        <f>AG77-actual1[[#This Row],[Interest Payments]]</f>
        <v>622765</v>
      </c>
    </row>
    <row r="78" spans="1:34" x14ac:dyDescent="0.35">
      <c r="A78" t="s">
        <v>42</v>
      </c>
      <c r="B78" s="2" t="s">
        <v>39</v>
      </c>
      <c r="C78">
        <v>64715</v>
      </c>
      <c r="D78">
        <v>117738</v>
      </c>
      <c r="E78">
        <v>4860</v>
      </c>
      <c r="F78">
        <v>125308</v>
      </c>
      <c r="G78">
        <v>28236</v>
      </c>
      <c r="H78">
        <v>710</v>
      </c>
      <c r="I78">
        <v>28154</v>
      </c>
      <c r="J78">
        <v>32302</v>
      </c>
      <c r="K78">
        <v>100398</v>
      </c>
      <c r="L78">
        <v>793</v>
      </c>
      <c r="M78">
        <v>986</v>
      </c>
      <c r="N78">
        <v>1729</v>
      </c>
      <c r="O78">
        <v>217976</v>
      </c>
      <c r="P78">
        <v>4070</v>
      </c>
      <c r="Q78">
        <v>59578</v>
      </c>
      <c r="R78">
        <v>22499</v>
      </c>
      <c r="S78">
        <v>6635</v>
      </c>
      <c r="T78">
        <v>29</v>
      </c>
      <c r="U78">
        <v>1113206</v>
      </c>
      <c r="V78">
        <v>237662</v>
      </c>
      <c r="W78">
        <v>86720</v>
      </c>
      <c r="X78">
        <v>255394</v>
      </c>
      <c r="Y78">
        <v>97547</v>
      </c>
      <c r="Z78">
        <v>130700</v>
      </c>
      <c r="AA78">
        <v>94140</v>
      </c>
      <c r="AB78">
        <v>134447</v>
      </c>
      <c r="AE78">
        <f>actual1[[#This Row],[Revenue Expenditure]]-(SUM(actual1[[#This Row],[Corporation Tax]:[Other Taxes]])-actual1[[#This Row],[Surcharge for financing of NCCF]]-actual1[[#This Row],[Devolution to State]]+SUM(P78:R78))</f>
        <v>742564</v>
      </c>
      <c r="AF78">
        <f>AE78-actual1[[#This Row],[Grants for Creation of Capital Assets]]</f>
        <v>648424</v>
      </c>
      <c r="AG78">
        <f>U78+AB78-(SUM(actual1[[#This Row],[Corporation Tax]:[Other Taxes]])-actual1[[#This Row],[Surcharge for financing of NCCF]]-actual1[[#This Row],[Devolution to State]]+SUM(P78:R78)+SUM(S78:T78))</f>
        <v>870347</v>
      </c>
      <c r="AH78">
        <f>AG78-actual1[[#This Row],[Interest Payments]]</f>
        <v>632685</v>
      </c>
    </row>
    <row r="79" spans="1:34" x14ac:dyDescent="0.35">
      <c r="A79" t="s">
        <v>42</v>
      </c>
      <c r="B79" s="2" t="s">
        <v>40</v>
      </c>
      <c r="C79">
        <v>150464</v>
      </c>
      <c r="D79">
        <v>166489</v>
      </c>
      <c r="E79">
        <v>6332</v>
      </c>
      <c r="F79">
        <v>162479</v>
      </c>
      <c r="G79">
        <v>27946</v>
      </c>
      <c r="H79">
        <v>953</v>
      </c>
      <c r="I79">
        <v>34964</v>
      </c>
      <c r="J79">
        <v>40347</v>
      </c>
      <c r="K79">
        <v>128753</v>
      </c>
      <c r="L79">
        <v>916</v>
      </c>
      <c r="M79">
        <v>1253</v>
      </c>
      <c r="N79">
        <v>2447</v>
      </c>
      <c r="O79">
        <v>259941</v>
      </c>
      <c r="P79">
        <v>5749</v>
      </c>
      <c r="Q79">
        <v>59951</v>
      </c>
      <c r="R79">
        <v>26574</v>
      </c>
      <c r="S79">
        <v>8854</v>
      </c>
      <c r="T79">
        <v>5781</v>
      </c>
      <c r="U79">
        <v>1313574</v>
      </c>
      <c r="V79">
        <v>305652</v>
      </c>
      <c r="W79">
        <v>103220</v>
      </c>
      <c r="X79">
        <v>281336</v>
      </c>
      <c r="Y79">
        <v>111231</v>
      </c>
      <c r="Z79">
        <v>156210</v>
      </c>
      <c r="AA79">
        <v>106282</v>
      </c>
      <c r="AB79">
        <v>165836</v>
      </c>
      <c r="AE79">
        <f>actual1[[#This Row],[Revenue Expenditure]]-(SUM(actual1[[#This Row],[Corporation Tax]:[Other Taxes]])-actual1[[#This Row],[Surcharge for financing of NCCF]]-actual1[[#This Row],[Devolution to State]]+SUM(P79:R79))</f>
        <v>762792</v>
      </c>
      <c r="AF79">
        <f>AE79-actual1[[#This Row],[Grants for Creation of Capital Assets]]</f>
        <v>656510</v>
      </c>
      <c r="AG79">
        <f>U79+AB79-(SUM(actual1[[#This Row],[Corporation Tax]:[Other Taxes]])-actual1[[#This Row],[Surcharge for financing of NCCF]]-actual1[[#This Row],[Devolution to State]]+SUM(P79:R79)+SUM(S79:T79))</f>
        <v>913993</v>
      </c>
      <c r="AH79">
        <f>AG79-actual1[[#This Row],[Interest Payments]]</f>
        <v>608341</v>
      </c>
    </row>
    <row r="80" spans="1:34" x14ac:dyDescent="0.35">
      <c r="A80" t="s">
        <v>42</v>
      </c>
      <c r="B80" s="2" t="s">
        <v>41</v>
      </c>
      <c r="C80">
        <v>172735</v>
      </c>
      <c r="D80">
        <v>203101</v>
      </c>
      <c r="E80">
        <v>8497</v>
      </c>
      <c r="F80">
        <v>205380</v>
      </c>
      <c r="G80">
        <v>28138</v>
      </c>
      <c r="H80">
        <v>1089</v>
      </c>
      <c r="I80">
        <v>42804</v>
      </c>
      <c r="J80">
        <v>50519</v>
      </c>
      <c r="K80">
        <v>160639</v>
      </c>
      <c r="L80">
        <v>997</v>
      </c>
      <c r="M80">
        <v>1692</v>
      </c>
      <c r="N80">
        <v>2720</v>
      </c>
      <c r="O80">
        <v>297174</v>
      </c>
      <c r="P80">
        <v>8138</v>
      </c>
      <c r="Q80">
        <v>67082</v>
      </c>
      <c r="R80">
        <v>40986</v>
      </c>
      <c r="S80">
        <v>10218</v>
      </c>
      <c r="T80">
        <v>6179</v>
      </c>
      <c r="U80">
        <v>1464099</v>
      </c>
      <c r="V80">
        <v>333456</v>
      </c>
      <c r="W80">
        <v>120058</v>
      </c>
      <c r="X80">
        <v>297433</v>
      </c>
      <c r="Y80">
        <v>128037</v>
      </c>
      <c r="Z80">
        <v>185400</v>
      </c>
      <c r="AA80">
        <v>120877</v>
      </c>
      <c r="AB80">
        <v>197355</v>
      </c>
      <c r="AE80">
        <f>actual1[[#This Row],[Revenue Expenditure]]-(SUM(actual1[[#This Row],[Corporation Tax]:[Other Taxes]])-actual1[[#This Row],[Surcharge for financing of NCCF]]-actual1[[#This Row],[Devolution to State]]+SUM(P80:R80))</f>
        <v>772196</v>
      </c>
      <c r="AF80">
        <f>AE80-actual1[[#This Row],[Grants for Creation of Capital Assets]]</f>
        <v>651319</v>
      </c>
      <c r="AG80">
        <f>U80+AB80-(SUM(actual1[[#This Row],[Corporation Tax]:[Other Taxes]])-actual1[[#This Row],[Surcharge for financing of NCCF]]-actual1[[#This Row],[Devolution to State]]+SUM(P80:R80)+SUM(S80:T80))</f>
        <v>953154</v>
      </c>
      <c r="AH80">
        <f>AG80-actual1[[#This Row],[Interest Payments]]</f>
        <v>619698</v>
      </c>
    </row>
    <row r="81" spans="1:34" x14ac:dyDescent="0.35">
      <c r="A81" t="s">
        <v>42</v>
      </c>
      <c r="B81" s="2" t="s">
        <v>90</v>
      </c>
      <c r="C81">
        <v>185699</v>
      </c>
      <c r="D81">
        <v>235038</v>
      </c>
      <c r="E81">
        <v>9776</v>
      </c>
      <c r="F81">
        <v>245183</v>
      </c>
      <c r="G81">
        <v>35750</v>
      </c>
      <c r="H81">
        <v>1221</v>
      </c>
      <c r="I81">
        <v>50833</v>
      </c>
      <c r="J81">
        <v>63050</v>
      </c>
      <c r="K81">
        <v>196342</v>
      </c>
      <c r="L81">
        <v>1059</v>
      </c>
      <c r="M81">
        <v>2104</v>
      </c>
      <c r="N81">
        <v>3218</v>
      </c>
      <c r="O81">
        <v>334407</v>
      </c>
      <c r="P81">
        <v>9568</v>
      </c>
      <c r="Q81">
        <v>70614</v>
      </c>
      <c r="R81">
        <v>44098</v>
      </c>
      <c r="S81">
        <v>11962</v>
      </c>
      <c r="T81">
        <v>6179</v>
      </c>
      <c r="U81">
        <v>1665200</v>
      </c>
      <c r="V81">
        <v>383425</v>
      </c>
      <c r="W81">
        <v>135880</v>
      </c>
      <c r="X81">
        <v>356808</v>
      </c>
      <c r="Y81">
        <v>141461</v>
      </c>
      <c r="Z81">
        <v>202119</v>
      </c>
      <c r="AA81">
        <v>136412</v>
      </c>
      <c r="AB81">
        <v>241158</v>
      </c>
      <c r="AE81">
        <f>actual1[[#This Row],[Revenue Expenditure]]-(SUM(actual1[[#This Row],[Corporation Tax]:[Other Taxes]])-actual1[[#This Row],[Surcharge for financing of NCCF]]-actual1[[#This Row],[Devolution to State]]+SUM(P81:R81))</f>
        <v>852490</v>
      </c>
      <c r="AF81">
        <f>AE81-actual1[[#This Row],[Grants for Creation of Capital Assets]]</f>
        <v>716078</v>
      </c>
      <c r="AG81">
        <f>U81+AB81-(SUM(actual1[[#This Row],[Corporation Tax]:[Other Taxes]])-actual1[[#This Row],[Surcharge for financing of NCCF]]-actual1[[#This Row],[Devolution to State]]+SUM(P81:R81)+SUM(S81:T81))</f>
        <v>1075507</v>
      </c>
      <c r="AH81">
        <f>AG81-actual1[[#This Row],[Interest Payments]]</f>
        <v>692082</v>
      </c>
    </row>
    <row r="82" spans="1:34" x14ac:dyDescent="0.35">
      <c r="A82" t="s">
        <v>42</v>
      </c>
      <c r="B82" s="2" t="s">
        <v>91</v>
      </c>
      <c r="C82">
        <v>312532</v>
      </c>
      <c r="D82">
        <v>297806</v>
      </c>
      <c r="E82">
        <v>11443</v>
      </c>
      <c r="F82">
        <v>288223</v>
      </c>
      <c r="G82">
        <v>48158</v>
      </c>
      <c r="H82">
        <v>1365</v>
      </c>
      <c r="I82">
        <v>59081</v>
      </c>
      <c r="J82">
        <v>79598</v>
      </c>
      <c r="K82">
        <v>235993</v>
      </c>
      <c r="L82">
        <v>1183</v>
      </c>
      <c r="M82">
        <v>2744</v>
      </c>
      <c r="N82">
        <v>4087</v>
      </c>
      <c r="O82">
        <v>371640</v>
      </c>
      <c r="P82">
        <v>11267</v>
      </c>
      <c r="Q82">
        <v>70848</v>
      </c>
      <c r="R82">
        <v>44066</v>
      </c>
      <c r="S82">
        <v>14202</v>
      </c>
      <c r="T82">
        <v>18896</v>
      </c>
      <c r="U82">
        <v>1971173</v>
      </c>
      <c r="V82">
        <v>472171</v>
      </c>
      <c r="W82">
        <v>153857</v>
      </c>
      <c r="X82">
        <v>439785</v>
      </c>
      <c r="Y82">
        <v>159146</v>
      </c>
      <c r="Z82">
        <v>227352</v>
      </c>
      <c r="AA82">
        <v>155707</v>
      </c>
      <c r="AB82">
        <v>308974</v>
      </c>
      <c r="AE82">
        <f>actual1[[#This Row],[Revenue Expenditure]]-(SUM(actual1[[#This Row],[Corporation Tax]:[Other Taxes]])-actual1[[#This Row],[Surcharge for financing of NCCF]]-actual1[[#This Row],[Devolution to State]]+SUM(P82:R82))</f>
        <v>882593</v>
      </c>
      <c r="AF82">
        <f>AE82-actual1[[#This Row],[Grants for Creation of Capital Assets]]</f>
        <v>726886</v>
      </c>
      <c r="AG82">
        <f>U82+AB82-(SUM(actual1[[#This Row],[Corporation Tax]:[Other Taxes]])-actual1[[#This Row],[Surcharge for financing of NCCF]]-actual1[[#This Row],[Devolution to State]]+SUM(P82:R82)+SUM(S82:T82))</f>
        <v>1158469</v>
      </c>
      <c r="AH82">
        <f>AG82-actual1[[#This Row],[Interest Payments]]</f>
        <v>686298</v>
      </c>
    </row>
    <row r="83" spans="1:34" x14ac:dyDescent="0.35">
      <c r="A83" t="s">
        <v>42</v>
      </c>
      <c r="B83" s="2" t="s">
        <v>162</v>
      </c>
      <c r="C83">
        <v>334485</v>
      </c>
      <c r="D83">
        <v>333173</v>
      </c>
      <c r="E83">
        <v>13115</v>
      </c>
      <c r="F83">
        <v>332889</v>
      </c>
      <c r="G83">
        <v>54927</v>
      </c>
      <c r="H83">
        <v>1689</v>
      </c>
      <c r="I83">
        <v>67413</v>
      </c>
      <c r="J83">
        <v>97511</v>
      </c>
      <c r="K83">
        <v>275474</v>
      </c>
      <c r="L83">
        <v>1285</v>
      </c>
      <c r="M83">
        <v>3139</v>
      </c>
      <c r="N83">
        <v>4372</v>
      </c>
      <c r="O83">
        <v>408873</v>
      </c>
      <c r="P83">
        <v>12662</v>
      </c>
      <c r="Q83">
        <v>74371</v>
      </c>
      <c r="R83">
        <v>54071</v>
      </c>
      <c r="S83">
        <v>15804</v>
      </c>
      <c r="T83">
        <v>24551</v>
      </c>
      <c r="U83">
        <v>2155210</v>
      </c>
      <c r="V83">
        <v>519597</v>
      </c>
      <c r="W83">
        <v>171692</v>
      </c>
      <c r="X83">
        <v>476409</v>
      </c>
      <c r="Y83">
        <v>175714</v>
      </c>
      <c r="Z83">
        <v>252656</v>
      </c>
      <c r="AA83">
        <v>169400</v>
      </c>
      <c r="AB83">
        <v>362108</v>
      </c>
      <c r="AE83">
        <f>actual1[[#This Row],[Revenue Expenditure]]-(SUM(actual1[[#This Row],[Corporation Tax]:[Other Taxes]])-actual1[[#This Row],[Surcharge for financing of NCCF]]-actual1[[#This Row],[Devolution to State]]+SUM(P83:R83))</f>
        <v>912251</v>
      </c>
      <c r="AF83">
        <f>AE83-actual1[[#This Row],[Grants for Creation of Capital Assets]]</f>
        <v>742851</v>
      </c>
      <c r="AG83">
        <f>U83+AB83-(SUM(actual1[[#This Row],[Corporation Tax]:[Other Taxes]])-actual1[[#This Row],[Surcharge for financing of NCCF]]-actual1[[#This Row],[Devolution to State]]+SUM(P83:R83)+SUM(S83:T83))</f>
        <v>1234004</v>
      </c>
      <c r="AH83">
        <f>AG83-actual1[[#This Row],[Interest Payments]]</f>
        <v>714407</v>
      </c>
    </row>
    <row r="84" spans="1:34" x14ac:dyDescent="0.35">
      <c r="A84" t="s">
        <v>42</v>
      </c>
      <c r="B84" s="2" t="s">
        <v>163</v>
      </c>
      <c r="C84">
        <v>350582</v>
      </c>
      <c r="D84">
        <v>372043</v>
      </c>
      <c r="E84">
        <v>14902</v>
      </c>
      <c r="F84">
        <v>399530</v>
      </c>
      <c r="G84">
        <v>17619</v>
      </c>
      <c r="H84">
        <v>2099</v>
      </c>
      <c r="I84">
        <v>76762</v>
      </c>
      <c r="J84">
        <v>112752</v>
      </c>
      <c r="K84">
        <v>314140</v>
      </c>
      <c r="L84">
        <v>1338</v>
      </c>
      <c r="M84">
        <v>3536</v>
      </c>
      <c r="N84">
        <v>5063</v>
      </c>
      <c r="O84">
        <v>444154</v>
      </c>
      <c r="P84">
        <v>13917</v>
      </c>
      <c r="Q84">
        <v>81986</v>
      </c>
      <c r="R84">
        <v>58283</v>
      </c>
      <c r="S84">
        <v>17156</v>
      </c>
      <c r="T84">
        <v>25668</v>
      </c>
      <c r="U84">
        <v>2413375</v>
      </c>
      <c r="V84">
        <v>559483</v>
      </c>
      <c r="W84">
        <v>190547</v>
      </c>
      <c r="X84">
        <v>509709</v>
      </c>
      <c r="Y84">
        <v>192253</v>
      </c>
      <c r="Z84">
        <v>365570</v>
      </c>
      <c r="AA84">
        <v>183926</v>
      </c>
      <c r="AB84">
        <v>405268</v>
      </c>
      <c r="AE84">
        <f>actual1[[#This Row],[Revenue Expenditure]]-(SUM(actual1[[#This Row],[Corporation Tax]:[Other Taxes]])-actual1[[#This Row],[Surcharge for financing of NCCF]]-actual1[[#This Row],[Devolution to State]]+SUM(P84:R84))</f>
        <v>1043103</v>
      </c>
      <c r="AF84">
        <f>AE84-actual1[[#This Row],[Grants for Creation of Capital Assets]]</f>
        <v>859177</v>
      </c>
      <c r="AG84">
        <f>U84+AB84-(SUM(actual1[[#This Row],[Corporation Tax]:[Other Taxes]])-actual1[[#This Row],[Surcharge for financing of NCCF]]-actual1[[#This Row],[Devolution to State]]+SUM(P84:R84)+SUM(S84:T84))</f>
        <v>1405547</v>
      </c>
      <c r="AH84">
        <f>AG84-actual1[[#This Row],[Interest Payments]]</f>
        <v>846064</v>
      </c>
    </row>
    <row r="85" spans="1:34" x14ac:dyDescent="0.35">
      <c r="A85" t="s">
        <v>42</v>
      </c>
      <c r="B85" s="2" t="s">
        <v>164</v>
      </c>
      <c r="C85">
        <v>457719</v>
      </c>
      <c r="D85">
        <v>470633</v>
      </c>
      <c r="E85">
        <v>16927</v>
      </c>
      <c r="F85">
        <v>456334</v>
      </c>
      <c r="G85">
        <v>7252</v>
      </c>
      <c r="H85">
        <v>2764</v>
      </c>
      <c r="I85">
        <v>85192</v>
      </c>
      <c r="J85">
        <v>134750</v>
      </c>
      <c r="K85">
        <v>389667</v>
      </c>
      <c r="L85">
        <v>1615</v>
      </c>
      <c r="M85">
        <v>4251</v>
      </c>
      <c r="N85">
        <v>5820</v>
      </c>
      <c r="O85">
        <v>594997</v>
      </c>
      <c r="P85">
        <v>17124</v>
      </c>
      <c r="Q85">
        <v>96889</v>
      </c>
      <c r="R85">
        <v>93619</v>
      </c>
      <c r="S85">
        <v>19729</v>
      </c>
      <c r="T85">
        <v>37897</v>
      </c>
      <c r="U85">
        <v>3084258</v>
      </c>
      <c r="V85">
        <v>679869</v>
      </c>
      <c r="W85">
        <v>205789</v>
      </c>
      <c r="X85">
        <v>576881</v>
      </c>
      <c r="Y85">
        <v>208473</v>
      </c>
      <c r="Z85">
        <v>707130</v>
      </c>
      <c r="AA85">
        <v>222391</v>
      </c>
      <c r="AB85">
        <v>425578</v>
      </c>
      <c r="AE85">
        <f>actual1[[#This Row],[Revenue Expenditure]]-(SUM(actual1[[#This Row],[Corporation Tax]:[Other Taxes]])-actual1[[#This Row],[Surcharge for financing of NCCF]]-actual1[[#This Row],[Devolution to State]]+SUM(P85:R85))</f>
        <v>1450339</v>
      </c>
      <c r="AF85">
        <f>AE85-actual1[[#This Row],[Grants for Creation of Capital Assets]]</f>
        <v>1227948</v>
      </c>
      <c r="AG85">
        <f>U85+AB85-(SUM(actual1[[#This Row],[Corporation Tax]:[Other Taxes]])-actual1[[#This Row],[Surcharge for financing of NCCF]]-actual1[[#This Row],[Devolution to State]]+SUM(P85:R85)+SUM(S85:T85))</f>
        <v>1818291</v>
      </c>
      <c r="AH85">
        <f>AG85-actual1[[#This Row],[Interest Payments]]</f>
        <v>1138422</v>
      </c>
    </row>
    <row r="86" spans="1:34" x14ac:dyDescent="0.35">
      <c r="A86" t="s">
        <v>165</v>
      </c>
      <c r="B86" s="2" t="s">
        <v>166</v>
      </c>
      <c r="C86">
        <v>32375</v>
      </c>
      <c r="D86">
        <v>47673</v>
      </c>
      <c r="E86">
        <v>1864</v>
      </c>
      <c r="F86">
        <v>55458</v>
      </c>
      <c r="G86">
        <v>4787</v>
      </c>
      <c r="H86">
        <v>161</v>
      </c>
      <c r="I86">
        <v>9187</v>
      </c>
      <c r="J86">
        <v>17906</v>
      </c>
      <c r="K86">
        <v>154</v>
      </c>
      <c r="L86">
        <v>55</v>
      </c>
      <c r="M86">
        <v>502</v>
      </c>
      <c r="N86">
        <v>136</v>
      </c>
      <c r="O86">
        <v>39175</v>
      </c>
      <c r="P86">
        <v>7009</v>
      </c>
      <c r="Q86">
        <v>236</v>
      </c>
      <c r="R86">
        <v>9563</v>
      </c>
      <c r="S86">
        <v>372</v>
      </c>
      <c r="T86">
        <v>0</v>
      </c>
      <c r="U86">
        <v>179564</v>
      </c>
      <c r="V86">
        <v>29671</v>
      </c>
      <c r="W86">
        <v>23688</v>
      </c>
      <c r="X86">
        <v>26447</v>
      </c>
      <c r="Y86">
        <v>11560</v>
      </c>
      <c r="Z86">
        <v>37369</v>
      </c>
      <c r="AA86">
        <v>5644</v>
      </c>
      <c r="AB86">
        <v>47126</v>
      </c>
      <c r="AE86">
        <f>actual1[[#This Row],[Revenue Expenditure]]-(SUM(actual1[[#This Row],[Corporation Tax]:[Other Taxes]])-actual1[[#This Row],[Surcharge for financing of NCCF]]-actual1[[#This Row],[Devolution to State]]+SUM(P86:R86))</f>
        <v>31945</v>
      </c>
      <c r="AF86">
        <f>AE86-actual1[[#This Row],[Grants for Creation of Capital Assets]]</f>
        <v>26301</v>
      </c>
      <c r="AG86">
        <f>U86+AB86-(SUM(actual1[[#This Row],[Corporation Tax]:[Other Taxes]])-actual1[[#This Row],[Surcharge for financing of NCCF]]-actual1[[#This Row],[Devolution to State]]+SUM(P86:R86)+SUM(S86:T86))</f>
        <v>78699</v>
      </c>
      <c r="AH86">
        <f>AG86-actual1[[#This Row],[Interest Payments]]</f>
        <v>49028</v>
      </c>
    </row>
    <row r="87" spans="1:34" x14ac:dyDescent="0.35">
      <c r="A87" t="s">
        <v>165</v>
      </c>
      <c r="B87" s="2" t="s">
        <v>167</v>
      </c>
      <c r="C87">
        <v>43454</v>
      </c>
      <c r="D87">
        <v>75381</v>
      </c>
      <c r="E87">
        <v>3491</v>
      </c>
      <c r="F87">
        <v>83750</v>
      </c>
      <c r="G87">
        <v>20128</v>
      </c>
      <c r="H87">
        <v>325</v>
      </c>
      <c r="I87">
        <v>18073</v>
      </c>
      <c r="J87">
        <v>30190</v>
      </c>
      <c r="K87">
        <v>36963</v>
      </c>
      <c r="L87">
        <v>90</v>
      </c>
      <c r="M87">
        <v>834</v>
      </c>
      <c r="N87">
        <v>765</v>
      </c>
      <c r="O87">
        <v>78349</v>
      </c>
      <c r="P87">
        <v>2759</v>
      </c>
      <c r="Q87">
        <v>99628</v>
      </c>
      <c r="R87">
        <v>14025</v>
      </c>
      <c r="S87">
        <v>815</v>
      </c>
      <c r="T87">
        <v>3995</v>
      </c>
      <c r="U87">
        <v>415000</v>
      </c>
      <c r="V87">
        <v>88573</v>
      </c>
      <c r="W87">
        <v>39229</v>
      </c>
      <c r="X87">
        <v>79704</v>
      </c>
      <c r="Y87">
        <v>31288</v>
      </c>
      <c r="Z87">
        <v>62664</v>
      </c>
      <c r="AA87">
        <v>25119</v>
      </c>
      <c r="AB87">
        <v>62961</v>
      </c>
      <c r="AE87">
        <f>actual1[[#This Row],[Revenue Expenditure]]-(SUM(actual1[[#This Row],[Corporation Tax]:[Other Taxes]])-actual1[[#This Row],[Surcharge for financing of NCCF]]-actual1[[#This Row],[Devolution to State]]+SUM(P87:R87))</f>
        <v>65023</v>
      </c>
      <c r="AF87">
        <f>AE87-actual1[[#This Row],[Grants for Creation of Capital Assets]]</f>
        <v>39904</v>
      </c>
      <c r="AG87">
        <f>U87+AB87-(SUM(actual1[[#This Row],[Corporation Tax]:[Other Taxes]])-actual1[[#This Row],[Surcharge for financing of NCCF]]-actual1[[#This Row],[Devolution to State]]+SUM(P87:R87)+SUM(S87:T87))</f>
        <v>123174</v>
      </c>
      <c r="AH87">
        <f>AG87-actual1[[#This Row],[Interest Payments]]</f>
        <v>34601</v>
      </c>
    </row>
    <row r="88" spans="1:34" x14ac:dyDescent="0.35">
      <c r="A88" t="s">
        <v>165</v>
      </c>
      <c r="B88" s="2" t="s">
        <v>212</v>
      </c>
      <c r="C88">
        <v>123689</v>
      </c>
      <c r="D88">
        <v>122692</v>
      </c>
      <c r="E88">
        <v>5374</v>
      </c>
      <c r="F88">
        <v>117446</v>
      </c>
      <c r="G88">
        <v>26505</v>
      </c>
      <c r="H88">
        <v>495</v>
      </c>
      <c r="I88">
        <v>24638</v>
      </c>
      <c r="J88">
        <v>41356</v>
      </c>
      <c r="K88">
        <v>67907</v>
      </c>
      <c r="L88">
        <v>162</v>
      </c>
      <c r="M88">
        <v>1342</v>
      </c>
      <c r="N88">
        <v>1402</v>
      </c>
      <c r="O88">
        <v>117524</v>
      </c>
      <c r="P88">
        <v>4669</v>
      </c>
      <c r="Q88">
        <v>101711</v>
      </c>
      <c r="R88">
        <v>20937</v>
      </c>
      <c r="S88">
        <v>3406</v>
      </c>
      <c r="T88">
        <v>3996</v>
      </c>
      <c r="U88">
        <v>710148</v>
      </c>
      <c r="V88">
        <v>184295</v>
      </c>
      <c r="W88">
        <v>59113</v>
      </c>
      <c r="X88">
        <v>149296</v>
      </c>
      <c r="Y88">
        <v>47636</v>
      </c>
      <c r="Z88">
        <v>100090</v>
      </c>
      <c r="AA88">
        <v>54773</v>
      </c>
      <c r="AB88">
        <v>111496</v>
      </c>
      <c r="AE88">
        <f>actual1[[#This Row],[Revenue Expenditure]]-(SUM(actual1[[#This Row],[Corporation Tax]:[Other Taxes]])-actual1[[#This Row],[Surcharge for financing of NCCF]]-actual1[[#This Row],[Devolution to State]]+SUM(P88:R88))</f>
        <v>170151</v>
      </c>
      <c r="AF88">
        <f>AE88-actual1[[#This Row],[Grants for Creation of Capital Assets]]</f>
        <v>115378</v>
      </c>
      <c r="AG88">
        <f>U88+AB88-(SUM(actual1[[#This Row],[Corporation Tax]:[Other Taxes]])-actual1[[#This Row],[Surcharge for financing of NCCF]]-actual1[[#This Row],[Devolution to State]]+SUM(P88:R88)+SUM(S88:T88))</f>
        <v>274245</v>
      </c>
      <c r="AH88">
        <f>AG88-actual1[[#This Row],[Interest Payments]]</f>
        <v>89950</v>
      </c>
    </row>
    <row r="89" spans="1:34" x14ac:dyDescent="0.35">
      <c r="A89" t="s">
        <v>165</v>
      </c>
      <c r="B89" s="2" t="s">
        <v>168</v>
      </c>
      <c r="C89">
        <v>145851</v>
      </c>
      <c r="D89">
        <v>161221</v>
      </c>
      <c r="E89">
        <v>7366</v>
      </c>
      <c r="F89">
        <v>165347</v>
      </c>
      <c r="G89">
        <v>22772</v>
      </c>
      <c r="H89">
        <v>749</v>
      </c>
      <c r="I89">
        <v>32168</v>
      </c>
      <c r="J89">
        <v>57964</v>
      </c>
      <c r="K89">
        <v>100387</v>
      </c>
      <c r="L89">
        <v>73</v>
      </c>
      <c r="M89">
        <v>1990</v>
      </c>
      <c r="N89">
        <v>1635</v>
      </c>
      <c r="O89">
        <v>165064</v>
      </c>
      <c r="P89">
        <v>6550</v>
      </c>
      <c r="Q89">
        <v>101726</v>
      </c>
      <c r="R89">
        <v>31684</v>
      </c>
      <c r="S89">
        <v>5777</v>
      </c>
      <c r="T89">
        <v>8371</v>
      </c>
      <c r="U89">
        <v>876012</v>
      </c>
      <c r="V89">
        <v>225817</v>
      </c>
      <c r="W89">
        <v>79219</v>
      </c>
      <c r="X89">
        <v>167493</v>
      </c>
      <c r="Y89">
        <v>63902</v>
      </c>
      <c r="Z89">
        <v>120069</v>
      </c>
      <c r="AA89">
        <v>68101</v>
      </c>
      <c r="AB89">
        <v>128428</v>
      </c>
      <c r="AE89">
        <f>actual1[[#This Row],[Revenue Expenditure]]-(SUM(actual1[[#This Row],[Corporation Tax]:[Other Taxes]])-actual1[[#This Row],[Surcharge for financing of NCCF]]-actual1[[#This Row],[Devolution to State]]+SUM(P89:R89))</f>
        <v>206863</v>
      </c>
      <c r="AF89">
        <f>AE89-actual1[[#This Row],[Grants for Creation of Capital Assets]]</f>
        <v>138762</v>
      </c>
      <c r="AG89">
        <f>U89+AB89-(SUM(actual1[[#This Row],[Corporation Tax]:[Other Taxes]])-actual1[[#This Row],[Surcharge for financing of NCCF]]-actual1[[#This Row],[Devolution to State]]+SUM(P89:R89)+SUM(S89:T89))</f>
        <v>321143</v>
      </c>
      <c r="AH89">
        <f>AG89-actual1[[#This Row],[Interest Payments]]</f>
        <v>95326</v>
      </c>
    </row>
    <row r="90" spans="1:34" x14ac:dyDescent="0.35">
      <c r="A90" t="s">
        <v>165</v>
      </c>
      <c r="B90" s="2" t="s">
        <v>169</v>
      </c>
      <c r="C90">
        <v>168052</v>
      </c>
      <c r="D90">
        <v>199383</v>
      </c>
      <c r="E90">
        <v>9142</v>
      </c>
      <c r="F90">
        <v>218673</v>
      </c>
      <c r="G90">
        <v>6577</v>
      </c>
      <c r="H90">
        <v>1038</v>
      </c>
      <c r="I90">
        <v>40642</v>
      </c>
      <c r="J90">
        <v>76225</v>
      </c>
      <c r="K90">
        <v>137236</v>
      </c>
      <c r="L90">
        <v>126</v>
      </c>
      <c r="M90">
        <v>2486</v>
      </c>
      <c r="N90">
        <v>2131</v>
      </c>
      <c r="O90">
        <v>212606</v>
      </c>
      <c r="P90">
        <v>8407</v>
      </c>
      <c r="Q90">
        <v>101942</v>
      </c>
      <c r="R90">
        <v>38301</v>
      </c>
      <c r="S90">
        <v>6808</v>
      </c>
      <c r="T90">
        <v>8371</v>
      </c>
      <c r="U90">
        <v>1104813</v>
      </c>
      <c r="V90">
        <v>278371</v>
      </c>
      <c r="W90">
        <v>98399</v>
      </c>
      <c r="X90">
        <v>221658</v>
      </c>
      <c r="Y90">
        <v>78862</v>
      </c>
      <c r="Z90">
        <v>147398</v>
      </c>
      <c r="AA90">
        <v>87192</v>
      </c>
      <c r="AB90">
        <v>171868</v>
      </c>
      <c r="AE90">
        <f>actual1[[#This Row],[Revenue Expenditure]]-(SUM(actual1[[#This Row],[Corporation Tax]:[Other Taxes]])-actual1[[#This Row],[Surcharge for financing of NCCF]]-actual1[[#This Row],[Devolution to State]]+SUM(P90:R90))</f>
        <v>311320</v>
      </c>
      <c r="AF90">
        <f>AE90-actual1[[#This Row],[Grants for Creation of Capital Assets]]</f>
        <v>224128</v>
      </c>
      <c r="AG90">
        <f>U90+AB90-(SUM(actual1[[#This Row],[Corporation Tax]:[Other Taxes]])-actual1[[#This Row],[Surcharge for financing of NCCF]]-actual1[[#This Row],[Devolution to State]]+SUM(P90:R90)+SUM(S90:T90))</f>
        <v>468009</v>
      </c>
      <c r="AH90">
        <f>AG90-actual1[[#This Row],[Interest Payments]]</f>
        <v>189638</v>
      </c>
    </row>
    <row r="91" spans="1:34" x14ac:dyDescent="0.35">
      <c r="A91" t="s">
        <v>165</v>
      </c>
      <c r="B91" s="2" t="s">
        <v>170</v>
      </c>
      <c r="C91">
        <v>308663</v>
      </c>
      <c r="D91">
        <v>274172</v>
      </c>
      <c r="E91">
        <v>10967</v>
      </c>
      <c r="F91">
        <v>266052</v>
      </c>
      <c r="G91">
        <v>5943</v>
      </c>
      <c r="H91">
        <v>1260</v>
      </c>
      <c r="I91">
        <v>49131</v>
      </c>
      <c r="J91">
        <v>92653</v>
      </c>
      <c r="K91">
        <v>171684</v>
      </c>
      <c r="L91">
        <v>226</v>
      </c>
      <c r="M91">
        <v>3057</v>
      </c>
      <c r="N91">
        <v>2970</v>
      </c>
      <c r="O91">
        <v>260146</v>
      </c>
      <c r="P91">
        <v>10310</v>
      </c>
      <c r="Q91">
        <v>105920</v>
      </c>
      <c r="R91">
        <v>44126</v>
      </c>
      <c r="S91">
        <v>9003</v>
      </c>
      <c r="T91">
        <v>9115</v>
      </c>
      <c r="U91">
        <v>1396666</v>
      </c>
      <c r="V91">
        <v>365207</v>
      </c>
      <c r="W91">
        <v>123265</v>
      </c>
      <c r="X91">
        <v>277995</v>
      </c>
      <c r="Y91">
        <v>98584</v>
      </c>
      <c r="Z91">
        <v>180959</v>
      </c>
      <c r="AA91">
        <v>110243</v>
      </c>
      <c r="AB91">
        <v>229351</v>
      </c>
      <c r="AE91">
        <f>actual1[[#This Row],[Revenue Expenditure]]-(SUM(actual1[[#This Row],[Corporation Tax]:[Other Taxes]])-actual1[[#This Row],[Surcharge for financing of NCCF]]-actual1[[#This Row],[Devolution to State]]+SUM(P91:R91))</f>
        <v>315618</v>
      </c>
      <c r="AF91">
        <f>AE91-actual1[[#This Row],[Grants for Creation of Capital Assets]]</f>
        <v>205375</v>
      </c>
      <c r="AG91">
        <f>U91+AB91-(SUM(actual1[[#This Row],[Corporation Tax]:[Other Taxes]])-actual1[[#This Row],[Surcharge for financing of NCCF]]-actual1[[#This Row],[Devolution to State]]+SUM(P91:R91)+SUM(S91:T91))</f>
        <v>526851</v>
      </c>
      <c r="AH91">
        <f>AG91-actual1[[#This Row],[Interest Payments]]</f>
        <v>161644</v>
      </c>
    </row>
    <row r="92" spans="1:34" x14ac:dyDescent="0.35">
      <c r="A92" t="s">
        <v>165</v>
      </c>
      <c r="B92" s="2" t="s">
        <v>171</v>
      </c>
      <c r="C92">
        <v>330885</v>
      </c>
      <c r="D92">
        <v>311292</v>
      </c>
      <c r="E92">
        <v>13073</v>
      </c>
      <c r="F92">
        <v>314598</v>
      </c>
      <c r="G92">
        <v>14913</v>
      </c>
      <c r="H92">
        <v>1400</v>
      </c>
      <c r="I92">
        <v>57352</v>
      </c>
      <c r="J92">
        <v>112279</v>
      </c>
      <c r="K92">
        <v>204063</v>
      </c>
      <c r="L92">
        <v>430</v>
      </c>
      <c r="M92">
        <v>3816</v>
      </c>
      <c r="N92">
        <v>3279</v>
      </c>
      <c r="O92">
        <v>307687</v>
      </c>
      <c r="P92">
        <v>12425</v>
      </c>
      <c r="Q92">
        <v>117823</v>
      </c>
      <c r="R92">
        <v>76594</v>
      </c>
      <c r="S92">
        <v>10358</v>
      </c>
      <c r="T92">
        <v>9364</v>
      </c>
      <c r="U92">
        <v>1573455</v>
      </c>
      <c r="V92">
        <v>401187</v>
      </c>
      <c r="W92">
        <v>142512</v>
      </c>
      <c r="X92">
        <v>310155</v>
      </c>
      <c r="Y92">
        <v>115035</v>
      </c>
      <c r="Z92">
        <v>209916</v>
      </c>
      <c r="AA92">
        <v>119915</v>
      </c>
      <c r="AB92">
        <v>253270</v>
      </c>
      <c r="AE92">
        <f>actual1[[#This Row],[Revenue Expenditure]]-(SUM(actual1[[#This Row],[Corporation Tax]:[Other Taxes]])-actual1[[#This Row],[Surcharge for financing of NCCF]]-actual1[[#This Row],[Devolution to State]]+SUM(P92:R92))</f>
        <v>313478</v>
      </c>
      <c r="AF92">
        <f>AE92-actual1[[#This Row],[Grants for Creation of Capital Assets]]</f>
        <v>193563</v>
      </c>
      <c r="AG92">
        <f>U92+AB92-(SUM(actual1[[#This Row],[Corporation Tax]:[Other Taxes]])-actual1[[#This Row],[Surcharge for financing of NCCF]]-actual1[[#This Row],[Devolution to State]]+SUM(P92:R92)+SUM(S92:T92))</f>
        <v>547026</v>
      </c>
      <c r="AH92">
        <f>AG92-actual1[[#This Row],[Interest Payments]]</f>
        <v>145839</v>
      </c>
    </row>
    <row r="93" spans="1:34" x14ac:dyDescent="0.35">
      <c r="A93" t="s">
        <v>165</v>
      </c>
      <c r="B93" s="2" t="s">
        <v>172</v>
      </c>
      <c r="C93">
        <v>353584</v>
      </c>
      <c r="D93">
        <v>346086</v>
      </c>
      <c r="E93">
        <v>15365</v>
      </c>
      <c r="F93">
        <v>363836</v>
      </c>
      <c r="G93">
        <v>22151</v>
      </c>
      <c r="H93">
        <v>1518</v>
      </c>
      <c r="I93">
        <v>66794</v>
      </c>
      <c r="J93">
        <v>125782</v>
      </c>
      <c r="K93">
        <v>241930</v>
      </c>
      <c r="L93">
        <v>502</v>
      </c>
      <c r="M93">
        <v>4372</v>
      </c>
      <c r="N93">
        <v>3887</v>
      </c>
      <c r="O93">
        <v>402769</v>
      </c>
      <c r="P93">
        <v>13957</v>
      </c>
      <c r="Q93">
        <v>127909</v>
      </c>
      <c r="R93">
        <v>81160</v>
      </c>
      <c r="S93">
        <v>11339</v>
      </c>
      <c r="T93">
        <v>9364</v>
      </c>
      <c r="U93">
        <v>1800977</v>
      </c>
      <c r="V93">
        <v>461773</v>
      </c>
      <c r="W93">
        <v>160680</v>
      </c>
      <c r="X93">
        <v>373771</v>
      </c>
      <c r="Y93">
        <v>127331</v>
      </c>
      <c r="Z93">
        <v>230607</v>
      </c>
      <c r="AA93">
        <v>132012</v>
      </c>
      <c r="AB93">
        <v>273630</v>
      </c>
      <c r="AE93">
        <f>actual1[[#This Row],[Revenue Expenditure]]-(SUM(actual1[[#This Row],[Corporation Tax]:[Other Taxes]])-actual1[[#This Row],[Surcharge for financing of NCCF]]-actual1[[#This Row],[Devolution to State]]+SUM(P93:R93))</f>
        <v>442687</v>
      </c>
      <c r="AF93">
        <f>AE93-actual1[[#This Row],[Grants for Creation of Capital Assets]]</f>
        <v>310675</v>
      </c>
      <c r="AG93">
        <f>U93+AB93-(SUM(actual1[[#This Row],[Corporation Tax]:[Other Taxes]])-actual1[[#This Row],[Surcharge for financing of NCCF]]-actual1[[#This Row],[Devolution to State]]+SUM(P93:R93)+SUM(S93:T93))</f>
        <v>695614</v>
      </c>
      <c r="AH93">
        <f>AG93-actual1[[#This Row],[Interest Payments]]</f>
        <v>233841</v>
      </c>
    </row>
    <row r="94" spans="1:34" x14ac:dyDescent="0.35">
      <c r="A94" t="s">
        <v>165</v>
      </c>
      <c r="B94" s="2" t="s">
        <v>173</v>
      </c>
      <c r="C94">
        <v>520332</v>
      </c>
      <c r="D94">
        <v>448102</v>
      </c>
      <c r="E94">
        <v>17348</v>
      </c>
      <c r="F94">
        <v>410063</v>
      </c>
      <c r="G94">
        <v>36786</v>
      </c>
      <c r="H94">
        <v>1772</v>
      </c>
      <c r="I94">
        <v>75935</v>
      </c>
      <c r="J94">
        <v>141080</v>
      </c>
      <c r="K94">
        <v>271862</v>
      </c>
      <c r="L94">
        <v>577</v>
      </c>
      <c r="M94">
        <v>5138</v>
      </c>
      <c r="N94">
        <v>4876</v>
      </c>
      <c r="O94">
        <v>450310</v>
      </c>
      <c r="P94">
        <v>16055</v>
      </c>
      <c r="Q94">
        <v>137068</v>
      </c>
      <c r="R94">
        <v>106291</v>
      </c>
      <c r="S94">
        <v>19105</v>
      </c>
      <c r="T94">
        <v>9364</v>
      </c>
      <c r="U94">
        <v>2129414</v>
      </c>
      <c r="V94">
        <v>565864</v>
      </c>
      <c r="W94">
        <v>179859</v>
      </c>
      <c r="X94">
        <v>426909</v>
      </c>
      <c r="Y94">
        <v>146150</v>
      </c>
      <c r="Z94">
        <v>271374</v>
      </c>
      <c r="AA94">
        <v>157950</v>
      </c>
      <c r="AB94">
        <v>391644</v>
      </c>
      <c r="AE94">
        <f>actual1[[#This Row],[Revenue Expenditure]]-(SUM(actual1[[#This Row],[Corporation Tax]:[Other Taxes]])-actual1[[#This Row],[Surcharge for financing of NCCF]]-actual1[[#This Row],[Devolution to State]]+SUM(P94:R94))</f>
        <v>396191</v>
      </c>
      <c r="AF94">
        <f>AE94-actual1[[#This Row],[Grants for Creation of Capital Assets]]</f>
        <v>238241</v>
      </c>
      <c r="AG94">
        <f>U94+AB94-(SUM(actual1[[#This Row],[Corporation Tax]:[Other Taxes]])-actual1[[#This Row],[Surcharge for financing of NCCF]]-actual1[[#This Row],[Devolution to State]]+SUM(P94:R94)+SUM(S94:T94))</f>
        <v>759366</v>
      </c>
      <c r="AH94">
        <f>AG94-actual1[[#This Row],[Interest Payments]]</f>
        <v>193502</v>
      </c>
    </row>
    <row r="95" spans="1:34" x14ac:dyDescent="0.35">
      <c r="A95" t="s">
        <v>165</v>
      </c>
      <c r="B95" s="2" t="s">
        <v>174</v>
      </c>
      <c r="C95">
        <v>547725</v>
      </c>
      <c r="D95">
        <v>494254</v>
      </c>
      <c r="E95">
        <v>19219</v>
      </c>
      <c r="F95">
        <v>479725</v>
      </c>
      <c r="G95">
        <v>8868</v>
      </c>
      <c r="H95">
        <v>2204</v>
      </c>
      <c r="I95">
        <v>85400</v>
      </c>
      <c r="J95">
        <v>152599</v>
      </c>
      <c r="K95">
        <v>301746</v>
      </c>
      <c r="L95">
        <v>653</v>
      </c>
      <c r="M95">
        <v>5787</v>
      </c>
      <c r="N95">
        <v>5352</v>
      </c>
      <c r="O95">
        <v>545392</v>
      </c>
      <c r="P95">
        <v>18170</v>
      </c>
      <c r="Q95">
        <v>141753</v>
      </c>
      <c r="R95">
        <v>131562</v>
      </c>
      <c r="S95">
        <v>20527</v>
      </c>
      <c r="T95">
        <v>12068</v>
      </c>
      <c r="U95">
        <v>2367698</v>
      </c>
      <c r="V95">
        <v>616076</v>
      </c>
      <c r="W95">
        <v>198220</v>
      </c>
      <c r="X95">
        <v>468740</v>
      </c>
      <c r="Y95">
        <v>166517</v>
      </c>
      <c r="Z95">
        <v>327703</v>
      </c>
      <c r="AA95">
        <v>167675</v>
      </c>
      <c r="AB95">
        <v>441686</v>
      </c>
      <c r="AE95">
        <f>actual1[[#This Row],[Revenue Expenditure]]-(SUM(actual1[[#This Row],[Corporation Tax]:[Other Taxes]])-actual1[[#This Row],[Surcharge for financing of NCCF]]-actual1[[#This Row],[Devolution to State]]+SUM(P95:R95))</f>
        <v>528777</v>
      </c>
      <c r="AF95">
        <f>AE95-actual1[[#This Row],[Grants for Creation of Capital Assets]]</f>
        <v>361102</v>
      </c>
      <c r="AG95">
        <f>U95+AB95-(SUM(actual1[[#This Row],[Corporation Tax]:[Other Taxes]])-actual1[[#This Row],[Surcharge for financing of NCCF]]-actual1[[#This Row],[Devolution to State]]+SUM(P95:R95)+SUM(S95:T95))</f>
        <v>937868</v>
      </c>
      <c r="AH95">
        <f>AG95-actual1[[#This Row],[Interest Payments]]</f>
        <v>321792</v>
      </c>
    </row>
    <row r="96" spans="1:34" x14ac:dyDescent="0.35">
      <c r="A96" t="s">
        <v>165</v>
      </c>
      <c r="B96" s="2" t="s">
        <v>175</v>
      </c>
      <c r="C96">
        <v>565628</v>
      </c>
      <c r="D96">
        <v>542054</v>
      </c>
      <c r="E96">
        <v>21237</v>
      </c>
      <c r="F96">
        <v>527894</v>
      </c>
      <c r="G96">
        <v>16771</v>
      </c>
      <c r="H96">
        <v>2363</v>
      </c>
      <c r="I96">
        <v>95500</v>
      </c>
      <c r="J96">
        <v>165244</v>
      </c>
      <c r="K96">
        <v>331155</v>
      </c>
      <c r="L96">
        <v>691</v>
      </c>
      <c r="M96">
        <v>6256</v>
      </c>
      <c r="N96">
        <v>6085</v>
      </c>
      <c r="O96">
        <v>787822</v>
      </c>
      <c r="P96">
        <v>20176</v>
      </c>
      <c r="Q96">
        <v>146600</v>
      </c>
      <c r="R96">
        <v>143355</v>
      </c>
      <c r="S96">
        <v>22749</v>
      </c>
      <c r="T96">
        <v>13514</v>
      </c>
      <c r="U96">
        <v>2658694</v>
      </c>
      <c r="V96">
        <v>671951</v>
      </c>
      <c r="W96">
        <v>216911</v>
      </c>
      <c r="X96">
        <v>501935</v>
      </c>
      <c r="Y96">
        <v>179716</v>
      </c>
      <c r="Z96">
        <v>382161</v>
      </c>
      <c r="AA96">
        <v>186954</v>
      </c>
      <c r="AB96">
        <v>485181</v>
      </c>
      <c r="AE96">
        <f>actual1[[#This Row],[Revenue Expenditure]]-(SUM(actual1[[#This Row],[Corporation Tax]:[Other Taxes]])-actual1[[#This Row],[Surcharge for financing of NCCF]]-actual1[[#This Row],[Devolution to State]]+SUM(P96:R96))</f>
        <v>867677</v>
      </c>
      <c r="AF96">
        <f>AE96-actual1[[#This Row],[Grants for Creation of Capital Assets]]</f>
        <v>680723</v>
      </c>
      <c r="AG96">
        <f>U96+AB96-(SUM(actual1[[#This Row],[Corporation Tax]:[Other Taxes]])-actual1[[#This Row],[Surcharge for financing of NCCF]]-actual1[[#This Row],[Devolution to State]]+SUM(P96:R96)+SUM(S96:T96))</f>
        <v>1316595</v>
      </c>
      <c r="AH96">
        <f>AG96-actual1[[#This Row],[Interest Payments]]</f>
        <v>644644</v>
      </c>
    </row>
    <row r="97" spans="1:34" x14ac:dyDescent="0.35">
      <c r="A97" t="s">
        <v>165</v>
      </c>
      <c r="B97" s="2" t="s">
        <v>176</v>
      </c>
      <c r="C97">
        <v>712037</v>
      </c>
      <c r="D97">
        <v>673414</v>
      </c>
      <c r="E97">
        <v>23191</v>
      </c>
      <c r="F97">
        <v>591226</v>
      </c>
      <c r="G97">
        <v>2119</v>
      </c>
      <c r="H97">
        <v>3991</v>
      </c>
      <c r="I97">
        <v>104769</v>
      </c>
      <c r="J97">
        <v>199728</v>
      </c>
      <c r="K97">
        <v>390808</v>
      </c>
      <c r="L97">
        <v>1012</v>
      </c>
      <c r="M97">
        <v>7020</v>
      </c>
      <c r="N97">
        <v>6130</v>
      </c>
      <c r="O97">
        <v>898391</v>
      </c>
      <c r="P97">
        <v>21888</v>
      </c>
      <c r="Q97">
        <v>160653</v>
      </c>
      <c r="R97">
        <v>182571</v>
      </c>
      <c r="S97">
        <v>24737</v>
      </c>
      <c r="T97">
        <v>14638</v>
      </c>
      <c r="U97">
        <v>3201672</v>
      </c>
      <c r="V97">
        <v>805499</v>
      </c>
      <c r="W97">
        <v>228559</v>
      </c>
      <c r="X97">
        <v>616141</v>
      </c>
      <c r="Y97">
        <v>198946</v>
      </c>
      <c r="Z97">
        <v>446147</v>
      </c>
      <c r="AA97">
        <v>242646</v>
      </c>
      <c r="AB97">
        <v>592128</v>
      </c>
      <c r="AE97">
        <f>actual1[[#This Row],[Revenue Expenditure]]-(SUM(actual1[[#This Row],[Corporation Tax]:[Other Taxes]])-actual1[[#This Row],[Surcharge for financing of NCCF]]-actual1[[#This Row],[Devolution to State]]+SUM(P97:R97))</f>
        <v>1031766</v>
      </c>
      <c r="AF97">
        <f>AE97-actual1[[#This Row],[Grants for Creation of Capital Assets]]</f>
        <v>789120</v>
      </c>
      <c r="AG97">
        <f>U97+AB97-(SUM(actual1[[#This Row],[Corporation Tax]:[Other Taxes]])-actual1[[#This Row],[Surcharge for financing of NCCF]]-actual1[[#This Row],[Devolution to State]]+SUM(P97:R97)+SUM(S97:T97))</f>
        <v>1584519</v>
      </c>
      <c r="AH97">
        <f>AG97-actual1[[#This Row],[Interest Payments]]</f>
        <v>779020</v>
      </c>
    </row>
    <row r="98" spans="1:34" x14ac:dyDescent="0.35">
      <c r="A98" t="s">
        <v>177</v>
      </c>
      <c r="B98" s="2" t="s">
        <v>178</v>
      </c>
      <c r="C98">
        <v>56720</v>
      </c>
      <c r="D98">
        <v>76088</v>
      </c>
      <c r="E98">
        <v>2340</v>
      </c>
      <c r="F98">
        <v>64093</v>
      </c>
      <c r="G98">
        <v>11345</v>
      </c>
      <c r="H98">
        <v>162</v>
      </c>
      <c r="I98">
        <v>10435</v>
      </c>
      <c r="J98">
        <v>10372</v>
      </c>
      <c r="K98">
        <v>96</v>
      </c>
      <c r="L98">
        <v>86</v>
      </c>
      <c r="M98">
        <v>529</v>
      </c>
      <c r="N98">
        <v>117</v>
      </c>
      <c r="O98">
        <v>47592</v>
      </c>
      <c r="P98">
        <v>630</v>
      </c>
      <c r="Q98">
        <v>300</v>
      </c>
      <c r="R98">
        <v>11008</v>
      </c>
      <c r="S98">
        <v>429</v>
      </c>
      <c r="T98">
        <v>3059</v>
      </c>
      <c r="U98">
        <v>195904</v>
      </c>
      <c r="V98">
        <v>41288</v>
      </c>
      <c r="W98">
        <v>29865</v>
      </c>
      <c r="X98">
        <v>18863</v>
      </c>
      <c r="Y98">
        <v>14915</v>
      </c>
      <c r="Z98">
        <v>10151</v>
      </c>
      <c r="AA98">
        <v>4929</v>
      </c>
      <c r="AB98">
        <v>78925</v>
      </c>
      <c r="AE98">
        <f>actual1[[#This Row],[Revenue Expenditure]]-(SUM(actual1[[#This Row],[Corporation Tax]:[Other Taxes]])-actual1[[#This Row],[Surcharge for financing of NCCF]]-actual1[[#This Row],[Devolution to State]]+SUM(P98:R98))</f>
        <v>-591</v>
      </c>
      <c r="AF98">
        <f>AE98-actual1[[#This Row],[Grants for Creation of Capital Assets]]</f>
        <v>-5520</v>
      </c>
      <c r="AG98">
        <f>U98+AB98-(SUM(actual1[[#This Row],[Corporation Tax]:[Other Taxes]])-actual1[[#This Row],[Surcharge for financing of NCCF]]-actual1[[#This Row],[Devolution to State]]+SUM(P98:R98)+SUM(S98:T98))</f>
        <v>74846</v>
      </c>
      <c r="AH98">
        <f>AG98-actual1[[#This Row],[Interest Payments]]</f>
        <v>33558</v>
      </c>
    </row>
    <row r="99" spans="1:34" x14ac:dyDescent="0.35">
      <c r="A99" t="s">
        <v>177</v>
      </c>
      <c r="B99" s="2" t="s">
        <v>179</v>
      </c>
      <c r="C99">
        <v>78525</v>
      </c>
      <c r="D99">
        <v>113029</v>
      </c>
      <c r="E99">
        <v>4385</v>
      </c>
      <c r="F99">
        <v>113969</v>
      </c>
      <c r="G99">
        <v>16086</v>
      </c>
      <c r="H99">
        <v>406</v>
      </c>
      <c r="I99">
        <v>20634</v>
      </c>
      <c r="J99">
        <v>24509</v>
      </c>
      <c r="K99">
        <v>30826</v>
      </c>
      <c r="L99">
        <v>168</v>
      </c>
      <c r="M99">
        <v>985</v>
      </c>
      <c r="N99">
        <v>750</v>
      </c>
      <c r="O99">
        <v>95183</v>
      </c>
      <c r="P99">
        <v>2666</v>
      </c>
      <c r="Q99">
        <v>30715</v>
      </c>
      <c r="R99">
        <v>15870</v>
      </c>
      <c r="S99">
        <v>966</v>
      </c>
      <c r="T99">
        <v>24047</v>
      </c>
      <c r="U99">
        <v>478700</v>
      </c>
      <c r="V99">
        <v>105422</v>
      </c>
      <c r="W99">
        <v>53864</v>
      </c>
      <c r="X99">
        <v>119984</v>
      </c>
      <c r="Y99">
        <v>36017</v>
      </c>
      <c r="Z99">
        <v>35809</v>
      </c>
      <c r="AA99">
        <v>18767</v>
      </c>
      <c r="AB99">
        <v>107074</v>
      </c>
      <c r="AE99">
        <f>actual1[[#This Row],[Revenue Expenditure]]-(SUM(actual1[[#This Row],[Corporation Tax]:[Other Taxes]])-actual1[[#This Row],[Surcharge for financing of NCCF]]-actual1[[#This Row],[Devolution to State]]+SUM(P99:R99))</f>
        <v>121860</v>
      </c>
      <c r="AF99">
        <f>AE99-actual1[[#This Row],[Grants for Creation of Capital Assets]]</f>
        <v>103093</v>
      </c>
      <c r="AG99">
        <f>U99+AB99-(SUM(actual1[[#This Row],[Corporation Tax]:[Other Taxes]])-actual1[[#This Row],[Surcharge for financing of NCCF]]-actual1[[#This Row],[Devolution to State]]+SUM(P99:R99)+SUM(S99:T99))</f>
        <v>203921</v>
      </c>
      <c r="AH99">
        <f>AG99-actual1[[#This Row],[Interest Payments]]</f>
        <v>98499</v>
      </c>
    </row>
    <row r="100" spans="1:34" x14ac:dyDescent="0.35">
      <c r="A100" t="s">
        <v>177</v>
      </c>
      <c r="B100" s="2" t="s">
        <v>180</v>
      </c>
      <c r="C100">
        <v>160822</v>
      </c>
      <c r="D100">
        <v>172661</v>
      </c>
      <c r="E100">
        <v>6395</v>
      </c>
      <c r="F100">
        <v>179392</v>
      </c>
      <c r="G100">
        <v>-310</v>
      </c>
      <c r="H100">
        <v>665</v>
      </c>
      <c r="I100">
        <v>31383</v>
      </c>
      <c r="J100">
        <v>36467</v>
      </c>
      <c r="K100">
        <v>61228</v>
      </c>
      <c r="L100">
        <v>203</v>
      </c>
      <c r="M100">
        <v>1583</v>
      </c>
      <c r="N100">
        <v>1816</v>
      </c>
      <c r="O100">
        <v>142775</v>
      </c>
      <c r="P100">
        <v>5057</v>
      </c>
      <c r="Q100">
        <v>34703</v>
      </c>
      <c r="R100">
        <v>22400</v>
      </c>
      <c r="S100">
        <v>3423</v>
      </c>
      <c r="T100">
        <v>24559</v>
      </c>
      <c r="U100">
        <v>772847</v>
      </c>
      <c r="V100">
        <v>228595</v>
      </c>
      <c r="W100">
        <v>74042</v>
      </c>
      <c r="X100">
        <v>167610</v>
      </c>
      <c r="Y100">
        <v>53313</v>
      </c>
      <c r="Z100">
        <v>67980</v>
      </c>
      <c r="AA100">
        <v>52041</v>
      </c>
      <c r="AB100">
        <v>175064</v>
      </c>
      <c r="AE100">
        <f>actual1[[#This Row],[Revenue Expenditure]]-(SUM(actual1[[#This Row],[Corporation Tax]:[Other Taxes]])-actual1[[#This Row],[Surcharge for financing of NCCF]]-actual1[[#This Row],[Devolution to State]]+SUM(P100:R100))</f>
        <v>204789</v>
      </c>
      <c r="AF100">
        <f>AE100-actual1[[#This Row],[Grants for Creation of Capital Assets]]</f>
        <v>152748</v>
      </c>
      <c r="AG100">
        <f>U100+AB100-(SUM(actual1[[#This Row],[Corporation Tax]:[Other Taxes]])-actual1[[#This Row],[Surcharge for financing of NCCF]]-actual1[[#This Row],[Devolution to State]]+SUM(P100:R100)+SUM(S100:T100))</f>
        <v>351871</v>
      </c>
      <c r="AH100">
        <f>AG100-actual1[[#This Row],[Interest Payments]]</f>
        <v>123276</v>
      </c>
    </row>
    <row r="101" spans="1:34" x14ac:dyDescent="0.35">
      <c r="A101" t="s">
        <v>177</v>
      </c>
      <c r="B101" s="2" t="s">
        <v>181</v>
      </c>
      <c r="C101">
        <v>196476</v>
      </c>
      <c r="D101">
        <v>241786</v>
      </c>
      <c r="E101">
        <v>8107</v>
      </c>
      <c r="F101">
        <v>234749</v>
      </c>
      <c r="G101">
        <v>6588</v>
      </c>
      <c r="H101">
        <v>820</v>
      </c>
      <c r="I101">
        <v>42037</v>
      </c>
      <c r="J101">
        <v>51010</v>
      </c>
      <c r="K101">
        <v>85147</v>
      </c>
      <c r="L101">
        <v>262</v>
      </c>
      <c r="M101">
        <v>2479</v>
      </c>
      <c r="N101">
        <v>2141</v>
      </c>
      <c r="O101">
        <v>201108</v>
      </c>
      <c r="P101">
        <v>7489</v>
      </c>
      <c r="Q101">
        <v>42266</v>
      </c>
      <c r="R101">
        <v>39828</v>
      </c>
      <c r="S101">
        <v>5559</v>
      </c>
      <c r="T101">
        <v>24560</v>
      </c>
      <c r="U101">
        <v>918075</v>
      </c>
      <c r="V101">
        <v>283870</v>
      </c>
      <c r="W101">
        <v>94029</v>
      </c>
      <c r="X101">
        <v>128827</v>
      </c>
      <c r="Y101">
        <v>72081</v>
      </c>
      <c r="Z101">
        <v>109707</v>
      </c>
      <c r="AA101">
        <v>68910</v>
      </c>
      <c r="AB101">
        <v>208670</v>
      </c>
      <c r="AE101">
        <f>actual1[[#This Row],[Revenue Expenditure]]-(SUM(actual1[[#This Row],[Corporation Tax]:[Other Taxes]])-actual1[[#This Row],[Surcharge for financing of NCCF]]-actual1[[#This Row],[Devolution to State]]+SUM(P101:R101))</f>
        <v>162280</v>
      </c>
      <c r="AF101">
        <f>AE101-actual1[[#This Row],[Grants for Creation of Capital Assets]]</f>
        <v>93370</v>
      </c>
      <c r="AG101">
        <f>U101+AB101-(SUM(actual1[[#This Row],[Corporation Tax]:[Other Taxes]])-actual1[[#This Row],[Surcharge for financing of NCCF]]-actual1[[#This Row],[Devolution to State]]+SUM(P101:R101)+SUM(S101:T101))</f>
        <v>340831</v>
      </c>
      <c r="AH101">
        <f>AG101-actual1[[#This Row],[Interest Payments]]</f>
        <v>56961</v>
      </c>
    </row>
    <row r="102" spans="1:34" x14ac:dyDescent="0.35">
      <c r="A102" t="s">
        <v>177</v>
      </c>
      <c r="B102" s="2" t="s">
        <v>182</v>
      </c>
      <c r="C102">
        <v>207635</v>
      </c>
      <c r="D102">
        <v>265599</v>
      </c>
      <c r="E102">
        <v>9823</v>
      </c>
      <c r="F102">
        <v>286660</v>
      </c>
      <c r="G102">
        <v>15526</v>
      </c>
      <c r="H102">
        <v>969</v>
      </c>
      <c r="I102">
        <v>51926</v>
      </c>
      <c r="J102">
        <v>65325</v>
      </c>
      <c r="K102">
        <v>113963</v>
      </c>
      <c r="L102">
        <v>108</v>
      </c>
      <c r="M102">
        <v>3055</v>
      </c>
      <c r="N102">
        <v>2722</v>
      </c>
      <c r="O102">
        <v>317773</v>
      </c>
      <c r="P102">
        <v>10071</v>
      </c>
      <c r="Q102">
        <v>42676</v>
      </c>
      <c r="R102">
        <v>64057</v>
      </c>
      <c r="S102">
        <v>6967</v>
      </c>
      <c r="T102">
        <v>24560</v>
      </c>
      <c r="U102">
        <v>1137698</v>
      </c>
      <c r="V102">
        <v>338637</v>
      </c>
      <c r="W102">
        <v>112142</v>
      </c>
      <c r="X102">
        <v>161633</v>
      </c>
      <c r="Y102">
        <v>91501</v>
      </c>
      <c r="Z102">
        <v>136452</v>
      </c>
      <c r="AA102">
        <v>93605</v>
      </c>
      <c r="AB102">
        <v>252328</v>
      </c>
      <c r="AE102">
        <f>actual1[[#This Row],[Revenue Expenditure]]-(SUM(actual1[[#This Row],[Corporation Tax]:[Other Taxes]])-actual1[[#This Row],[Surcharge for financing of NCCF]]-actual1[[#This Row],[Devolution to State]]+SUM(P102:R102))</f>
        <v>320800</v>
      </c>
      <c r="AF102">
        <f>AE102-actual1[[#This Row],[Grants for Creation of Capital Assets]]</f>
        <v>227195</v>
      </c>
      <c r="AG102">
        <f>U102+AB102-(SUM(actual1[[#This Row],[Corporation Tax]:[Other Taxes]])-actual1[[#This Row],[Surcharge for financing of NCCF]]-actual1[[#This Row],[Devolution to State]]+SUM(P102:R102)+SUM(S102:T102))</f>
        <v>541601</v>
      </c>
      <c r="AH102">
        <f>AG102-actual1[[#This Row],[Interest Payments]]</f>
        <v>202964</v>
      </c>
    </row>
    <row r="103" spans="1:34" x14ac:dyDescent="0.35">
      <c r="A103" t="s">
        <v>177</v>
      </c>
      <c r="B103" s="2" t="s">
        <v>183</v>
      </c>
      <c r="C103">
        <v>375308</v>
      </c>
      <c r="D103">
        <v>344548</v>
      </c>
      <c r="E103">
        <v>11827</v>
      </c>
      <c r="F103">
        <v>341349</v>
      </c>
      <c r="G103">
        <v>25490</v>
      </c>
      <c r="H103">
        <v>1375</v>
      </c>
      <c r="I103">
        <v>61893</v>
      </c>
      <c r="J103">
        <v>86267</v>
      </c>
      <c r="K103">
        <v>139874</v>
      </c>
      <c r="L103">
        <v>201</v>
      </c>
      <c r="M103">
        <v>3674</v>
      </c>
      <c r="N103">
        <v>3739</v>
      </c>
      <c r="O103">
        <v>376106</v>
      </c>
      <c r="P103">
        <v>12484</v>
      </c>
      <c r="Q103">
        <v>53065</v>
      </c>
      <c r="R103">
        <v>92051</v>
      </c>
      <c r="S103">
        <v>9597</v>
      </c>
      <c r="T103">
        <v>24590</v>
      </c>
      <c r="U103">
        <v>1480708</v>
      </c>
      <c r="V103">
        <v>436682</v>
      </c>
      <c r="W103">
        <v>129733</v>
      </c>
      <c r="X103">
        <v>222852</v>
      </c>
      <c r="Y103">
        <v>112208</v>
      </c>
      <c r="Z103">
        <v>198879</v>
      </c>
      <c r="AA103">
        <v>130571</v>
      </c>
      <c r="AB103">
        <v>342889</v>
      </c>
      <c r="AE103">
        <f>actual1[[#This Row],[Revenue Expenditure]]-(SUM(actual1[[#This Row],[Corporation Tax]:[Other Taxes]])-actual1[[#This Row],[Surcharge for financing of NCCF]]-actual1[[#This Row],[Devolution to State]]+SUM(P103:R103))</f>
        <v>311147</v>
      </c>
      <c r="AF103">
        <f>AE103-actual1[[#This Row],[Grants for Creation of Capital Assets]]</f>
        <v>180576</v>
      </c>
      <c r="AG103">
        <f>U103+AB103-(SUM(actual1[[#This Row],[Corporation Tax]:[Other Taxes]])-actual1[[#This Row],[Surcharge for financing of NCCF]]-actual1[[#This Row],[Devolution to State]]+SUM(P103:R103)+SUM(S103:T103))</f>
        <v>619849</v>
      </c>
      <c r="AH103">
        <f>AG103-actual1[[#This Row],[Interest Payments]]</f>
        <v>183167</v>
      </c>
    </row>
    <row r="104" spans="1:34" x14ac:dyDescent="0.35">
      <c r="A104" t="s">
        <v>177</v>
      </c>
      <c r="B104" s="2" t="s">
        <v>184</v>
      </c>
      <c r="C104">
        <v>410587</v>
      </c>
      <c r="D104">
        <v>397605</v>
      </c>
      <c r="E104">
        <v>14261</v>
      </c>
      <c r="F104">
        <v>413568</v>
      </c>
      <c r="G104">
        <v>6116</v>
      </c>
      <c r="H104">
        <v>1970</v>
      </c>
      <c r="I104">
        <v>72174</v>
      </c>
      <c r="J104">
        <v>122926</v>
      </c>
      <c r="K104">
        <v>165652</v>
      </c>
      <c r="L104">
        <v>278</v>
      </c>
      <c r="M104">
        <v>4468</v>
      </c>
      <c r="N104">
        <v>4063</v>
      </c>
      <c r="O104">
        <v>434439</v>
      </c>
      <c r="P104">
        <v>14146</v>
      </c>
      <c r="Q104">
        <v>58176</v>
      </c>
      <c r="R104">
        <v>106457</v>
      </c>
      <c r="S104">
        <v>11102</v>
      </c>
      <c r="T104">
        <v>24590</v>
      </c>
      <c r="U104">
        <v>1734697</v>
      </c>
      <c r="V104">
        <v>481172</v>
      </c>
      <c r="W104">
        <v>148204</v>
      </c>
      <c r="X104">
        <v>290651</v>
      </c>
      <c r="Y104">
        <v>132573</v>
      </c>
      <c r="Z104">
        <v>238909</v>
      </c>
      <c r="AA104">
        <v>145621</v>
      </c>
      <c r="AB104">
        <v>409014</v>
      </c>
      <c r="AE104">
        <f>actual1[[#This Row],[Revenue Expenditure]]-(SUM(actual1[[#This Row],[Corporation Tax]:[Other Taxes]])-actual1[[#This Row],[Surcharge for financing of NCCF]]-actual1[[#This Row],[Devolution to State]]+SUM(P104:R104))</f>
        <v>384815</v>
      </c>
      <c r="AF104">
        <f>AE104-actual1[[#This Row],[Grants for Creation of Capital Assets]]</f>
        <v>239194</v>
      </c>
      <c r="AG104">
        <f>U104+AB104-(SUM(actual1[[#This Row],[Corporation Tax]:[Other Taxes]])-actual1[[#This Row],[Surcharge for financing of NCCF]]-actual1[[#This Row],[Devolution to State]]+SUM(P104:R104)+SUM(S104:T104))</f>
        <v>758137</v>
      </c>
      <c r="AH104">
        <f>AG104-actual1[[#This Row],[Interest Payments]]</f>
        <v>276965</v>
      </c>
    </row>
    <row r="105" spans="1:34" x14ac:dyDescent="0.35">
      <c r="A105" t="s">
        <v>177</v>
      </c>
      <c r="B105" s="2" t="s">
        <v>185</v>
      </c>
      <c r="C105">
        <v>428226</v>
      </c>
      <c r="D105">
        <v>438622</v>
      </c>
      <c r="E105">
        <v>16032</v>
      </c>
      <c r="F105">
        <v>471416</v>
      </c>
      <c r="G105">
        <v>3536</v>
      </c>
      <c r="H105">
        <v>2485</v>
      </c>
      <c r="I105">
        <v>82497</v>
      </c>
      <c r="J105">
        <v>141393</v>
      </c>
      <c r="K105">
        <v>191251</v>
      </c>
      <c r="L105">
        <v>408</v>
      </c>
      <c r="M105">
        <v>4788</v>
      </c>
      <c r="N105">
        <v>4716</v>
      </c>
      <c r="O105">
        <v>551105</v>
      </c>
      <c r="P105">
        <v>16632</v>
      </c>
      <c r="Q105">
        <v>68254</v>
      </c>
      <c r="R105">
        <v>113433</v>
      </c>
      <c r="S105">
        <v>13052</v>
      </c>
      <c r="T105">
        <v>28429</v>
      </c>
      <c r="U105">
        <v>1995674</v>
      </c>
      <c r="V105">
        <v>545199</v>
      </c>
      <c r="W105">
        <v>164210</v>
      </c>
      <c r="X105">
        <v>341660</v>
      </c>
      <c r="Y105">
        <v>147766</v>
      </c>
      <c r="Z105">
        <v>301083</v>
      </c>
      <c r="AA105">
        <v>159277</v>
      </c>
      <c r="AB105">
        <v>447113</v>
      </c>
      <c r="AE105">
        <f>actual1[[#This Row],[Revenue Expenditure]]-(SUM(actual1[[#This Row],[Corporation Tax]:[Other Taxes]])-actual1[[#This Row],[Surcharge for financing of NCCF]]-actual1[[#This Row],[Devolution to State]]+SUM(P105:R105))</f>
        <v>572522</v>
      </c>
      <c r="AF105">
        <f>AE105-actual1[[#This Row],[Grants for Creation of Capital Assets]]</f>
        <v>413245</v>
      </c>
      <c r="AG105">
        <f>U105+AB105-(SUM(actual1[[#This Row],[Corporation Tax]:[Other Taxes]])-actual1[[#This Row],[Surcharge for financing of NCCF]]-actual1[[#This Row],[Devolution to State]]+SUM(P105:R105)+SUM(S105:T105))</f>
        <v>978154</v>
      </c>
      <c r="AH105">
        <f>AG105-actual1[[#This Row],[Interest Payments]]</f>
        <v>432955</v>
      </c>
    </row>
    <row r="106" spans="1:34" x14ac:dyDescent="0.35">
      <c r="A106" t="s">
        <v>177</v>
      </c>
      <c r="B106" s="2" t="s">
        <v>186</v>
      </c>
      <c r="C106">
        <v>608168</v>
      </c>
      <c r="D106">
        <v>534108</v>
      </c>
      <c r="E106">
        <v>18104</v>
      </c>
      <c r="F106">
        <v>532194</v>
      </c>
      <c r="G106">
        <v>142</v>
      </c>
      <c r="H106">
        <v>2717</v>
      </c>
      <c r="I106">
        <v>93408</v>
      </c>
      <c r="J106">
        <v>158507</v>
      </c>
      <c r="K106">
        <v>217825</v>
      </c>
      <c r="L106">
        <v>139</v>
      </c>
      <c r="M106">
        <v>5386</v>
      </c>
      <c r="N106">
        <v>5569</v>
      </c>
      <c r="O106">
        <v>609437</v>
      </c>
      <c r="P106">
        <v>18870</v>
      </c>
      <c r="Q106">
        <v>76362</v>
      </c>
      <c r="R106">
        <v>119070</v>
      </c>
      <c r="S106">
        <v>16435</v>
      </c>
      <c r="T106">
        <v>38671</v>
      </c>
      <c r="U106">
        <v>2328132</v>
      </c>
      <c r="V106">
        <v>680853</v>
      </c>
      <c r="W106">
        <v>184962</v>
      </c>
      <c r="X106">
        <v>387918</v>
      </c>
      <c r="Y106">
        <v>168439</v>
      </c>
      <c r="Z106">
        <v>350524</v>
      </c>
      <c r="AA106">
        <v>185533</v>
      </c>
      <c r="AB106">
        <v>489944</v>
      </c>
      <c r="AE106">
        <f>actual1[[#This Row],[Revenue Expenditure]]-(SUM(actual1[[#This Row],[Corporation Tax]:[Other Taxes]])-actual1[[#This Row],[Surcharge for financing of NCCF]]-actual1[[#This Row],[Devolution to State]]+SUM(P106:R106))</f>
        <v>558138</v>
      </c>
      <c r="AF106">
        <f>AE106-actual1[[#This Row],[Grants for Creation of Capital Assets]]</f>
        <v>372605</v>
      </c>
      <c r="AG106">
        <f>U106+AB106-(SUM(actual1[[#This Row],[Corporation Tax]:[Other Taxes]])-actual1[[#This Row],[Surcharge for financing of NCCF]]-actual1[[#This Row],[Devolution to State]]+SUM(P106:R106)+SUM(S106:T106))</f>
        <v>992976</v>
      </c>
      <c r="AH106">
        <f>AG106-actual1[[#This Row],[Interest Payments]]</f>
        <v>312123</v>
      </c>
    </row>
    <row r="107" spans="1:34" x14ac:dyDescent="0.35">
      <c r="A107" t="s">
        <v>177</v>
      </c>
      <c r="B107" s="2" t="s">
        <v>187</v>
      </c>
      <c r="C107">
        <v>629013</v>
      </c>
      <c r="D107">
        <v>587615</v>
      </c>
      <c r="E107">
        <v>19527</v>
      </c>
      <c r="F107">
        <v>597365</v>
      </c>
      <c r="G107">
        <v>-1529</v>
      </c>
      <c r="H107">
        <v>2955</v>
      </c>
      <c r="I107">
        <v>103835</v>
      </c>
      <c r="J107">
        <v>173375</v>
      </c>
      <c r="K107">
        <v>243608</v>
      </c>
      <c r="L107">
        <v>189</v>
      </c>
      <c r="M107">
        <v>6724</v>
      </c>
      <c r="N107">
        <v>6197</v>
      </c>
      <c r="O107">
        <v>667770</v>
      </c>
      <c r="P107">
        <v>20357</v>
      </c>
      <c r="Q107">
        <v>77303</v>
      </c>
      <c r="R107">
        <v>133279</v>
      </c>
      <c r="S107">
        <v>18523</v>
      </c>
      <c r="T107">
        <v>38671</v>
      </c>
      <c r="U107">
        <v>2597756</v>
      </c>
      <c r="V107">
        <v>738658</v>
      </c>
      <c r="W107">
        <v>212340</v>
      </c>
      <c r="X107">
        <v>423054</v>
      </c>
      <c r="Y107">
        <v>189100</v>
      </c>
      <c r="Z107">
        <v>399400</v>
      </c>
      <c r="AA107">
        <v>204418</v>
      </c>
      <c r="AB107">
        <v>569892</v>
      </c>
      <c r="AE107">
        <f>actual1[[#This Row],[Revenue Expenditure]]-(SUM(actual1[[#This Row],[Corporation Tax]:[Other Taxes]])-actual1[[#This Row],[Surcharge for financing of NCCF]]-actual1[[#This Row],[Devolution to State]]+SUM(P107:R107))</f>
        <v>678107</v>
      </c>
      <c r="AF107">
        <f>AE107-actual1[[#This Row],[Grants for Creation of Capital Assets]]</f>
        <v>473689</v>
      </c>
      <c r="AG107">
        <f>U107+AB107-(SUM(actual1[[#This Row],[Corporation Tax]:[Other Taxes]])-actual1[[#This Row],[Surcharge for financing of NCCF]]-actual1[[#This Row],[Devolution to State]]+SUM(P107:R107)+SUM(S107:T107))</f>
        <v>1190805</v>
      </c>
      <c r="AH107">
        <f>AG107-actual1[[#This Row],[Interest Payments]]</f>
        <v>452147</v>
      </c>
    </row>
    <row r="108" spans="1:34" x14ac:dyDescent="0.35">
      <c r="A108" t="s">
        <v>177</v>
      </c>
      <c r="B108" s="2" t="s">
        <v>188</v>
      </c>
      <c r="C108">
        <v>641844</v>
      </c>
      <c r="D108">
        <v>645554</v>
      </c>
      <c r="E108">
        <v>21480</v>
      </c>
      <c r="F108">
        <v>657440</v>
      </c>
      <c r="G108">
        <v>-3817</v>
      </c>
      <c r="H108">
        <v>3349</v>
      </c>
      <c r="I108">
        <v>115636</v>
      </c>
      <c r="J108">
        <v>188973</v>
      </c>
      <c r="K108">
        <v>269493</v>
      </c>
      <c r="L108">
        <v>302</v>
      </c>
      <c r="M108">
        <v>7047</v>
      </c>
      <c r="N108">
        <v>7020</v>
      </c>
      <c r="O108">
        <v>808088</v>
      </c>
      <c r="P108">
        <v>23139</v>
      </c>
      <c r="Q108">
        <v>84220</v>
      </c>
      <c r="R108">
        <v>141276</v>
      </c>
      <c r="S108">
        <v>20229</v>
      </c>
      <c r="T108">
        <v>38671</v>
      </c>
      <c r="U108">
        <v>2903363</v>
      </c>
      <c r="V108">
        <v>798957</v>
      </c>
      <c r="W108">
        <v>236452</v>
      </c>
      <c r="X108">
        <v>489099</v>
      </c>
      <c r="Y108">
        <v>205827</v>
      </c>
      <c r="Z108">
        <v>459547</v>
      </c>
      <c r="AA108">
        <v>235030</v>
      </c>
      <c r="AB108">
        <v>590227</v>
      </c>
      <c r="AE108">
        <f>actual1[[#This Row],[Revenue Expenditure]]-(SUM(actual1[[#This Row],[Corporation Tax]:[Other Taxes]])-actual1[[#This Row],[Surcharge for financing of NCCF]]-actual1[[#This Row],[Devolution to State]]+SUM(P108:R108))</f>
        <v>922535</v>
      </c>
      <c r="AF108">
        <f>AE108-actual1[[#This Row],[Grants for Creation of Capital Assets]]</f>
        <v>687505</v>
      </c>
      <c r="AG108">
        <f>U108+AB108-(SUM(actual1[[#This Row],[Corporation Tax]:[Other Taxes]])-actual1[[#This Row],[Surcharge for financing of NCCF]]-actual1[[#This Row],[Devolution to State]]+SUM(P108:R108)+SUM(S108:T108))</f>
        <v>1453862</v>
      </c>
      <c r="AH108">
        <f>AG108-actual1[[#This Row],[Interest Payments]]</f>
        <v>654905</v>
      </c>
    </row>
    <row r="109" spans="1:34" x14ac:dyDescent="0.35">
      <c r="A109" t="s">
        <v>177</v>
      </c>
      <c r="B109" s="2" t="s">
        <v>189</v>
      </c>
      <c r="C109">
        <v>825834</v>
      </c>
      <c r="D109">
        <v>808221</v>
      </c>
      <c r="E109">
        <v>25085</v>
      </c>
      <c r="F109">
        <v>718522</v>
      </c>
      <c r="G109">
        <v>4748</v>
      </c>
      <c r="H109">
        <v>4768</v>
      </c>
      <c r="I109">
        <v>125862</v>
      </c>
      <c r="J109">
        <v>213371</v>
      </c>
      <c r="K109">
        <v>319000</v>
      </c>
      <c r="L109">
        <v>431</v>
      </c>
      <c r="M109">
        <v>8349</v>
      </c>
      <c r="N109">
        <v>8000</v>
      </c>
      <c r="O109">
        <v>948406</v>
      </c>
      <c r="P109">
        <v>27865</v>
      </c>
      <c r="Q109">
        <v>99922</v>
      </c>
      <c r="R109">
        <v>157634</v>
      </c>
      <c r="S109">
        <v>26161</v>
      </c>
      <c r="T109">
        <v>46035</v>
      </c>
      <c r="U109">
        <v>3453638</v>
      </c>
      <c r="V109">
        <v>928517</v>
      </c>
      <c r="W109">
        <v>256183</v>
      </c>
      <c r="X109">
        <v>651648</v>
      </c>
      <c r="Y109">
        <v>241599</v>
      </c>
      <c r="Z109">
        <v>530959</v>
      </c>
      <c r="AA109">
        <v>306264</v>
      </c>
      <c r="AB109">
        <v>739519</v>
      </c>
      <c r="AE109">
        <f>actual1[[#This Row],[Revenue Expenditure]]-(SUM(actual1[[#This Row],[Corporation Tax]:[Other Taxes]])-actual1[[#This Row],[Surcharge for financing of NCCF]]-actual1[[#This Row],[Devolution to State]]+SUM(P109:R109))</f>
        <v>1070432</v>
      </c>
      <c r="AF109">
        <f>AE109-actual1[[#This Row],[Grants for Creation of Capital Assets]]</f>
        <v>764168</v>
      </c>
      <c r="AG109">
        <f>U109+AB109-(SUM(actual1[[#This Row],[Corporation Tax]:[Other Taxes]])-actual1[[#This Row],[Surcharge for financing of NCCF]]-actual1[[#This Row],[Devolution to State]]+SUM(P109:R109)+SUM(S109:T109))</f>
        <v>1737755</v>
      </c>
      <c r="AH109">
        <f>AG109-actual1[[#This Row],[Interest Payments]]</f>
        <v>809238</v>
      </c>
    </row>
    <row r="110" spans="1:34" x14ac:dyDescent="0.35">
      <c r="A110" t="s">
        <v>190</v>
      </c>
      <c r="B110" s="2" t="s">
        <v>191</v>
      </c>
      <c r="C110">
        <v>38571</v>
      </c>
      <c r="D110">
        <v>82035</v>
      </c>
      <c r="E110">
        <v>406</v>
      </c>
      <c r="F110">
        <v>80902</v>
      </c>
      <c r="G110">
        <v>-9304</v>
      </c>
      <c r="H110">
        <v>308</v>
      </c>
      <c r="I110">
        <v>11861</v>
      </c>
      <c r="J110">
        <v>11749</v>
      </c>
      <c r="K110">
        <v>960</v>
      </c>
      <c r="L110">
        <v>143</v>
      </c>
      <c r="M110">
        <v>514</v>
      </c>
      <c r="N110">
        <v>104</v>
      </c>
      <c r="O110">
        <v>59140</v>
      </c>
      <c r="P110">
        <v>799</v>
      </c>
      <c r="Q110">
        <v>80</v>
      </c>
      <c r="R110">
        <v>10079</v>
      </c>
      <c r="S110">
        <v>592</v>
      </c>
      <c r="T110">
        <v>50</v>
      </c>
      <c r="U110">
        <v>225639</v>
      </c>
      <c r="V110">
        <v>47929</v>
      </c>
      <c r="W110">
        <v>34116</v>
      </c>
      <c r="X110">
        <v>8582</v>
      </c>
      <c r="Y110">
        <v>31838</v>
      </c>
      <c r="Z110">
        <v>25161</v>
      </c>
      <c r="AA110">
        <v>6055</v>
      </c>
      <c r="AB110">
        <v>78457</v>
      </c>
      <c r="AE110">
        <f>actual1[[#This Row],[Revenue Expenditure]]-(SUM(actual1[[#This Row],[Corporation Tax]:[Other Taxes]])-actual1[[#This Row],[Surcharge for financing of NCCF]]-actual1[[#This Row],[Devolution to State]]+SUM(P110:R110))</f>
        <v>55780</v>
      </c>
      <c r="AF110">
        <f>AE110-actual1[[#This Row],[Grants for Creation of Capital Assets]]</f>
        <v>49725</v>
      </c>
      <c r="AG110">
        <f>U110+AB110-(SUM(actual1[[#This Row],[Corporation Tax]:[Other Taxes]])-actual1[[#This Row],[Surcharge for financing of NCCF]]-actual1[[#This Row],[Devolution to State]]+SUM(P110:R110)+SUM(S110:T110))</f>
        <v>133595</v>
      </c>
      <c r="AH110">
        <f>AG110-actual1[[#This Row],[Interest Payments]]</f>
        <v>85666</v>
      </c>
    </row>
    <row r="111" spans="1:34" x14ac:dyDescent="0.35">
      <c r="A111" t="s">
        <v>190</v>
      </c>
      <c r="B111" s="2" t="s">
        <v>192</v>
      </c>
      <c r="C111">
        <v>56531</v>
      </c>
      <c r="D111">
        <v>127298</v>
      </c>
      <c r="E111">
        <v>2159</v>
      </c>
      <c r="F111">
        <v>141569</v>
      </c>
      <c r="G111">
        <v>-8353</v>
      </c>
      <c r="H111">
        <v>571</v>
      </c>
      <c r="I111">
        <v>23102</v>
      </c>
      <c r="J111">
        <v>27052</v>
      </c>
      <c r="K111">
        <v>25804</v>
      </c>
      <c r="L111">
        <v>244</v>
      </c>
      <c r="M111">
        <v>977</v>
      </c>
      <c r="N111">
        <v>629</v>
      </c>
      <c r="O111">
        <v>118280</v>
      </c>
      <c r="P111">
        <v>5493</v>
      </c>
      <c r="Q111">
        <v>87595</v>
      </c>
      <c r="R111">
        <v>41567</v>
      </c>
      <c r="S111">
        <v>2941</v>
      </c>
      <c r="T111">
        <v>50</v>
      </c>
      <c r="U111">
        <v>458189</v>
      </c>
      <c r="V111">
        <v>110663</v>
      </c>
      <c r="W111">
        <v>57304</v>
      </c>
      <c r="X111">
        <v>50873</v>
      </c>
      <c r="Y111">
        <v>53153</v>
      </c>
      <c r="Z111">
        <v>55316</v>
      </c>
      <c r="AA111">
        <v>30858</v>
      </c>
      <c r="AB111">
        <v>167789</v>
      </c>
      <c r="AE111">
        <f>actual1[[#This Row],[Revenue Expenditure]]-(SUM(actual1[[#This Row],[Corporation Tax]:[Other Taxes]])-actual1[[#This Row],[Surcharge for financing of NCCF]]-actual1[[#This Row],[Devolution to State]]+SUM(P111:R111))</f>
        <v>45489</v>
      </c>
      <c r="AF111">
        <f>AE111-actual1[[#This Row],[Grants for Creation of Capital Assets]]</f>
        <v>14631</v>
      </c>
      <c r="AG111">
        <f>U111+AB111-(SUM(actual1[[#This Row],[Corporation Tax]:[Other Taxes]])-actual1[[#This Row],[Surcharge for financing of NCCF]]-actual1[[#This Row],[Devolution to State]]+SUM(P111:R111)+SUM(S111:T111))</f>
        <v>210287</v>
      </c>
      <c r="AH111">
        <f>AG111-actual1[[#This Row],[Interest Payments]]</f>
        <v>99624</v>
      </c>
    </row>
    <row r="112" spans="1:34" x14ac:dyDescent="0.35">
      <c r="A112" t="s">
        <v>190</v>
      </c>
      <c r="B112" s="2" t="s">
        <v>193</v>
      </c>
      <c r="C112">
        <v>138503</v>
      </c>
      <c r="D112">
        <v>191735</v>
      </c>
      <c r="E112">
        <v>3455</v>
      </c>
      <c r="F112">
        <v>206379</v>
      </c>
      <c r="G112">
        <v>-6748</v>
      </c>
      <c r="H112">
        <v>914</v>
      </c>
      <c r="I112">
        <v>34924</v>
      </c>
      <c r="J112">
        <v>49201</v>
      </c>
      <c r="K112">
        <v>51813</v>
      </c>
      <c r="L112">
        <v>326</v>
      </c>
      <c r="M112">
        <v>1381</v>
      </c>
      <c r="N112">
        <v>1703</v>
      </c>
      <c r="O112">
        <v>236560</v>
      </c>
      <c r="P112">
        <v>9546</v>
      </c>
      <c r="Q112">
        <v>95870</v>
      </c>
      <c r="R112">
        <v>49552</v>
      </c>
      <c r="S112">
        <v>6468</v>
      </c>
      <c r="T112">
        <v>4235</v>
      </c>
      <c r="U112">
        <v>772181</v>
      </c>
      <c r="V112">
        <v>243705</v>
      </c>
      <c r="W112">
        <v>82692</v>
      </c>
      <c r="X112">
        <v>87803</v>
      </c>
      <c r="Y112">
        <v>72942</v>
      </c>
      <c r="Z112">
        <v>87035</v>
      </c>
      <c r="AA112">
        <v>62729</v>
      </c>
      <c r="AB112">
        <v>278480</v>
      </c>
      <c r="AE112">
        <f>actual1[[#This Row],[Revenue Expenditure]]-(SUM(actual1[[#This Row],[Corporation Tax]:[Other Taxes]])-actual1[[#This Row],[Surcharge for financing of NCCF]]-actual1[[#This Row],[Devolution to State]]+SUM(P112:R112))</f>
        <v>183593</v>
      </c>
      <c r="AF112">
        <f>AE112-actual1[[#This Row],[Grants for Creation of Capital Assets]]</f>
        <v>120864</v>
      </c>
      <c r="AG112">
        <f>U112+AB112-(SUM(actual1[[#This Row],[Corporation Tax]:[Other Taxes]])-actual1[[#This Row],[Surcharge for financing of NCCF]]-actual1[[#This Row],[Devolution to State]]+SUM(P112:R112)+SUM(S112:T112))</f>
        <v>451370</v>
      </c>
      <c r="AH112">
        <f>AG112-actual1[[#This Row],[Interest Payments]]</f>
        <v>207665</v>
      </c>
    </row>
    <row r="113" spans="1:34" x14ac:dyDescent="0.35">
      <c r="A113" t="s">
        <v>190</v>
      </c>
      <c r="B113" s="2" t="s">
        <v>194</v>
      </c>
      <c r="C113">
        <v>176131</v>
      </c>
      <c r="D113">
        <v>257162</v>
      </c>
      <c r="E113">
        <v>4861</v>
      </c>
      <c r="F113">
        <v>273613</v>
      </c>
      <c r="G113">
        <v>-9144</v>
      </c>
      <c r="H113">
        <v>1164</v>
      </c>
      <c r="I113">
        <v>46316</v>
      </c>
      <c r="J113">
        <v>65029</v>
      </c>
      <c r="K113">
        <v>76200</v>
      </c>
      <c r="L113">
        <v>377</v>
      </c>
      <c r="M113">
        <v>2441</v>
      </c>
      <c r="N113">
        <v>2044</v>
      </c>
      <c r="O113">
        <v>309521</v>
      </c>
      <c r="P113">
        <v>11304</v>
      </c>
      <c r="Q113">
        <v>103943</v>
      </c>
      <c r="R113">
        <v>63557</v>
      </c>
      <c r="S113">
        <v>8253</v>
      </c>
      <c r="T113">
        <v>5465</v>
      </c>
      <c r="U113">
        <v>1063621</v>
      </c>
      <c r="V113">
        <v>299889</v>
      </c>
      <c r="W113">
        <v>106210</v>
      </c>
      <c r="X113">
        <v>144631</v>
      </c>
      <c r="Y113">
        <v>91526</v>
      </c>
      <c r="Z113">
        <v>140996</v>
      </c>
      <c r="AA113">
        <v>91648</v>
      </c>
      <c r="AB113">
        <v>317079</v>
      </c>
      <c r="AE113">
        <f>actual1[[#This Row],[Revenue Expenditure]]-(SUM(actual1[[#This Row],[Corporation Tax]:[Other Taxes]])-actual1[[#This Row],[Surcharge for financing of NCCF]]-actual1[[#This Row],[Devolution to State]]+SUM(P113:R113))</f>
        <v>302232</v>
      </c>
      <c r="AF113">
        <f>AE113-actual1[[#This Row],[Grants for Creation of Capital Assets]]</f>
        <v>210584</v>
      </c>
      <c r="AG113">
        <f>U113+AB113-(SUM(actual1[[#This Row],[Corporation Tax]:[Other Taxes]])-actual1[[#This Row],[Surcharge for financing of NCCF]]-actual1[[#This Row],[Devolution to State]]+SUM(P113:R113)+SUM(S113:T113))</f>
        <v>605593</v>
      </c>
      <c r="AH113">
        <f>AG113-actual1[[#This Row],[Interest Payments]]</f>
        <v>305704</v>
      </c>
    </row>
    <row r="114" spans="1:34" x14ac:dyDescent="0.35">
      <c r="A114" t="s">
        <v>190</v>
      </c>
      <c r="B114" s="2" t="s">
        <v>195</v>
      </c>
      <c r="C114">
        <v>238948</v>
      </c>
      <c r="D114">
        <v>360381</v>
      </c>
      <c r="E114">
        <v>10240</v>
      </c>
      <c r="F114">
        <v>336333</v>
      </c>
      <c r="G114">
        <v>-2894</v>
      </c>
      <c r="H114">
        <v>1470</v>
      </c>
      <c r="I114">
        <v>57746</v>
      </c>
      <c r="J114">
        <v>83518</v>
      </c>
      <c r="K114">
        <v>99776</v>
      </c>
      <c r="L114">
        <v>430</v>
      </c>
      <c r="M114">
        <v>3232</v>
      </c>
      <c r="N114">
        <v>2754</v>
      </c>
      <c r="O114">
        <v>382482</v>
      </c>
      <c r="P114">
        <v>14595</v>
      </c>
      <c r="Q114">
        <v>106620</v>
      </c>
      <c r="R114">
        <v>88367</v>
      </c>
      <c r="S114">
        <v>9804</v>
      </c>
      <c r="T114">
        <v>5601</v>
      </c>
      <c r="U114">
        <v>1297958</v>
      </c>
      <c r="V114">
        <v>367539</v>
      </c>
      <c r="W114">
        <v>127423</v>
      </c>
      <c r="X114">
        <v>180723</v>
      </c>
      <c r="Y114">
        <v>106581</v>
      </c>
      <c r="Z114">
        <v>180739</v>
      </c>
      <c r="AA114">
        <v>119099</v>
      </c>
      <c r="AB114">
        <v>373799</v>
      </c>
      <c r="AE114">
        <f>actual1[[#This Row],[Revenue Expenditure]]-(SUM(actual1[[#This Row],[Corporation Tax]:[Other Taxes]])-actual1[[#This Row],[Surcharge for financing of NCCF]]-actual1[[#This Row],[Devolution to State]]+SUM(P114:R114))</f>
        <v>284432</v>
      </c>
      <c r="AF114">
        <f>AE114-actual1[[#This Row],[Grants for Creation of Capital Assets]]</f>
        <v>165333</v>
      </c>
      <c r="AG114">
        <f>U114+AB114-(SUM(actual1[[#This Row],[Corporation Tax]:[Other Taxes]])-actual1[[#This Row],[Surcharge for financing of NCCF]]-actual1[[#This Row],[Devolution to State]]+SUM(P114:R114)+SUM(S114:T114))</f>
        <v>642826</v>
      </c>
      <c r="AH114">
        <f>AG114-actual1[[#This Row],[Interest Payments]]</f>
        <v>275287</v>
      </c>
    </row>
    <row r="115" spans="1:34" x14ac:dyDescent="0.35">
      <c r="A115" t="s">
        <v>190</v>
      </c>
      <c r="B115" s="2" t="s">
        <v>196</v>
      </c>
      <c r="C115">
        <v>451283</v>
      </c>
      <c r="D115">
        <v>451628</v>
      </c>
      <c r="E115">
        <v>13358</v>
      </c>
      <c r="F115">
        <v>398064</v>
      </c>
      <c r="G115">
        <v>-1208</v>
      </c>
      <c r="H115">
        <v>1669</v>
      </c>
      <c r="I115">
        <v>69131</v>
      </c>
      <c r="J115">
        <v>106184</v>
      </c>
      <c r="K115">
        <v>124758</v>
      </c>
      <c r="L115">
        <v>476</v>
      </c>
      <c r="M115">
        <v>3928</v>
      </c>
      <c r="N115">
        <v>3487</v>
      </c>
      <c r="O115">
        <v>455444</v>
      </c>
      <c r="P115">
        <v>17310</v>
      </c>
      <c r="Q115">
        <v>120657</v>
      </c>
      <c r="R115">
        <v>98805</v>
      </c>
      <c r="S115">
        <v>13216</v>
      </c>
      <c r="T115">
        <v>6950</v>
      </c>
      <c r="U115">
        <v>1628511</v>
      </c>
      <c r="V115">
        <v>484329</v>
      </c>
      <c r="W115">
        <v>148970</v>
      </c>
      <c r="X115">
        <v>248564</v>
      </c>
      <c r="Y115">
        <v>134717</v>
      </c>
      <c r="Z115">
        <v>206396</v>
      </c>
      <c r="AA115">
        <v>145278</v>
      </c>
      <c r="AB115">
        <v>490628</v>
      </c>
      <c r="AE115">
        <f>actual1[[#This Row],[Revenue Expenditure]]-(SUM(actual1[[#This Row],[Corporation Tax]:[Other Taxes]])-actual1[[#This Row],[Surcharge for financing of NCCF]]-actual1[[#This Row],[Devolution to State]]+SUM(P115:R115))</f>
        <v>231399</v>
      </c>
      <c r="AF115">
        <f>AE115-actual1[[#This Row],[Grants for Creation of Capital Assets]]</f>
        <v>86121</v>
      </c>
      <c r="AG115">
        <f>U115+AB115-(SUM(actual1[[#This Row],[Corporation Tax]:[Other Taxes]])-actual1[[#This Row],[Surcharge for financing of NCCF]]-actual1[[#This Row],[Devolution to State]]+SUM(P115:R115)+SUM(S115:T115))</f>
        <v>701861</v>
      </c>
      <c r="AH115">
        <f>AG115-actual1[[#This Row],[Interest Payments]]</f>
        <v>217532</v>
      </c>
    </row>
    <row r="116" spans="1:34" x14ac:dyDescent="0.35">
      <c r="A116" t="s">
        <v>190</v>
      </c>
      <c r="B116" s="2" t="s">
        <v>197</v>
      </c>
      <c r="C116">
        <v>481969</v>
      </c>
      <c r="D116">
        <v>521211</v>
      </c>
      <c r="E116">
        <v>16376</v>
      </c>
      <c r="F116">
        <v>468574</v>
      </c>
      <c r="G116">
        <v>-17096</v>
      </c>
      <c r="H116">
        <v>2791</v>
      </c>
      <c r="I116">
        <v>81029</v>
      </c>
      <c r="J116">
        <v>124384</v>
      </c>
      <c r="K116">
        <v>150215</v>
      </c>
      <c r="L116">
        <v>433</v>
      </c>
      <c r="M116">
        <v>4632</v>
      </c>
      <c r="N116">
        <v>4156</v>
      </c>
      <c r="O116">
        <v>528405</v>
      </c>
      <c r="P116">
        <v>19543</v>
      </c>
      <c r="Q116">
        <v>124530</v>
      </c>
      <c r="R116">
        <v>121692</v>
      </c>
      <c r="S116">
        <v>14990</v>
      </c>
      <c r="T116">
        <v>8000</v>
      </c>
      <c r="U116">
        <v>1847488</v>
      </c>
      <c r="V116">
        <v>545086</v>
      </c>
      <c r="W116">
        <v>172445</v>
      </c>
      <c r="X116">
        <v>281784</v>
      </c>
      <c r="Y116">
        <v>152012</v>
      </c>
      <c r="Z116">
        <v>231694</v>
      </c>
      <c r="AA116">
        <v>162244</v>
      </c>
      <c r="AB116">
        <v>546924</v>
      </c>
      <c r="AE116">
        <f>actual1[[#This Row],[Revenue Expenditure]]-(SUM(actual1[[#This Row],[Corporation Tax]:[Other Taxes]])-actual1[[#This Row],[Surcharge for financing of NCCF]]-actual1[[#This Row],[Devolution to State]]+SUM(P116:R116))</f>
        <v>279766</v>
      </c>
      <c r="AF116">
        <f>AE116-actual1[[#This Row],[Grants for Creation of Capital Assets]]</f>
        <v>117522</v>
      </c>
      <c r="AG116">
        <f>U116+AB116-(SUM(actual1[[#This Row],[Corporation Tax]:[Other Taxes]])-actual1[[#This Row],[Surcharge for financing of NCCF]]-actual1[[#This Row],[Devolution to State]]+SUM(P116:R116)+SUM(S116:T116))</f>
        <v>803700</v>
      </c>
      <c r="AH116">
        <f>AG116-actual1[[#This Row],[Interest Payments]]</f>
        <v>258614</v>
      </c>
    </row>
    <row r="117" spans="1:34" x14ac:dyDescent="0.35">
      <c r="A117" t="s">
        <v>190</v>
      </c>
      <c r="B117" s="2" t="s">
        <v>198</v>
      </c>
      <c r="C117">
        <v>514374</v>
      </c>
      <c r="D117">
        <v>567404</v>
      </c>
      <c r="E117">
        <v>18920</v>
      </c>
      <c r="F117">
        <v>534653</v>
      </c>
      <c r="G117">
        <v>-12795</v>
      </c>
      <c r="H117">
        <v>3042</v>
      </c>
      <c r="I117">
        <v>92831</v>
      </c>
      <c r="J117">
        <v>141764</v>
      </c>
      <c r="K117">
        <v>176187</v>
      </c>
      <c r="L117">
        <v>395</v>
      </c>
      <c r="M117">
        <v>5252</v>
      </c>
      <c r="N117">
        <v>4906</v>
      </c>
      <c r="O117">
        <v>601366</v>
      </c>
      <c r="P117">
        <v>23515</v>
      </c>
      <c r="Q117">
        <v>131109</v>
      </c>
      <c r="R117">
        <v>129741</v>
      </c>
      <c r="S117">
        <v>16604</v>
      </c>
      <c r="T117">
        <v>8859</v>
      </c>
      <c r="U117">
        <v>2066522</v>
      </c>
      <c r="V117">
        <v>607963</v>
      </c>
      <c r="W117">
        <v>193993</v>
      </c>
      <c r="X117">
        <v>303619</v>
      </c>
      <c r="Y117">
        <v>175013</v>
      </c>
      <c r="Z117">
        <v>242756</v>
      </c>
      <c r="AA117">
        <v>174978</v>
      </c>
      <c r="AB117">
        <v>585645</v>
      </c>
      <c r="AE117">
        <f>actual1[[#This Row],[Revenue Expenditure]]-(SUM(actual1[[#This Row],[Corporation Tax]:[Other Taxes]])-actual1[[#This Row],[Surcharge for financing of NCCF]]-actual1[[#This Row],[Devolution to State]]+SUM(P117:R117))</f>
        <v>346402</v>
      </c>
      <c r="AF117">
        <f>AE117-actual1[[#This Row],[Grants for Creation of Capital Assets]]</f>
        <v>171424</v>
      </c>
      <c r="AG117">
        <f>U117+AB117-(SUM(actual1[[#This Row],[Corporation Tax]:[Other Taxes]])-actual1[[#This Row],[Surcharge for financing of NCCF]]-actual1[[#This Row],[Devolution to State]]+SUM(P117:R117)+SUM(S117:T117))</f>
        <v>906584</v>
      </c>
      <c r="AH117">
        <f>AG117-actual1[[#This Row],[Interest Payments]]</f>
        <v>298621</v>
      </c>
    </row>
    <row r="118" spans="1:34" x14ac:dyDescent="0.35">
      <c r="A118" t="s">
        <v>190</v>
      </c>
      <c r="B118" s="2" t="s">
        <v>199</v>
      </c>
      <c r="C118">
        <v>721671</v>
      </c>
      <c r="D118">
        <v>685597</v>
      </c>
      <c r="E118">
        <v>21630</v>
      </c>
      <c r="F118">
        <v>602701</v>
      </c>
      <c r="G118">
        <v>-24071</v>
      </c>
      <c r="H118">
        <v>3491</v>
      </c>
      <c r="I118">
        <v>104615</v>
      </c>
      <c r="J118">
        <v>158193</v>
      </c>
      <c r="K118">
        <v>202469</v>
      </c>
      <c r="L118">
        <v>397</v>
      </c>
      <c r="M118">
        <v>5806</v>
      </c>
      <c r="N118">
        <v>5280</v>
      </c>
      <c r="O118">
        <v>747288</v>
      </c>
      <c r="P118">
        <v>26959</v>
      </c>
      <c r="Q118">
        <v>147232</v>
      </c>
      <c r="R118">
        <v>138167</v>
      </c>
      <c r="S118">
        <v>19597</v>
      </c>
      <c r="T118">
        <v>10053</v>
      </c>
      <c r="U118">
        <v>2380587</v>
      </c>
      <c r="V118">
        <v>748207</v>
      </c>
      <c r="W118">
        <v>215181</v>
      </c>
      <c r="X118">
        <v>349946</v>
      </c>
      <c r="Y118">
        <v>191905</v>
      </c>
      <c r="Z118">
        <v>276804</v>
      </c>
      <c r="AA118">
        <v>213323</v>
      </c>
      <c r="AB118">
        <v>673630</v>
      </c>
      <c r="AE118">
        <f>actual1[[#This Row],[Revenue Expenditure]]-(SUM(actual1[[#This Row],[Corporation Tax]:[Other Taxes]])-actual1[[#This Row],[Surcharge for financing of NCCF]]-actual1[[#This Row],[Devolution to State]]+SUM(P118:R118))</f>
        <v>338298</v>
      </c>
      <c r="AF118">
        <f>AE118-actual1[[#This Row],[Grants for Creation of Capital Assets]]</f>
        <v>124975</v>
      </c>
      <c r="AG118">
        <f>U118+AB118-(SUM(actual1[[#This Row],[Corporation Tax]:[Other Taxes]])-actual1[[#This Row],[Surcharge for financing of NCCF]]-actual1[[#This Row],[Devolution to State]]+SUM(P118:R118)+SUM(S118:T118))</f>
        <v>982278</v>
      </c>
      <c r="AH118">
        <f>AG118-actual1[[#This Row],[Interest Payments]]</f>
        <v>234071</v>
      </c>
    </row>
    <row r="119" spans="1:34" x14ac:dyDescent="0.35">
      <c r="A119" t="s">
        <v>190</v>
      </c>
      <c r="B119" s="2" t="s">
        <v>200</v>
      </c>
      <c r="C119">
        <v>755569</v>
      </c>
      <c r="D119">
        <v>748252</v>
      </c>
      <c r="E119">
        <v>25411</v>
      </c>
      <c r="F119">
        <v>676386</v>
      </c>
      <c r="G119">
        <v>-30601</v>
      </c>
      <c r="H119">
        <v>3960</v>
      </c>
      <c r="I119">
        <v>116198</v>
      </c>
      <c r="J119">
        <v>175052</v>
      </c>
      <c r="K119">
        <v>228968</v>
      </c>
      <c r="L119">
        <v>469</v>
      </c>
      <c r="M119">
        <v>6533</v>
      </c>
      <c r="N119">
        <v>6107</v>
      </c>
      <c r="O119">
        <v>820250</v>
      </c>
      <c r="P119">
        <v>29736</v>
      </c>
      <c r="Q119">
        <v>147848</v>
      </c>
      <c r="R119">
        <v>160485</v>
      </c>
      <c r="S119">
        <v>21664</v>
      </c>
      <c r="T119">
        <v>12555</v>
      </c>
      <c r="U119">
        <v>2633543</v>
      </c>
      <c r="V119">
        <v>821731</v>
      </c>
      <c r="W119">
        <v>237358</v>
      </c>
      <c r="X119">
        <v>401814</v>
      </c>
      <c r="Y119">
        <v>214188</v>
      </c>
      <c r="Z119">
        <v>315559</v>
      </c>
      <c r="AA119">
        <v>228255</v>
      </c>
      <c r="AB119">
        <v>721187</v>
      </c>
      <c r="AE119">
        <f>actual1[[#This Row],[Revenue Expenditure]]-(SUM(actual1[[#This Row],[Corporation Tax]:[Other Taxes]])-actual1[[#This Row],[Surcharge for financing of NCCF]]-actual1[[#This Row],[Devolution to State]]+SUM(P119:R119))</f>
        <v>415634</v>
      </c>
      <c r="AF119">
        <f>AE119-actual1[[#This Row],[Grants for Creation of Capital Assets]]</f>
        <v>187379</v>
      </c>
      <c r="AG119">
        <f>U119+AB119-(SUM(actual1[[#This Row],[Corporation Tax]:[Other Taxes]])-actual1[[#This Row],[Surcharge for financing of NCCF]]-actual1[[#This Row],[Devolution to State]]+SUM(P119:R119)+SUM(S119:T119))</f>
        <v>1102602</v>
      </c>
      <c r="AH119">
        <f>AG119-actual1[[#This Row],[Interest Payments]]</f>
        <v>280871</v>
      </c>
    </row>
    <row r="120" spans="1:34" x14ac:dyDescent="0.35">
      <c r="A120" t="s">
        <v>190</v>
      </c>
      <c r="B120" s="2" t="s">
        <v>201</v>
      </c>
      <c r="C120">
        <v>752718</v>
      </c>
      <c r="D120">
        <v>812371</v>
      </c>
      <c r="E120">
        <v>29804</v>
      </c>
      <c r="F120">
        <v>747515</v>
      </c>
      <c r="G120">
        <v>-43291</v>
      </c>
      <c r="H120">
        <v>4336</v>
      </c>
      <c r="I120">
        <v>128727</v>
      </c>
      <c r="J120">
        <v>196352</v>
      </c>
      <c r="K120">
        <v>253835</v>
      </c>
      <c r="L120">
        <v>467</v>
      </c>
      <c r="M120">
        <v>7017</v>
      </c>
      <c r="N120">
        <v>6966</v>
      </c>
      <c r="O120">
        <v>1033433</v>
      </c>
      <c r="P120">
        <v>34036</v>
      </c>
      <c r="Q120">
        <v>157070</v>
      </c>
      <c r="R120">
        <v>169224</v>
      </c>
      <c r="S120">
        <v>23480</v>
      </c>
      <c r="T120">
        <v>12660</v>
      </c>
      <c r="U120">
        <v>2941674</v>
      </c>
      <c r="V120">
        <v>880788</v>
      </c>
      <c r="W120">
        <v>269224</v>
      </c>
      <c r="X120">
        <v>465234</v>
      </c>
      <c r="Y120">
        <v>232075</v>
      </c>
      <c r="Z120">
        <v>360997</v>
      </c>
      <c r="AA120">
        <v>254355</v>
      </c>
      <c r="AB120">
        <v>805613</v>
      </c>
      <c r="AE120">
        <f>actual1[[#This Row],[Revenue Expenditure]]-(SUM(actual1[[#This Row],[Corporation Tax]:[Other Taxes]])-actual1[[#This Row],[Surcharge for financing of NCCF]]-actual1[[#This Row],[Devolution to State]]+SUM(P120:R120))</f>
        <v>731892</v>
      </c>
      <c r="AF120">
        <f>AE120-actual1[[#This Row],[Grants for Creation of Capital Assets]]</f>
        <v>477537</v>
      </c>
      <c r="AG120">
        <f>U120+AB120-(SUM(actual1[[#This Row],[Corporation Tax]:[Other Taxes]])-actual1[[#This Row],[Surcharge for financing of NCCF]]-actual1[[#This Row],[Devolution to State]]+SUM(P120:R120)+SUM(S120:T120))</f>
        <v>1501365</v>
      </c>
      <c r="AH120">
        <f>AG120-actual1[[#This Row],[Interest Payments]]</f>
        <v>620577</v>
      </c>
    </row>
    <row r="121" spans="1:34" x14ac:dyDescent="0.35">
      <c r="A121" t="s">
        <v>190</v>
      </c>
      <c r="B121" s="2" t="s">
        <v>202</v>
      </c>
      <c r="C121">
        <v>911055</v>
      </c>
      <c r="D121">
        <v>1010948</v>
      </c>
      <c r="E121">
        <v>33778</v>
      </c>
      <c r="F121">
        <v>820622</v>
      </c>
      <c r="G121">
        <v>-4850</v>
      </c>
      <c r="H121">
        <v>5497</v>
      </c>
      <c r="I121">
        <v>141436</v>
      </c>
      <c r="J121">
        <v>233119</v>
      </c>
      <c r="K121">
        <v>305362</v>
      </c>
      <c r="L121">
        <v>425</v>
      </c>
      <c r="M121">
        <f>8096+31</f>
        <v>8127</v>
      </c>
      <c r="N121">
        <v>8774</v>
      </c>
      <c r="O121">
        <v>1129494</v>
      </c>
      <c r="P121">
        <v>38283</v>
      </c>
      <c r="Q121">
        <v>170891</v>
      </c>
      <c r="R121">
        <v>192611</v>
      </c>
      <c r="S121">
        <v>26646</v>
      </c>
      <c r="T121">
        <v>33122</v>
      </c>
      <c r="U121">
        <v>3494252</v>
      </c>
      <c r="V121">
        <v>1063872</v>
      </c>
      <c r="W121">
        <v>290443</v>
      </c>
      <c r="X121">
        <v>609677</v>
      </c>
      <c r="Y121">
        <v>238328</v>
      </c>
      <c r="Z121">
        <v>413542</v>
      </c>
      <c r="AA121">
        <v>303916</v>
      </c>
      <c r="AB121">
        <v>949195</v>
      </c>
      <c r="AE121">
        <f>actual1[[#This Row],[Revenue Expenditure]]-(SUM(actual1[[#This Row],[Corporation Tax]:[Other Taxes]])-actual1[[#This Row],[Surcharge for financing of NCCF]]-actual1[[#This Row],[Devolution to State]]+SUM(P121:R121))</f>
        <v>765216</v>
      </c>
      <c r="AF121">
        <f>AE121-actual1[[#This Row],[Grants for Creation of Capital Assets]]</f>
        <v>461300</v>
      </c>
      <c r="AG121">
        <f>U121+AB121-(SUM(actual1[[#This Row],[Corporation Tax]:[Other Taxes]])-actual1[[#This Row],[Surcharge for financing of NCCF]]-actual1[[#This Row],[Devolution to State]]+SUM(P121:R121)+SUM(S121:T121))</f>
        <v>1654643</v>
      </c>
      <c r="AH121">
        <f>AG121-actual1[[#This Row],[Interest Payments]]</f>
        <v>590771</v>
      </c>
    </row>
    <row r="122" spans="1:34" x14ac:dyDescent="0.35">
      <c r="A122" s="44" t="s">
        <v>203</v>
      </c>
      <c r="B122" s="45" t="s">
        <v>204</v>
      </c>
      <c r="C122" s="44">
        <v>36189</v>
      </c>
      <c r="D122" s="44">
        <v>98951</v>
      </c>
      <c r="E122" s="44">
        <v>3504</v>
      </c>
      <c r="F122" s="44">
        <v>91188</v>
      </c>
      <c r="G122" s="44">
        <v>-2645</v>
      </c>
      <c r="H122" s="44">
        <v>292</v>
      </c>
      <c r="I122" s="44">
        <v>13042</v>
      </c>
      <c r="J122" s="44">
        <v>13956</v>
      </c>
      <c r="K122" s="44">
        <v>70</v>
      </c>
      <c r="L122" s="44">
        <v>-97</v>
      </c>
      <c r="M122" s="44">
        <v>556</v>
      </c>
      <c r="N122" s="44">
        <v>133</v>
      </c>
      <c r="O122" s="44">
        <v>69875</v>
      </c>
      <c r="P122" s="44">
        <v>3531</v>
      </c>
      <c r="Q122" s="44">
        <v>3637</v>
      </c>
      <c r="R122" s="44">
        <v>20127</v>
      </c>
      <c r="S122" s="44">
        <v>1041</v>
      </c>
      <c r="T122" s="44">
        <v>0</v>
      </c>
      <c r="U122" s="44">
        <v>324235</v>
      </c>
      <c r="V122" s="44">
        <v>128263</v>
      </c>
      <c r="W122" s="44">
        <v>30524</v>
      </c>
      <c r="X122" s="44">
        <v>10480</v>
      </c>
      <c r="Y122" s="44">
        <v>36908</v>
      </c>
      <c r="Z122" s="44">
        <v>19407</v>
      </c>
      <c r="AA122" s="44">
        <v>18206</v>
      </c>
      <c r="AB122" s="44">
        <v>99235</v>
      </c>
      <c r="AE122">
        <f>actual1[[#This Row],[Revenue Expenditure]]-(SUM(actual1[[#This Row],[Corporation Tax]:[Other Taxes]])-actual1[[#This Row],[Surcharge for financing of NCCF]]-actual1[[#This Row],[Devolution to State]]+SUM(P122:R122))</f>
        <v>111942</v>
      </c>
      <c r="AF122">
        <f>AE122-actual1[[#This Row],[Grants for Creation of Capital Assets]]</f>
        <v>93736</v>
      </c>
      <c r="AG122">
        <f>U122+AB122-(SUM(actual1[[#This Row],[Corporation Tax]:[Other Taxes]])-actual1[[#This Row],[Surcharge for financing of NCCF]]-actual1[[#This Row],[Devolution to State]]+SUM(P122:R122)+SUM(S122:T122))</f>
        <v>210136</v>
      </c>
      <c r="AH122">
        <f>AG122-actual1[[#This Row],[Interest Payments]]</f>
        <v>81873</v>
      </c>
    </row>
    <row r="123" spans="1:34" x14ac:dyDescent="0.35">
      <c r="A123" s="44" t="s">
        <v>203</v>
      </c>
      <c r="B123" s="45" t="s">
        <v>222</v>
      </c>
      <c r="C123" s="44">
        <v>45313</v>
      </c>
      <c r="D123" s="44">
        <v>180291</v>
      </c>
      <c r="E123" s="44">
        <v>7235</v>
      </c>
      <c r="F123" s="44">
        <v>158841</v>
      </c>
      <c r="G123" s="44">
        <v>-10883</v>
      </c>
      <c r="H123" s="44">
        <v>598</v>
      </c>
      <c r="I123" s="44">
        <v>24828</v>
      </c>
      <c r="J123" s="44">
        <v>28090</v>
      </c>
      <c r="K123" s="44">
        <v>24317</v>
      </c>
      <c r="L123" s="44">
        <v>-87</v>
      </c>
      <c r="M123" s="44">
        <v>1086</v>
      </c>
      <c r="N123" s="44">
        <v>842</v>
      </c>
      <c r="O123" s="44">
        <v>139751</v>
      </c>
      <c r="P123" s="44">
        <v>7924</v>
      </c>
      <c r="Q123" s="44">
        <v>215829</v>
      </c>
      <c r="R123" s="44">
        <v>27969</v>
      </c>
      <c r="S123" s="44">
        <v>2083</v>
      </c>
      <c r="T123" s="44">
        <v>4</v>
      </c>
      <c r="U123" s="44">
        <v>479835</v>
      </c>
      <c r="V123" s="44">
        <v>123810</v>
      </c>
      <c r="W123" s="44">
        <v>53032</v>
      </c>
      <c r="X123" s="44">
        <v>37881</v>
      </c>
      <c r="Y123" s="44">
        <v>60607</v>
      </c>
      <c r="Z123" s="44">
        <v>54688</v>
      </c>
      <c r="AA123" s="44">
        <v>46235</v>
      </c>
      <c r="AB123" s="44">
        <v>143625</v>
      </c>
      <c r="AE123">
        <f>actual1[[#This Row],[Revenue Expenditure]]-(SUM(actual1[[#This Row],[Corporation Tax]:[Other Taxes]])-actual1[[#This Row],[Surcharge for financing of NCCF]]-actual1[[#This Row],[Devolution to State]]+SUM(P123:R123))</f>
        <v>-90923</v>
      </c>
      <c r="AF123">
        <f>AE123-actual1[[#This Row],[Grants for Creation of Capital Assets]]</f>
        <v>-137158</v>
      </c>
      <c r="AG123">
        <f>U123+AB123-(SUM(actual1[[#This Row],[Corporation Tax]:[Other Taxes]])-actual1[[#This Row],[Surcharge for financing of NCCF]]-actual1[[#This Row],[Devolution to State]]+SUM(P123:R123)+SUM(S123:T123))</f>
        <v>50615</v>
      </c>
      <c r="AH123">
        <f>AG123-actual1[[#This Row],[Interest Payments]]</f>
        <v>-73195</v>
      </c>
    </row>
    <row r="124" spans="1:34" x14ac:dyDescent="0.35">
      <c r="A124" s="44" t="s">
        <v>203</v>
      </c>
      <c r="B124" s="45" t="s">
        <v>227</v>
      </c>
      <c r="C124" s="44">
        <v>174774</v>
      </c>
      <c r="D124" s="44">
        <v>287336</v>
      </c>
      <c r="E124" s="44">
        <v>11606</v>
      </c>
      <c r="F124" s="44">
        <v>228328</v>
      </c>
      <c r="G124" s="44">
        <v>-10176</v>
      </c>
      <c r="H124" s="44">
        <v>877</v>
      </c>
      <c r="I124" s="44">
        <v>37768</v>
      </c>
      <c r="J124" s="44">
        <v>47065</v>
      </c>
      <c r="K124" s="44">
        <v>51357</v>
      </c>
      <c r="L124" s="44">
        <v>-38</v>
      </c>
      <c r="M124" s="44">
        <v>1900</v>
      </c>
      <c r="N124" s="44">
        <v>1662</v>
      </c>
      <c r="O124" s="44">
        <v>279502</v>
      </c>
      <c r="P124" s="44">
        <v>11715</v>
      </c>
      <c r="Q124" s="44">
        <v>224325</v>
      </c>
      <c r="R124" s="44">
        <v>44004</v>
      </c>
      <c r="S124" s="44">
        <v>4516</v>
      </c>
      <c r="T124" s="44">
        <v>4</v>
      </c>
      <c r="U124" s="44">
        <v>788858</v>
      </c>
      <c r="V124" s="44">
        <v>264052</v>
      </c>
      <c r="W124" s="44">
        <v>73712</v>
      </c>
      <c r="X124" s="44">
        <v>63299</v>
      </c>
      <c r="Y124" s="44">
        <v>82097</v>
      </c>
      <c r="Z124" s="44">
        <v>90174</v>
      </c>
      <c r="AA124" s="44">
        <v>58961</v>
      </c>
      <c r="AB124" s="44">
        <v>181051</v>
      </c>
      <c r="AE124">
        <f>actual1[[#This Row],[Revenue Expenditure]]-(SUM(actual1[[#This Row],[Corporation Tax]:[Other Taxes]])-actual1[[#This Row],[Surcharge for financing of NCCF]]-actual1[[#This Row],[Devolution to State]]+SUM(P124:R124))</f>
        <v>-40819</v>
      </c>
      <c r="AF124">
        <f>AE124-actual1[[#This Row],[Grants for Creation of Capital Assets]]</f>
        <v>-99780</v>
      </c>
      <c r="AG124">
        <f>U124+AB124-(SUM(actual1[[#This Row],[Corporation Tax]:[Other Taxes]])-actual1[[#This Row],[Surcharge for financing of NCCF]]-actual1[[#This Row],[Devolution to State]]+SUM(P124:R124)+SUM(S124:T124))</f>
        <v>135712</v>
      </c>
      <c r="AH124">
        <f>AG124-actual1[[#This Row],[Interest Payments]]</f>
        <v>-128340</v>
      </c>
    </row>
    <row r="125" spans="1:34" x14ac:dyDescent="0.35">
      <c r="A125" s="44" t="s">
        <v>203</v>
      </c>
      <c r="B125" s="45" t="s">
        <v>228</v>
      </c>
      <c r="C125" s="44">
        <v>184574</v>
      </c>
      <c r="D125" s="44">
        <v>394488</v>
      </c>
      <c r="E125" s="44">
        <v>16635</v>
      </c>
      <c r="F125" s="44">
        <v>300616</v>
      </c>
      <c r="G125" s="44">
        <v>-10659</v>
      </c>
      <c r="H125" s="44">
        <v>934</v>
      </c>
      <c r="I125" s="44">
        <v>50547</v>
      </c>
      <c r="J125" s="44">
        <v>67522</v>
      </c>
      <c r="K125" s="44">
        <v>76812</v>
      </c>
      <c r="L125" s="44">
        <v>13</v>
      </c>
      <c r="M125" s="44">
        <v>2747</v>
      </c>
      <c r="N125" s="44">
        <v>2375</v>
      </c>
      <c r="O125" s="44">
        <v>366630</v>
      </c>
      <c r="P125" s="44">
        <v>13840</v>
      </c>
      <c r="Q125" s="44">
        <v>228823</v>
      </c>
      <c r="R125" s="44">
        <v>59133</v>
      </c>
      <c r="S125" s="44">
        <v>6381</v>
      </c>
      <c r="T125" s="44">
        <v>5</v>
      </c>
      <c r="U125" s="44">
        <v>1039091</v>
      </c>
      <c r="V125" s="44">
        <v>327887</v>
      </c>
      <c r="W125" s="44">
        <v>98753</v>
      </c>
      <c r="X125" s="44">
        <v>91422</v>
      </c>
      <c r="Y125" s="44">
        <v>102506</v>
      </c>
      <c r="Z125" s="44">
        <v>125639</v>
      </c>
      <c r="AA125" s="44">
        <v>84957</v>
      </c>
      <c r="AB125" s="44">
        <v>261260</v>
      </c>
      <c r="AE125">
        <f>actual1[[#This Row],[Revenue Expenditure]]-(SUM(actual1[[#This Row],[Corporation Tax]:[Other Taxes]])-actual1[[#This Row],[Surcharge for financing of NCCF]]-actual1[[#This Row],[Devolution to State]]+SUM(P125:R125))</f>
        <v>22071</v>
      </c>
      <c r="AF125">
        <f>AE125-actual1[[#This Row],[Grants for Creation of Capital Assets]]</f>
        <v>-62886</v>
      </c>
      <c r="AG125">
        <f>U125+AB125-(SUM(actual1[[#This Row],[Corporation Tax]:[Other Taxes]])-actual1[[#This Row],[Surcharge for financing of NCCF]]-actual1[[#This Row],[Devolution to State]]+SUM(P125:R125)+SUM(S125:T125))</f>
        <v>276945</v>
      </c>
      <c r="AH125">
        <f>AG125-actual1[[#This Row],[Interest Payments]]</f>
        <v>-50942</v>
      </c>
    </row>
    <row r="126" spans="1:34" x14ac:dyDescent="0.35">
      <c r="A126" s="44" t="s">
        <v>203</v>
      </c>
      <c r="B126" s="45" t="s">
        <v>229</v>
      </c>
      <c r="C126" s="44">
        <v>224639</v>
      </c>
      <c r="D126" s="44">
        <v>452286</v>
      </c>
      <c r="E126" s="44">
        <v>21607</v>
      </c>
      <c r="F126" s="44">
        <v>371222</v>
      </c>
      <c r="G126" s="44">
        <v>-2446</v>
      </c>
      <c r="H126" s="44">
        <v>1286</v>
      </c>
      <c r="I126" s="44">
        <v>62462</v>
      </c>
      <c r="J126" s="44">
        <v>94329</v>
      </c>
      <c r="K126" s="44">
        <v>104006</v>
      </c>
      <c r="L126" s="44">
        <v>32</v>
      </c>
      <c r="M126" s="44">
        <v>3299</v>
      </c>
      <c r="N126" s="44">
        <v>3160</v>
      </c>
      <c r="O126" s="44">
        <v>455717</v>
      </c>
      <c r="P126" s="44">
        <v>17530</v>
      </c>
      <c r="Q126" s="44">
        <v>239695</v>
      </c>
      <c r="R126" s="44">
        <v>77242</v>
      </c>
      <c r="S126" s="44">
        <v>8046</v>
      </c>
      <c r="T126" s="44">
        <v>820</v>
      </c>
      <c r="U126" s="44">
        <v>1351367</v>
      </c>
      <c r="V126" s="44">
        <v>400160</v>
      </c>
      <c r="W126" s="44">
        <v>120192</v>
      </c>
      <c r="X126" s="44">
        <v>182174</v>
      </c>
      <c r="Y126" s="44">
        <v>126598</v>
      </c>
      <c r="Z126" s="44">
        <v>178625</v>
      </c>
      <c r="AA126" s="44">
        <v>111066</v>
      </c>
      <c r="AB126" s="44">
        <v>300987</v>
      </c>
      <c r="AE126">
        <f>actual1[[#This Row],[Revenue Expenditure]]-(SUM(actual1[[#This Row],[Corporation Tax]:[Other Taxes]])-actual1[[#This Row],[Surcharge for financing of NCCF]]-actual1[[#This Row],[Devolution to State]]+SUM(P126:R126))</f>
        <v>143055</v>
      </c>
      <c r="AF126">
        <f>AE126-actual1[[#This Row],[Grants for Creation of Capital Assets]]</f>
        <v>31989</v>
      </c>
      <c r="AG126">
        <f>U126+AB126-(SUM(actual1[[#This Row],[Corporation Tax]:[Other Taxes]])-actual1[[#This Row],[Surcharge for financing of NCCF]]-actual1[[#This Row],[Devolution to State]]+SUM(P126:R126)+SUM(S126:T126))</f>
        <v>435176</v>
      </c>
      <c r="AH126">
        <f>AG126-actual1[[#This Row],[Interest Payments]]</f>
        <v>35016</v>
      </c>
    </row>
    <row r="127" spans="1:34" x14ac:dyDescent="0.35">
      <c r="A127" s="44" t="s">
        <v>203</v>
      </c>
      <c r="B127" s="45" t="s">
        <v>230</v>
      </c>
      <c r="C127" s="44">
        <v>461506</v>
      </c>
      <c r="D127" s="44">
        <v>564517</v>
      </c>
      <c r="E127" s="44">
        <v>26156</v>
      </c>
      <c r="F127" s="44">
        <v>441220</v>
      </c>
      <c r="G127" s="44">
        <v>-846</v>
      </c>
      <c r="H127" s="44">
        <v>1624</v>
      </c>
      <c r="I127" s="44">
        <v>74323</v>
      </c>
      <c r="J127" s="44">
        <v>112959</v>
      </c>
      <c r="K127" s="44">
        <v>128466</v>
      </c>
      <c r="L127" s="44">
        <v>94</v>
      </c>
      <c r="M127" s="44">
        <v>3823</v>
      </c>
      <c r="N127" s="44">
        <v>3880</v>
      </c>
      <c r="O127" s="44">
        <v>544803</v>
      </c>
      <c r="P127" s="44">
        <v>20355</v>
      </c>
      <c r="Q127" s="44">
        <v>250633</v>
      </c>
      <c r="R127" s="44">
        <v>86226</v>
      </c>
      <c r="S127" s="44">
        <v>11434</v>
      </c>
      <c r="T127" s="44">
        <v>3167</v>
      </c>
      <c r="U127" s="44">
        <v>1696528</v>
      </c>
      <c r="V127" s="44">
        <v>515010</v>
      </c>
      <c r="W127" s="44">
        <v>145181</v>
      </c>
      <c r="X127" s="44">
        <v>239296</v>
      </c>
      <c r="Y127" s="44">
        <v>148989</v>
      </c>
      <c r="Z127" s="44">
        <v>214658</v>
      </c>
      <c r="AA127" s="44">
        <v>145208</v>
      </c>
      <c r="AB127" s="44">
        <v>414966</v>
      </c>
      <c r="AE127">
        <f>actual1[[#This Row],[Revenue Expenditure]]-(SUM(actual1[[#This Row],[Corporation Tax]:[Other Taxes]])-actual1[[#This Row],[Surcharge for financing of NCCF]]-actual1[[#This Row],[Devolution to State]]+SUM(P127:R127))</f>
        <v>74155</v>
      </c>
      <c r="AF127">
        <f>AE127-actual1[[#This Row],[Grants for Creation of Capital Assets]]</f>
        <v>-71053</v>
      </c>
      <c r="AG127">
        <f>U127+AB127-(SUM(actual1[[#This Row],[Corporation Tax]:[Other Taxes]])-actual1[[#This Row],[Surcharge for financing of NCCF]]-actual1[[#This Row],[Devolution to State]]+SUM(P127:R127)+SUM(S127:T127))</f>
        <v>474520</v>
      </c>
      <c r="AH127">
        <f>AG127-actual1[[#This Row],[Interest Payments]]</f>
        <v>-40490</v>
      </c>
    </row>
    <row r="128" spans="1:34" x14ac:dyDescent="0.35">
      <c r="A128" s="44" t="s">
        <v>203</v>
      </c>
      <c r="B128" s="45" t="s">
        <v>231</v>
      </c>
      <c r="C128" s="44">
        <v>487862</v>
      </c>
      <c r="D128" s="44">
        <v>626454</v>
      </c>
      <c r="E128" s="44">
        <v>30687</v>
      </c>
      <c r="F128" s="44">
        <v>521599</v>
      </c>
      <c r="G128" s="44">
        <v>-10448</v>
      </c>
      <c r="H128" s="44">
        <v>1947</v>
      </c>
      <c r="I128" s="44">
        <v>86482</v>
      </c>
      <c r="J128" s="44">
        <v>132112</v>
      </c>
      <c r="K128" s="44">
        <v>151190</v>
      </c>
      <c r="L128" s="44">
        <v>87</v>
      </c>
      <c r="M128" s="44">
        <v>4662</v>
      </c>
      <c r="N128" s="44">
        <v>4685</v>
      </c>
      <c r="O128" s="44">
        <v>722976</v>
      </c>
      <c r="P128" s="44">
        <v>22701</v>
      </c>
      <c r="Q128" s="44">
        <v>264278</v>
      </c>
      <c r="R128" s="44">
        <v>112315</v>
      </c>
      <c r="S128" s="44">
        <v>13275</v>
      </c>
      <c r="T128" s="44">
        <v>5532</v>
      </c>
      <c r="U128" s="44">
        <v>2007353</v>
      </c>
      <c r="V128" s="44">
        <v>596347</v>
      </c>
      <c r="W128" s="44">
        <v>170571</v>
      </c>
      <c r="X128" s="44">
        <v>286362</v>
      </c>
      <c r="Y128" s="44">
        <v>170215</v>
      </c>
      <c r="Z128" s="44">
        <v>248670</v>
      </c>
      <c r="AA128" s="44">
        <v>163690</v>
      </c>
      <c r="AB128" s="44">
        <v>466545</v>
      </c>
      <c r="AE128">
        <f>actual1[[#This Row],[Revenue Expenditure]]-(SUM(actual1[[#This Row],[Corporation Tax]:[Other Taxes]])-actual1[[#This Row],[Surcharge for financing of NCCF]]-actual1[[#This Row],[Devolution to State]]+SUM(P128:R128))</f>
        <v>303086</v>
      </c>
      <c r="AF128">
        <f>AE128-actual1[[#This Row],[Grants for Creation of Capital Assets]]</f>
        <v>139396</v>
      </c>
      <c r="AG128">
        <f>U128+AB128-(SUM(actual1[[#This Row],[Corporation Tax]:[Other Taxes]])-actual1[[#This Row],[Surcharge for financing of NCCF]]-actual1[[#This Row],[Devolution to State]]+SUM(P128:R128)+SUM(S128:T128))</f>
        <v>750824</v>
      </c>
      <c r="AH128">
        <f>AG128-actual1[[#This Row],[Interest Payments]]</f>
        <v>154477</v>
      </c>
    </row>
    <row r="129" spans="1:34" x14ac:dyDescent="0.35">
      <c r="A129" s="44" t="s">
        <v>203</v>
      </c>
      <c r="B129" s="45" t="s">
        <v>232</v>
      </c>
      <c r="C129" s="44">
        <v>511636</v>
      </c>
      <c r="D129" s="44">
        <v>700775</v>
      </c>
      <c r="E129" s="44">
        <v>35932</v>
      </c>
      <c r="F129" s="44">
        <v>603873</v>
      </c>
      <c r="G129" s="44">
        <v>-27854</v>
      </c>
      <c r="H129" s="44">
        <v>2427</v>
      </c>
      <c r="I129" s="44">
        <v>99598</v>
      </c>
      <c r="J129" s="44">
        <v>154142</v>
      </c>
      <c r="K129" s="44">
        <v>175100</v>
      </c>
      <c r="L129" s="44">
        <v>96</v>
      </c>
      <c r="M129" s="44">
        <v>5250</v>
      </c>
      <c r="N129" s="44">
        <v>5477</v>
      </c>
      <c r="O129" s="44">
        <v>812063</v>
      </c>
      <c r="P129" s="44">
        <v>26842</v>
      </c>
      <c r="Q129" s="44">
        <v>279061</v>
      </c>
      <c r="R129" s="44">
        <v>121117</v>
      </c>
      <c r="S129" s="44">
        <v>14972</v>
      </c>
      <c r="T129" s="44">
        <v>8981</v>
      </c>
      <c r="U129" s="44">
        <v>2227502</v>
      </c>
      <c r="V129" s="44">
        <v>658494</v>
      </c>
      <c r="W129" s="44">
        <v>194107</v>
      </c>
      <c r="X129" s="44">
        <v>306087</v>
      </c>
      <c r="Y129" s="44">
        <v>193346</v>
      </c>
      <c r="Z129" s="44">
        <v>279211</v>
      </c>
      <c r="AA129" s="44">
        <v>178614</v>
      </c>
      <c r="AB129" s="44">
        <v>513500</v>
      </c>
      <c r="AE129">
        <f>actual1[[#This Row],[Revenue Expenditure]]-(SUM(actual1[[#This Row],[Corporation Tax]:[Other Taxes]])-actual1[[#This Row],[Surcharge for financing of NCCF]]-actual1[[#This Row],[Devolution to State]]+SUM(P129:R129))</f>
        <v>357047</v>
      </c>
      <c r="AF129">
        <f>AE129-actual1[[#This Row],[Grants for Creation of Capital Assets]]</f>
        <v>178433</v>
      </c>
      <c r="AG129">
        <f>U129+AB129-(SUM(actual1[[#This Row],[Corporation Tax]:[Other Taxes]])-actual1[[#This Row],[Surcharge for financing of NCCF]]-actual1[[#This Row],[Devolution to State]]+SUM(P129:R129)+SUM(S129:T129))</f>
        <v>846594</v>
      </c>
      <c r="AH129">
        <f>AG129-actual1[[#This Row],[Interest Payments]]</f>
        <v>188100</v>
      </c>
    </row>
    <row r="130" spans="1:34" x14ac:dyDescent="0.35">
      <c r="A130" s="44" t="s">
        <v>203</v>
      </c>
      <c r="B130" s="45" t="s">
        <v>233</v>
      </c>
      <c r="C130" s="44">
        <v>740926</v>
      </c>
      <c r="D130" s="44">
        <v>837817</v>
      </c>
      <c r="E130" s="44">
        <v>40136</v>
      </c>
      <c r="F130" s="44">
        <v>673256</v>
      </c>
      <c r="G130" s="44">
        <v>-31590</v>
      </c>
      <c r="H130" s="44">
        <v>2696</v>
      </c>
      <c r="I130" s="44">
        <v>111556</v>
      </c>
      <c r="J130" s="44">
        <v>170175</v>
      </c>
      <c r="K130" s="44">
        <v>199630</v>
      </c>
      <c r="L130" s="44">
        <v>36</v>
      </c>
      <c r="M130" s="44">
        <v>5790</v>
      </c>
      <c r="N130" s="44">
        <v>6225</v>
      </c>
      <c r="O130" s="44">
        <v>901150</v>
      </c>
      <c r="P130" s="44">
        <v>29903</v>
      </c>
      <c r="Q130" s="44">
        <v>284772</v>
      </c>
      <c r="R130" s="44">
        <v>132982</v>
      </c>
      <c r="S130" s="44">
        <v>18301</v>
      </c>
      <c r="T130" s="44">
        <v>8994</v>
      </c>
      <c r="U130" s="44">
        <v>2546757</v>
      </c>
      <c r="V130" s="44">
        <v>808313</v>
      </c>
      <c r="W130" s="44">
        <v>215520</v>
      </c>
      <c r="X130" s="44">
        <v>348245</v>
      </c>
      <c r="Y130" s="44">
        <v>215263</v>
      </c>
      <c r="Z130" s="44">
        <v>306994</v>
      </c>
      <c r="AA130" s="44">
        <v>199530</v>
      </c>
      <c r="AB130" s="44">
        <v>685337</v>
      </c>
      <c r="AE130">
        <f>actual1[[#This Row],[Revenue Expenditure]]-(SUM(actual1[[#This Row],[Corporation Tax]:[Other Taxes]])-actual1[[#This Row],[Surcharge for financing of NCCF]]-actual1[[#This Row],[Devolution to State]]+SUM(P130:R130))</f>
        <v>256047</v>
      </c>
      <c r="AF130">
        <f>AE130-actual1[[#This Row],[Grants for Creation of Capital Assets]]</f>
        <v>56517</v>
      </c>
      <c r="AG130">
        <f>U130+AB130-(SUM(actual1[[#This Row],[Corporation Tax]:[Other Taxes]])-actual1[[#This Row],[Surcharge for financing of NCCF]]-actual1[[#This Row],[Devolution to State]]+SUM(P130:R130)+SUM(S130:T130))</f>
        <v>914089</v>
      </c>
      <c r="AH130">
        <f>AG130-actual1[[#This Row],[Interest Payments]]</f>
        <v>105776</v>
      </c>
    </row>
    <row r="131" spans="1:34" x14ac:dyDescent="0.35">
      <c r="A131" s="44" t="s">
        <v>203</v>
      </c>
      <c r="B131" s="45" t="s">
        <v>234</v>
      </c>
      <c r="C131" s="44">
        <v>751319</v>
      </c>
      <c r="D131" s="44">
        <v>912792</v>
      </c>
      <c r="E131" s="44">
        <v>44541</v>
      </c>
      <c r="F131" s="44">
        <v>752514</v>
      </c>
      <c r="G131" s="44">
        <v>-27610</v>
      </c>
      <c r="H131" s="44">
        <v>3560</v>
      </c>
      <c r="I131" s="44">
        <v>124971</v>
      </c>
      <c r="J131" s="44">
        <v>190176</v>
      </c>
      <c r="K131" s="44">
        <v>225902</v>
      </c>
      <c r="L131" s="44">
        <v>7</v>
      </c>
      <c r="M131" s="44">
        <f>6176+8</f>
        <v>6184</v>
      </c>
      <c r="N131" s="44">
        <v>6619</v>
      </c>
      <c r="O131" s="44">
        <v>1074179</v>
      </c>
      <c r="P131" s="44">
        <v>32162</v>
      </c>
      <c r="Q131" s="44">
        <v>285868</v>
      </c>
      <c r="R131" s="44">
        <v>149600</v>
      </c>
      <c r="S131" s="44">
        <v>20205</v>
      </c>
      <c r="T131" s="44">
        <v>9019</v>
      </c>
      <c r="U131" s="44">
        <v>2812595</v>
      </c>
      <c r="V131" s="44">
        <v>875461</v>
      </c>
      <c r="W131" s="44">
        <v>242924</v>
      </c>
      <c r="X131" s="44">
        <v>410867</v>
      </c>
      <c r="Y131" s="44">
        <v>237358</v>
      </c>
      <c r="Z131" s="44">
        <v>337733</v>
      </c>
      <c r="AA131" s="44">
        <v>218396</v>
      </c>
      <c r="AB131" s="44">
        <v>757359</v>
      </c>
      <c r="AE131">
        <f>actual1[[#This Row],[Revenue Expenditure]]-(SUM(actual1[[#This Row],[Corporation Tax]:[Other Taxes]])-actual1[[#This Row],[Surcharge for financing of NCCF]]-actual1[[#This Row],[Devolution to State]]+SUM(P131:R131))</f>
        <v>441407</v>
      </c>
      <c r="AF131">
        <f>AE131-actual1[[#This Row],[Grants for Creation of Capital Assets]]</f>
        <v>223011</v>
      </c>
      <c r="AG131">
        <f>U131+AB131-(SUM(actual1[[#This Row],[Corporation Tax]:[Other Taxes]])-actual1[[#This Row],[Surcharge for financing of NCCF]]-actual1[[#This Row],[Devolution to State]]+SUM(P131:R131)+SUM(S131:T131))</f>
        <v>1169542</v>
      </c>
      <c r="AH131">
        <f>AG131-actual1[[#This Row],[Interest Payments]]</f>
        <v>294081</v>
      </c>
    </row>
    <row r="132" spans="1:34" x14ac:dyDescent="0.35">
      <c r="A132" s="44" t="s">
        <v>203</v>
      </c>
      <c r="B132" s="45" t="s">
        <v>235</v>
      </c>
      <c r="C132" s="44">
        <v>767153</v>
      </c>
      <c r="D132" s="44">
        <v>991489</v>
      </c>
      <c r="E132" s="44">
        <v>49227</v>
      </c>
      <c r="F132" s="44">
        <v>830137</v>
      </c>
      <c r="G132" s="44">
        <v>-37608</v>
      </c>
      <c r="H132" s="44">
        <v>3864</v>
      </c>
      <c r="I132" s="44">
        <v>138327</v>
      </c>
      <c r="J132" s="44">
        <v>204612</v>
      </c>
      <c r="K132" s="44">
        <v>250194</v>
      </c>
      <c r="L132" s="44">
        <v>9</v>
      </c>
      <c r="M132" s="44">
        <f>6813+9</f>
        <v>6822</v>
      </c>
      <c r="N132" s="44">
        <v>8060</v>
      </c>
      <c r="O132" s="44">
        <v>1180532</v>
      </c>
      <c r="P132" s="44">
        <v>35204</v>
      </c>
      <c r="Q132" s="44">
        <v>300086</v>
      </c>
      <c r="R132" s="44">
        <v>158029</v>
      </c>
      <c r="S132" s="44">
        <v>21655</v>
      </c>
      <c r="T132" s="44">
        <v>15709</v>
      </c>
      <c r="U132" s="44">
        <v>3081282</v>
      </c>
      <c r="V132" s="44">
        <v>952844</v>
      </c>
      <c r="W132" s="44">
        <v>268468</v>
      </c>
      <c r="X132" s="44">
        <v>444432</v>
      </c>
      <c r="Y132" s="44">
        <v>261414</v>
      </c>
      <c r="Z132" s="44">
        <v>363005</v>
      </c>
      <c r="AA132" s="44">
        <v>233921</v>
      </c>
      <c r="AB132" s="44">
        <v>811887</v>
      </c>
      <c r="AE132">
        <f>actual1[[#This Row],[Revenue Expenditure]]-(SUM(actual1[[#This Row],[Corporation Tax]:[Other Taxes]])-actual1[[#This Row],[Surcharge for financing of NCCF]]-actual1[[#This Row],[Devolution to State]]+SUM(P132:R132))</f>
        <v>572329</v>
      </c>
      <c r="AF132">
        <f>AE132-actual1[[#This Row],[Grants for Creation of Capital Assets]]</f>
        <v>338408</v>
      </c>
      <c r="AG132">
        <f>U132+AB132-(SUM(actual1[[#This Row],[Corporation Tax]:[Other Taxes]])-actual1[[#This Row],[Surcharge for financing of NCCF]]-actual1[[#This Row],[Devolution to State]]+SUM(P132:R132)+SUM(S132:T132))</f>
        <v>1346852</v>
      </c>
      <c r="AH132">
        <f>AG132-actual1[[#This Row],[Interest Payments]]</f>
        <v>394008</v>
      </c>
    </row>
    <row r="133" spans="1:34" x14ac:dyDescent="0.35">
      <c r="A133" s="44" t="s">
        <v>203</v>
      </c>
      <c r="B133" s="45" t="s">
        <v>236</v>
      </c>
      <c r="C133" s="44">
        <v>986767</v>
      </c>
      <c r="D133" s="44">
        <v>1182964</v>
      </c>
      <c r="E133" s="44">
        <v>52197</v>
      </c>
      <c r="F133" s="44">
        <v>908980</v>
      </c>
      <c r="G133" s="44">
        <v>-32995</v>
      </c>
      <c r="H133" s="44">
        <v>5094</v>
      </c>
      <c r="I133" s="44">
        <v>150506</v>
      </c>
      <c r="J133" s="44">
        <v>232896</v>
      </c>
      <c r="K133" s="44">
        <v>300253</v>
      </c>
      <c r="L133" s="44">
        <v>-16</v>
      </c>
      <c r="M133" s="44">
        <f>8570+9</f>
        <v>8579</v>
      </c>
      <c r="N133" s="44">
        <v>9455</v>
      </c>
      <c r="O133" s="44">
        <v>1286885</v>
      </c>
      <c r="P133" s="44">
        <v>41223</v>
      </c>
      <c r="Q133" s="44">
        <v>308423</v>
      </c>
      <c r="R133" s="44">
        <v>187898</v>
      </c>
      <c r="S133" s="44">
        <v>24616</v>
      </c>
      <c r="T133" s="44">
        <v>17202</v>
      </c>
      <c r="U133" s="44">
        <v>3603510</v>
      </c>
      <c r="V133" s="44">
        <v>1116343</v>
      </c>
      <c r="W133" s="44">
        <v>290769</v>
      </c>
      <c r="X133" s="44">
        <v>589239</v>
      </c>
      <c r="Y133" s="44">
        <v>273772</v>
      </c>
      <c r="Z133" s="44">
        <v>388036</v>
      </c>
      <c r="AA133" s="44">
        <v>272775</v>
      </c>
      <c r="AB133" s="44">
        <v>1052007</v>
      </c>
      <c r="AE133">
        <f>actual1[[#This Row],[Revenue Expenditure]]-(SUM(actual1[[#This Row],[Corporation Tax]:[Other Taxes]])-actual1[[#This Row],[Surcharge for financing of NCCF]]-actual1[[#This Row],[Devolution to State]]+SUM(P133:R133))</f>
        <v>567081</v>
      </c>
      <c r="AF133">
        <f>AE133-actual1[[#This Row],[Grants for Creation of Capital Assets]]</f>
        <v>294306</v>
      </c>
      <c r="AG133">
        <f>U133+AB133-(SUM(actual1[[#This Row],[Corporation Tax]:[Other Taxes]])-actual1[[#This Row],[Surcharge for financing of NCCF]]-actual1[[#This Row],[Devolution to State]]+SUM(P133:R133)+SUM(S133:T133))</f>
        <v>1577270</v>
      </c>
      <c r="AH133">
        <f>AG133-actual1[[#This Row],[Interest Payments]]</f>
        <v>460927</v>
      </c>
    </row>
    <row r="134" spans="1:34" x14ac:dyDescent="0.35">
      <c r="A134" s="44" t="s">
        <v>237</v>
      </c>
      <c r="B134" s="45" t="s">
        <v>238</v>
      </c>
      <c r="C134" s="44">
        <v>21461</v>
      </c>
      <c r="D134" s="44">
        <v>109626</v>
      </c>
      <c r="E134" s="44">
        <v>3786</v>
      </c>
      <c r="F134" s="44">
        <v>78240</v>
      </c>
      <c r="G134" s="44">
        <v>31097</v>
      </c>
      <c r="H134" s="44">
        <v>119</v>
      </c>
      <c r="I134" s="44">
        <v>12696</v>
      </c>
      <c r="J134" s="44">
        <v>13934</v>
      </c>
      <c r="K134" s="44">
        <v>-39</v>
      </c>
      <c r="L134" s="44">
        <v>-39</v>
      </c>
      <c r="M134" s="44">
        <f>2+595</f>
        <v>597</v>
      </c>
      <c r="N134" s="44">
        <v>74</v>
      </c>
      <c r="O134" s="44">
        <v>81735</v>
      </c>
      <c r="P134" s="44">
        <v>1433</v>
      </c>
      <c r="Q134" s="44">
        <v>1916</v>
      </c>
      <c r="R134" s="44">
        <v>63811</v>
      </c>
      <c r="S134" s="44">
        <v>1048</v>
      </c>
      <c r="T134" s="44">
        <v>21411</v>
      </c>
      <c r="U134" s="44">
        <v>305830</v>
      </c>
      <c r="V134" s="44">
        <v>93460</v>
      </c>
      <c r="W134" s="44">
        <v>32918</v>
      </c>
      <c r="X134" s="44">
        <v>15213</v>
      </c>
      <c r="Y134" s="44">
        <v>38704</v>
      </c>
      <c r="Z134" s="44">
        <v>28955</v>
      </c>
      <c r="AA134" s="44">
        <v>18578</v>
      </c>
      <c r="AB134" s="44">
        <v>159790</v>
      </c>
      <c r="AE134">
        <f>actual1[[#This Row],[Revenue Expenditure]]-(SUM(actual1[[#This Row],[Corporation Tax]:[Other Taxes]])-actual1[[#This Row],[Surcharge for financing of NCCF]]-actual1[[#This Row],[Devolution to State]]+SUM(P134:R134))</f>
        <v>49001</v>
      </c>
      <c r="AF134">
        <f>AE134-actual1[[#This Row],[Grants for Creation of Capital Assets]]</f>
        <v>30423</v>
      </c>
      <c r="AG134">
        <f>U134+AB134-(SUM(actual1[[#This Row],[Corporation Tax]:[Other Taxes]])-actual1[[#This Row],[Surcharge for financing of NCCF]]-actual1[[#This Row],[Devolution to State]]+SUM(P134:R134)+SUM(S134:T134))</f>
        <v>186332</v>
      </c>
      <c r="AH134">
        <f>AG134-actual1[[#This Row],[Interest Payments]]</f>
        <v>92872</v>
      </c>
    </row>
    <row r="135" spans="1:34" x14ac:dyDescent="0.35">
      <c r="A135" s="44" t="s">
        <v>237</v>
      </c>
      <c r="B135" s="45" t="s">
        <v>239</v>
      </c>
      <c r="C135" s="44">
        <v>44961</v>
      </c>
      <c r="D135" s="44">
        <v>191816</v>
      </c>
      <c r="E135" s="44">
        <v>8086</v>
      </c>
      <c r="F135" s="44">
        <v>154984</v>
      </c>
      <c r="G135" s="44">
        <v>33430</v>
      </c>
      <c r="H135" s="44">
        <v>491</v>
      </c>
      <c r="I135" s="44">
        <v>25006</v>
      </c>
      <c r="J135" s="44">
        <v>29254</v>
      </c>
      <c r="K135" s="44">
        <v>26399</v>
      </c>
      <c r="L135" s="44">
        <v>-168</v>
      </c>
      <c r="M135" s="44">
        <f>968+4</f>
        <v>972</v>
      </c>
      <c r="N135" s="44">
        <v>898</v>
      </c>
      <c r="O135" s="44">
        <v>163471</v>
      </c>
      <c r="P135" s="44">
        <v>6634</v>
      </c>
      <c r="Q135" s="44">
        <v>278702</v>
      </c>
      <c r="R135" s="44">
        <v>71541</v>
      </c>
      <c r="S135" s="44">
        <v>2606</v>
      </c>
      <c r="T135" s="44">
        <v>22618</v>
      </c>
      <c r="U135" s="44">
        <v>524772</v>
      </c>
      <c r="V135" s="44">
        <v>147788</v>
      </c>
      <c r="W135" s="44">
        <v>60306</v>
      </c>
      <c r="X135" s="44">
        <v>33217</v>
      </c>
      <c r="Y135" s="44">
        <v>62361</v>
      </c>
      <c r="Z135" s="44">
        <v>51253</v>
      </c>
      <c r="AA135" s="44">
        <v>39084</v>
      </c>
      <c r="AB135" s="44">
        <v>221354</v>
      </c>
      <c r="AE135">
        <f>actual1[[#This Row],[Revenue Expenditure]]-(SUM(actual1[[#This Row],[Corporation Tax]:[Other Taxes]])-actual1[[#This Row],[Surcharge for financing of NCCF]]-actual1[[#This Row],[Devolution to State]]+SUM(P135:R135))</f>
        <v>-182967</v>
      </c>
      <c r="AF135">
        <f>AE135-actual1[[#This Row],[Grants for Creation of Capital Assets]]</f>
        <v>-222051</v>
      </c>
      <c r="AG135">
        <f>U135+AB135-(SUM(actual1[[#This Row],[Corporation Tax]:[Other Taxes]])-actual1[[#This Row],[Surcharge for financing of NCCF]]-actual1[[#This Row],[Devolution to State]]+SUM(P135:R135)+SUM(S135:T135))</f>
        <v>13163</v>
      </c>
      <c r="AH135">
        <f>AG135-actual1[[#This Row],[Interest Payments]]</f>
        <v>-134625</v>
      </c>
    </row>
    <row r="136" spans="1:34" x14ac:dyDescent="0.35">
      <c r="A136" s="44" t="s">
        <v>237</v>
      </c>
      <c r="B136" s="45" t="s">
        <v>240</v>
      </c>
      <c r="C136" s="44">
        <v>172749</v>
      </c>
      <c r="D136" s="44">
        <v>285829</v>
      </c>
      <c r="E136" s="44">
        <v>13015</v>
      </c>
      <c r="F136" s="44">
        <v>231723</v>
      </c>
      <c r="G136" s="44">
        <v>27312</v>
      </c>
      <c r="H136" s="44">
        <v>779</v>
      </c>
      <c r="I136" s="44">
        <v>38325</v>
      </c>
      <c r="J136" s="44">
        <v>42414</v>
      </c>
      <c r="K136" s="44">
        <v>55605</v>
      </c>
      <c r="L136" s="44">
        <v>-152</v>
      </c>
      <c r="M136" s="44">
        <f>1406+4</f>
        <v>1410</v>
      </c>
      <c r="N136" s="44">
        <v>1752</v>
      </c>
      <c r="O136" s="44">
        <v>326941</v>
      </c>
      <c r="P136" s="44">
        <v>9704</v>
      </c>
      <c r="Q136" s="44">
        <v>281745</v>
      </c>
      <c r="R136" s="44">
        <v>81612</v>
      </c>
      <c r="S136" s="44">
        <v>5395</v>
      </c>
      <c r="T136" s="44">
        <v>22623</v>
      </c>
      <c r="U136" s="44">
        <v>946995</v>
      </c>
      <c r="V136" s="44">
        <v>386037</v>
      </c>
      <c r="W136" s="44">
        <v>84495</v>
      </c>
      <c r="X136" s="44">
        <v>72283</v>
      </c>
      <c r="Y136" s="44">
        <v>84899</v>
      </c>
      <c r="Z136" s="44">
        <v>83554</v>
      </c>
      <c r="AA136" s="44">
        <v>75392</v>
      </c>
      <c r="AB136" s="44">
        <v>275132</v>
      </c>
      <c r="AE136">
        <f>actual1[[#This Row],[Revenue Expenditure]]-(SUM(actual1[[#This Row],[Corporation Tax]:[Other Taxes]])-actual1[[#This Row],[Surcharge for financing of NCCF]]-actual1[[#This Row],[Devolution to State]]+SUM(P136:R136))</f>
        <v>33618</v>
      </c>
      <c r="AF136">
        <f>AE136-actual1[[#This Row],[Grants for Creation of Capital Assets]]</f>
        <v>-41774</v>
      </c>
      <c r="AG136">
        <f>U136+AB136-(SUM(actual1[[#This Row],[Corporation Tax]:[Other Taxes]])-actual1[[#This Row],[Surcharge for financing of NCCF]]-actual1[[#This Row],[Devolution to State]]+SUM(P136:R136)+SUM(S136:T136))</f>
        <v>280732</v>
      </c>
      <c r="AH136">
        <f>AG136-actual1[[#This Row],[Interest Payments]]</f>
        <v>-105305</v>
      </c>
    </row>
    <row r="137" spans="1:34" x14ac:dyDescent="0.35">
      <c r="A137" s="44" t="s">
        <v>237</v>
      </c>
      <c r="B137" s="45" t="s">
        <v>241</v>
      </c>
      <c r="C137" s="44">
        <v>198589</v>
      </c>
      <c r="D137" s="44">
        <v>355315</v>
      </c>
      <c r="E137" s="44">
        <v>17882</v>
      </c>
      <c r="F137" s="44">
        <v>311625</v>
      </c>
      <c r="G137" s="44">
        <v>11907</v>
      </c>
      <c r="H137" s="44">
        <v>1115</v>
      </c>
      <c r="I137" s="44">
        <v>50305</v>
      </c>
      <c r="J137" s="44">
        <v>60530</v>
      </c>
      <c r="K137" s="44">
        <v>83963</v>
      </c>
      <c r="L137" s="44">
        <v>-168</v>
      </c>
      <c r="M137" s="44">
        <f>1842+5</f>
        <v>1847</v>
      </c>
      <c r="N137" s="44">
        <v>2554</v>
      </c>
      <c r="O137" s="44">
        <v>428544</v>
      </c>
      <c r="P137" s="44">
        <v>11792</v>
      </c>
      <c r="Q137" s="44">
        <v>293621</v>
      </c>
      <c r="R137" s="44">
        <v>98195</v>
      </c>
      <c r="S137" s="44">
        <v>7138</v>
      </c>
      <c r="T137" s="44">
        <v>22651</v>
      </c>
      <c r="U137" s="44">
        <v>1216699</v>
      </c>
      <c r="V137" s="44">
        <v>446690</v>
      </c>
      <c r="W137" s="44">
        <v>111673</v>
      </c>
      <c r="X137" s="44">
        <v>105927</v>
      </c>
      <c r="Y137" s="44">
        <v>108610</v>
      </c>
      <c r="Z137" s="44">
        <v>113592</v>
      </c>
      <c r="AA137" s="44">
        <v>99250</v>
      </c>
      <c r="AB137" s="44">
        <v>346926</v>
      </c>
      <c r="AE137">
        <f>actual1[[#This Row],[Revenue Expenditure]]-(SUM(actual1[[#This Row],[Corporation Tax]:[Other Taxes]])-actual1[[#This Row],[Surcharge for financing of NCCF]]-actual1[[#This Row],[Devolution to State]]+SUM(P137:R137))</f>
        <v>151279</v>
      </c>
      <c r="AF137">
        <f>AE137-actual1[[#This Row],[Grants for Creation of Capital Assets]]</f>
        <v>52029</v>
      </c>
      <c r="AG137">
        <f>U137+AB137-(SUM(actual1[[#This Row],[Corporation Tax]:[Other Taxes]])-actual1[[#This Row],[Surcharge for financing of NCCF]]-actual1[[#This Row],[Devolution to State]]+SUM(P137:R137)+SUM(S137:T137))</f>
        <v>468416</v>
      </c>
      <c r="AH137">
        <f>AG137-actual1[[#This Row],[Interest Payments]]</f>
        <v>21726</v>
      </c>
    </row>
    <row r="138" spans="1:34" x14ac:dyDescent="0.35">
      <c r="A138" s="44" t="s">
        <v>237</v>
      </c>
      <c r="B138" s="45" t="s">
        <v>242</v>
      </c>
      <c r="C138" s="44">
        <v>229295</v>
      </c>
      <c r="D138" s="44">
        <v>441013</v>
      </c>
      <c r="E138" s="44">
        <v>22379</v>
      </c>
      <c r="F138" s="44">
        <v>390502</v>
      </c>
      <c r="G138" s="44">
        <v>370</v>
      </c>
      <c r="H138" s="44">
        <v>1487</v>
      </c>
      <c r="I138" s="44">
        <v>61960</v>
      </c>
      <c r="J138" s="44">
        <v>83062</v>
      </c>
      <c r="K138" s="44">
        <v>111927</v>
      </c>
      <c r="L138" s="44">
        <v>-241</v>
      </c>
      <c r="M138" s="44">
        <f>2203+6</f>
        <v>2209</v>
      </c>
      <c r="N138" s="44">
        <v>3408</v>
      </c>
      <c r="O138" s="44">
        <v>530148</v>
      </c>
      <c r="P138" s="44">
        <v>14776</v>
      </c>
      <c r="Q138" s="44">
        <v>308769</v>
      </c>
      <c r="R138" s="44">
        <v>116787</v>
      </c>
      <c r="S138" s="44">
        <v>8553</v>
      </c>
      <c r="T138" s="44">
        <v>23417</v>
      </c>
      <c r="U138" s="44">
        <v>1449283</v>
      </c>
      <c r="V138" s="44">
        <v>528668</v>
      </c>
      <c r="W138" s="44">
        <v>134274</v>
      </c>
      <c r="X138" s="44">
        <v>125106</v>
      </c>
      <c r="Y138" s="44">
        <v>132876</v>
      </c>
      <c r="Z138" s="44">
        <v>150377</v>
      </c>
      <c r="AA138" s="44">
        <v>110636</v>
      </c>
      <c r="AB138" s="44">
        <v>431579</v>
      </c>
      <c r="AE138">
        <f>actual1[[#This Row],[Revenue Expenditure]]-(SUM(actual1[[#This Row],[Corporation Tax]:[Other Taxes]])-actual1[[#This Row],[Surcharge for financing of NCCF]]-actual1[[#This Row],[Devolution to State]]+SUM(P138:R138))</f>
        <v>198544</v>
      </c>
      <c r="AF138">
        <f>AE138-actual1[[#This Row],[Grants for Creation of Capital Assets]]</f>
        <v>87908</v>
      </c>
      <c r="AG138">
        <f>U138+AB138-(SUM(actual1[[#This Row],[Corporation Tax]:[Other Taxes]])-actual1[[#This Row],[Surcharge for financing of NCCF]]-actual1[[#This Row],[Devolution to State]]+SUM(P138:R138)+SUM(S138:T138))</f>
        <v>598153</v>
      </c>
      <c r="AH138">
        <f>AG138-actual1[[#This Row],[Interest Payments]]</f>
        <v>69485</v>
      </c>
    </row>
    <row r="139" spans="1:34" x14ac:dyDescent="0.35">
      <c r="A139" s="44" t="s">
        <v>237</v>
      </c>
      <c r="B139" s="45" t="s">
        <v>243</v>
      </c>
      <c r="C139" s="44">
        <v>466634</v>
      </c>
      <c r="D139" s="44">
        <v>591014</v>
      </c>
      <c r="E139" s="44">
        <v>26309</v>
      </c>
      <c r="F139" s="44">
        <v>466736</v>
      </c>
      <c r="G139" s="44">
        <v>-8838</v>
      </c>
      <c r="H139" s="44">
        <v>2016</v>
      </c>
      <c r="I139" s="44">
        <v>73172</v>
      </c>
      <c r="J139" s="44">
        <v>107100</v>
      </c>
      <c r="K139" s="44">
        <v>138918</v>
      </c>
      <c r="L139" s="44">
        <v>-269</v>
      </c>
      <c r="M139" s="44">
        <f>2554+8</f>
        <v>2562</v>
      </c>
      <c r="N139" s="44">
        <v>4233</v>
      </c>
      <c r="O139" s="44">
        <v>631751</v>
      </c>
      <c r="P139" s="44">
        <v>18015</v>
      </c>
      <c r="Q139" s="44">
        <v>321512</v>
      </c>
      <c r="R139" s="44">
        <v>126549</v>
      </c>
      <c r="S139" s="44">
        <v>11353</v>
      </c>
      <c r="T139" s="44">
        <v>23417</v>
      </c>
      <c r="U139" s="44">
        <v>1722593</v>
      </c>
      <c r="V139" s="44">
        <v>578182</v>
      </c>
      <c r="W139" s="44">
        <v>158443</v>
      </c>
      <c r="X139" s="44">
        <v>160125</v>
      </c>
      <c r="Y139" s="44">
        <v>155362</v>
      </c>
      <c r="Z139" s="44">
        <v>202367</v>
      </c>
      <c r="AA139" s="44">
        <v>129914</v>
      </c>
      <c r="AB139" s="44">
        <v>580746</v>
      </c>
      <c r="AE139">
        <f>actual1[[#This Row],[Revenue Expenditure]]-(SUM(actual1[[#This Row],[Corporation Tax]:[Other Taxes]])-actual1[[#This Row],[Surcharge for financing of NCCF]]-actual1[[#This Row],[Devolution to State]]+SUM(P139:R139))</f>
        <v>27147</v>
      </c>
      <c r="AF139">
        <f>AE139-actual1[[#This Row],[Grants for Creation of Capital Assets]]</f>
        <v>-102767</v>
      </c>
      <c r="AG139">
        <f>U139+AB139-(SUM(actual1[[#This Row],[Corporation Tax]:[Other Taxes]])-actual1[[#This Row],[Surcharge for financing of NCCF]]-actual1[[#This Row],[Devolution to State]]+SUM(P139:R139)+SUM(S139:T139))</f>
        <v>573123</v>
      </c>
      <c r="AH139">
        <f>AG139-actual1[[#This Row],[Interest Payments]]</f>
        <v>-5059</v>
      </c>
    </row>
    <row r="140" spans="1:34" x14ac:dyDescent="0.35">
      <c r="A140" s="44" t="s">
        <v>237</v>
      </c>
      <c r="B140" s="45" t="s">
        <v>244</v>
      </c>
      <c r="C140" s="44">
        <v>513137</v>
      </c>
      <c r="D140" s="44">
        <v>669631</v>
      </c>
      <c r="E140" s="44">
        <v>30935</v>
      </c>
      <c r="F140" s="44">
        <v>553607</v>
      </c>
      <c r="G140" s="44">
        <v>-29806</v>
      </c>
      <c r="H140" s="44">
        <v>2538</v>
      </c>
      <c r="I140" s="44">
        <v>80503</v>
      </c>
      <c r="J140" s="44">
        <v>128821</v>
      </c>
      <c r="K140" s="44">
        <v>163206</v>
      </c>
      <c r="L140" s="44">
        <v>-1137</v>
      </c>
      <c r="M140" s="44">
        <f>2947+8</f>
        <v>2955</v>
      </c>
      <c r="N140" s="44">
        <v>5132</v>
      </c>
      <c r="O140" s="44">
        <v>834957</v>
      </c>
      <c r="P140" s="44">
        <v>20642</v>
      </c>
      <c r="Q140" s="44">
        <v>324197</v>
      </c>
      <c r="R140" s="44">
        <v>144240</v>
      </c>
      <c r="S140" s="44">
        <v>13392</v>
      </c>
      <c r="T140" s="44">
        <v>23703</v>
      </c>
      <c r="U140" s="44">
        <v>2007876</v>
      </c>
      <c r="V140" s="44">
        <v>673715</v>
      </c>
      <c r="W140" s="44">
        <v>184998</v>
      </c>
      <c r="X140" s="44">
        <v>189798</v>
      </c>
      <c r="Y140" s="44">
        <v>179522</v>
      </c>
      <c r="Z140" s="44">
        <v>246575</v>
      </c>
      <c r="AA140" s="44">
        <v>146949</v>
      </c>
      <c r="AB140" s="44">
        <v>617743</v>
      </c>
      <c r="AE140">
        <f>actual1[[#This Row],[Revenue Expenditure]]-(SUM(actual1[[#This Row],[Corporation Tax]:[Other Taxes]])-actual1[[#This Row],[Surcharge for financing of NCCF]]-actual1[[#This Row],[Devolution to State]]+SUM(P140:R140))</f>
        <v>244496</v>
      </c>
      <c r="AF140">
        <f>AE140-actual1[[#This Row],[Grants for Creation of Capital Assets]]</f>
        <v>97547</v>
      </c>
      <c r="AG140">
        <f>U140+AB140-(SUM(actual1[[#This Row],[Corporation Tax]:[Other Taxes]])-actual1[[#This Row],[Surcharge for financing of NCCF]]-actual1[[#This Row],[Devolution to State]]+SUM(P140:R140)+SUM(S140:T140))</f>
        <v>825144</v>
      </c>
      <c r="AH140">
        <f>AG140-actual1[[#This Row],[Interest Payments]]</f>
        <v>151429</v>
      </c>
    </row>
    <row r="141" spans="1:34" x14ac:dyDescent="0.35">
      <c r="A141" s="44" t="s">
        <v>237</v>
      </c>
      <c r="B141" s="45" t="s">
        <v>245</v>
      </c>
      <c r="C141" s="44">
        <v>551468</v>
      </c>
      <c r="D141" s="44">
        <v>748299</v>
      </c>
      <c r="E141" s="44">
        <v>35718</v>
      </c>
      <c r="F141" s="44">
        <v>636473</v>
      </c>
      <c r="G141" s="44">
        <v>-60520</v>
      </c>
      <c r="H141" s="44">
        <v>4235</v>
      </c>
      <c r="I141" s="44">
        <v>84404</v>
      </c>
      <c r="J141" s="44">
        <v>142864</v>
      </c>
      <c r="K141" s="44">
        <v>191297</v>
      </c>
      <c r="L141" s="44">
        <v>-1157</v>
      </c>
      <c r="M141" s="44">
        <f>3341+8</f>
        <v>3349</v>
      </c>
      <c r="N141" s="44">
        <v>5923</v>
      </c>
      <c r="O141" s="44">
        <v>936561</v>
      </c>
      <c r="P141" s="44">
        <v>24531</v>
      </c>
      <c r="Q141" s="44">
        <v>339542</v>
      </c>
      <c r="R141" s="44">
        <v>152293</v>
      </c>
      <c r="S141" s="44">
        <v>15210</v>
      </c>
      <c r="T141" s="44">
        <v>23717</v>
      </c>
      <c r="U141" s="44">
        <v>2267700</v>
      </c>
      <c r="V141" s="44">
        <v>745765</v>
      </c>
      <c r="W141" s="44">
        <v>204786</v>
      </c>
      <c r="X141" s="44">
        <v>218703</v>
      </c>
      <c r="Y141" s="44">
        <v>202207</v>
      </c>
      <c r="Z141" s="44">
        <v>288333</v>
      </c>
      <c r="AA141" s="44">
        <v>161353</v>
      </c>
      <c r="AB141" s="44">
        <v>658210</v>
      </c>
      <c r="AE141">
        <f>actual1[[#This Row],[Revenue Expenditure]]-(SUM(actual1[[#This Row],[Corporation Tax]:[Other Taxes]])-actual1[[#This Row],[Surcharge for financing of NCCF]]-actual1[[#This Row],[Devolution to State]]+SUM(P141:R141))</f>
        <v>357388</v>
      </c>
      <c r="AF141">
        <f>AE141-actual1[[#This Row],[Grants for Creation of Capital Assets]]</f>
        <v>196035</v>
      </c>
      <c r="AG141">
        <f>U141+AB141-(SUM(actual1[[#This Row],[Corporation Tax]:[Other Taxes]])-actual1[[#This Row],[Surcharge for financing of NCCF]]-actual1[[#This Row],[Devolution to State]]+SUM(P141:R141)+SUM(S141:T141))</f>
        <v>976671</v>
      </c>
      <c r="AH141">
        <f>AG141-actual1[[#This Row],[Interest Payments]]</f>
        <v>230906</v>
      </c>
    </row>
    <row r="142" spans="1:34" x14ac:dyDescent="0.35">
      <c r="A142" s="44" t="s">
        <v>237</v>
      </c>
      <c r="B142" s="45" t="s">
        <v>246</v>
      </c>
      <c r="C142" s="44">
        <v>832766</v>
      </c>
      <c r="D142" s="44">
        <v>872696</v>
      </c>
      <c r="E142" s="44">
        <v>40220</v>
      </c>
      <c r="F142" s="44">
        <v>710615</v>
      </c>
      <c r="G142" s="44">
        <v>15641</v>
      </c>
      <c r="H142" s="44">
        <v>4698</v>
      </c>
      <c r="I142" s="44">
        <v>89777</v>
      </c>
      <c r="J142" s="44">
        <v>195719</v>
      </c>
      <c r="K142" s="44">
        <v>219410</v>
      </c>
      <c r="L142" s="44">
        <v>-1186</v>
      </c>
      <c r="M142" s="44">
        <f>3902+9</f>
        <v>3911</v>
      </c>
      <c r="N142" s="44">
        <v>6849</v>
      </c>
      <c r="O142" s="44">
        <v>1038164</v>
      </c>
      <c r="P142" s="44">
        <v>27976</v>
      </c>
      <c r="Q142" s="44">
        <v>350269</v>
      </c>
      <c r="R142" s="44">
        <v>161610</v>
      </c>
      <c r="S142" s="44">
        <v>18226</v>
      </c>
      <c r="T142" s="44">
        <v>27821</v>
      </c>
      <c r="U142" s="44">
        <v>2593063</v>
      </c>
      <c r="V142" s="44">
        <v>911059</v>
      </c>
      <c r="W142" s="44">
        <v>233023</v>
      </c>
      <c r="X142" s="44">
        <v>247273</v>
      </c>
      <c r="Y142" s="44">
        <v>226030</v>
      </c>
      <c r="Z142" s="44">
        <v>317490</v>
      </c>
      <c r="AA142" s="44">
        <v>177599</v>
      </c>
      <c r="AB142" s="44">
        <v>787935</v>
      </c>
      <c r="AE142">
        <f>actual1[[#This Row],[Revenue Expenditure]]-(SUM(actual1[[#This Row],[Corporation Tax]:[Other Taxes]])-actual1[[#This Row],[Surcharge for financing of NCCF]]-actual1[[#This Row],[Devolution to State]]+SUM(P142:R142))</f>
        <v>113954</v>
      </c>
      <c r="AF142">
        <f>AE142-actual1[[#This Row],[Grants for Creation of Capital Assets]]</f>
        <v>-63645</v>
      </c>
      <c r="AG142">
        <f>U142+AB142-(SUM(actual1[[#This Row],[Corporation Tax]:[Other Taxes]])-actual1[[#This Row],[Surcharge for financing of NCCF]]-actual1[[#This Row],[Devolution to State]]+SUM(P142:R142)+SUM(S142:T142))</f>
        <v>855842</v>
      </c>
      <c r="AH142">
        <f>AG142-actual1[[#This Row],[Interest Payments]]</f>
        <v>-55217</v>
      </c>
    </row>
    <row r="143" spans="1:34" x14ac:dyDescent="0.35">
      <c r="A143" s="44"/>
      <c r="B143" s="45"/>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E143">
        <f>actual1[[#This Row],[Revenue Expenditure]]-(SUM(actual1[[#This Row],[Corporation Tax]:[Other Taxes]])-actual1[[#This Row],[Surcharge for financing of NCCF]]-actual1[[#This Row],[Devolution to State]]+SUM(P143:R143))</f>
        <v>0</v>
      </c>
      <c r="AF143">
        <f>AE143-actual1[[#This Row],[Grants for Creation of Capital Assets]]</f>
        <v>0</v>
      </c>
      <c r="AG143">
        <f>U143+AB143-(SUM(actual1[[#This Row],[Corporation Tax]:[Other Taxes]])-actual1[[#This Row],[Surcharge for financing of NCCF]]-actual1[[#This Row],[Devolution to State]]+SUM(P143:R143)+SUM(S143:T143))</f>
        <v>0</v>
      </c>
      <c r="AH143">
        <f>AG143-actual1[[#This Row],[Interest Payments]]</f>
        <v>0</v>
      </c>
    </row>
    <row r="144" spans="1:34" x14ac:dyDescent="0.35">
      <c r="A144" s="44"/>
      <c r="B144" s="45"/>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E144">
        <f>actual1[[#This Row],[Revenue Expenditure]]-(SUM(actual1[[#This Row],[Corporation Tax]:[Other Taxes]])-actual1[[#This Row],[Surcharge for financing of NCCF]]-actual1[[#This Row],[Devolution to State]]+SUM(P144:R144))</f>
        <v>0</v>
      </c>
      <c r="AF144">
        <f>AE144-actual1[[#This Row],[Grants for Creation of Capital Assets]]</f>
        <v>0</v>
      </c>
      <c r="AG144">
        <f>U144+AB144-(SUM(actual1[[#This Row],[Corporation Tax]:[Other Taxes]])-actual1[[#This Row],[Surcharge for financing of NCCF]]-actual1[[#This Row],[Devolution to State]]+SUM(P144:R144)+SUM(S144:T144))</f>
        <v>0</v>
      </c>
      <c r="AH144">
        <f>AG144-actual1[[#This Row],[Interest Payments]]</f>
        <v>0</v>
      </c>
    </row>
    <row r="145" spans="1:34" x14ac:dyDescent="0.35">
      <c r="A145" s="44"/>
      <c r="B145" s="45"/>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E145">
        <f>actual1[[#This Row],[Revenue Expenditure]]-(SUM(actual1[[#This Row],[Corporation Tax]:[Other Taxes]])-actual1[[#This Row],[Surcharge for financing of NCCF]]-actual1[[#This Row],[Devolution to State]]+SUM(P145:R145))</f>
        <v>0</v>
      </c>
      <c r="AF145">
        <f>AE145-actual1[[#This Row],[Grants for Creation of Capital Assets]]</f>
        <v>0</v>
      </c>
      <c r="AG145">
        <f>U145+AB145-(SUM(actual1[[#This Row],[Corporation Tax]:[Other Taxes]])-actual1[[#This Row],[Surcharge for financing of NCCF]]-actual1[[#This Row],[Devolution to State]]+SUM(P145:R145)+SUM(S145:T145))</f>
        <v>0</v>
      </c>
      <c r="AH145">
        <f>AG145-actual1[[#This Row],[Interest Payments]]</f>
        <v>0</v>
      </c>
    </row>
    <row r="146" spans="1:34" x14ac:dyDescent="0.35">
      <c r="A146" s="44"/>
      <c r="B146" s="45"/>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E146">
        <f>actual1[[#This Row],[Revenue Expenditure]]-(SUM(actual1[[#This Row],[Corporation Tax]:[Other Taxes]])-actual1[[#This Row],[Surcharge for financing of NCCF]]-actual1[[#This Row],[Devolution to State]]+SUM(P146:R146))</f>
        <v>0</v>
      </c>
      <c r="AF146">
        <f>AE146-actual1[[#This Row],[Grants for Creation of Capital Assets]]</f>
        <v>0</v>
      </c>
      <c r="AG146">
        <f>U146+AB146-(SUM(actual1[[#This Row],[Corporation Tax]:[Other Taxes]])-actual1[[#This Row],[Surcharge for financing of NCCF]]-actual1[[#This Row],[Devolution to State]]+SUM(P146:R146)+SUM(S146:T146))</f>
        <v>0</v>
      </c>
      <c r="AH146">
        <f>AG146-actual1[[#This Row],[Interest Payments]]</f>
        <v>0</v>
      </c>
    </row>
    <row r="147" spans="1:34" x14ac:dyDescent="0.35">
      <c r="B147" s="2"/>
      <c r="AE147">
        <f>actual1[[#This Row],[Revenue Expenditure]]-(SUM(actual1[[#This Row],[Corporation Tax]:[Other Taxes]])-actual1[[#This Row],[Surcharge for financing of NCCF]]-actual1[[#This Row],[Devolution to State]]+SUM(P147:R147))</f>
        <v>0</v>
      </c>
      <c r="AF147">
        <f>AE147-actual1[[#This Row],[Grants for Creation of Capital Assets]]</f>
        <v>0</v>
      </c>
      <c r="AG147">
        <f>U147+AB147-(SUM(actual1[[#This Row],[Corporation Tax]:[Other Taxes]])-actual1[[#This Row],[Surcharge for financing of NCCF]]-actual1[[#This Row],[Devolution to State]]+SUM(P147:R147)+SUM(S147:T147))</f>
        <v>0</v>
      </c>
      <c r="AH147">
        <f>AG147-actual1[[#This Row],[Interest Payments]]</f>
        <v>0</v>
      </c>
    </row>
    <row r="148" spans="1:34" x14ac:dyDescent="0.35">
      <c r="B148" s="2"/>
      <c r="AE148">
        <f>actual1[[#This Row],[Revenue Expenditure]]-(SUM(actual1[[#This Row],[Corporation Tax]:[Other Taxes]])-actual1[[#This Row],[Surcharge for financing of NCCF]]-actual1[[#This Row],[Devolution to State]]+SUM(P148:R148))</f>
        <v>0</v>
      </c>
      <c r="AF148">
        <f>AE148-actual1[[#This Row],[Grants for Creation of Capital Assets]]</f>
        <v>0</v>
      </c>
      <c r="AG148">
        <f>U148+AB148-(SUM(actual1[[#This Row],[Corporation Tax]:[Other Taxes]])-actual1[[#This Row],[Surcharge for financing of NCCF]]-actual1[[#This Row],[Devolution to State]]+SUM(P148:R148)+SUM(S148:T148))</f>
        <v>0</v>
      </c>
      <c r="AH148">
        <f>AG148-actual1[[#This Row],[Interest Payments]]</f>
        <v>0</v>
      </c>
    </row>
    <row r="149" spans="1:34" x14ac:dyDescent="0.35">
      <c r="B149" s="2"/>
      <c r="AE149">
        <f>actual1[[#This Row],[Revenue Expenditure]]-(SUM(actual1[[#This Row],[Corporation Tax]:[Other Taxes]])-actual1[[#This Row],[Surcharge for financing of NCCF]]-actual1[[#This Row],[Devolution to State]]+SUM(P149:R149))</f>
        <v>0</v>
      </c>
      <c r="AF149">
        <f>AE149-actual1[[#This Row],[Grants for Creation of Capital Assets]]</f>
        <v>0</v>
      </c>
      <c r="AG149">
        <f>U149+AB149-(SUM(actual1[[#This Row],[Corporation Tax]:[Other Taxes]])-actual1[[#This Row],[Surcharge for financing of NCCF]]-actual1[[#This Row],[Devolution to State]]+SUM(P149:R149)+SUM(S149:T149))</f>
        <v>0</v>
      </c>
      <c r="AH149">
        <f>AG149-actual1[[#This Row],[Interest Payments]]</f>
        <v>0</v>
      </c>
    </row>
    <row r="150" spans="1:34" x14ac:dyDescent="0.35">
      <c r="B150" s="2"/>
      <c r="AE150">
        <f>actual1[[#This Row],[Revenue Expenditure]]-(SUM(actual1[[#This Row],[Corporation Tax]:[Other Taxes]])-actual1[[#This Row],[Surcharge for financing of NCCF]]-actual1[[#This Row],[Devolution to State]]+SUM(P150:R150))</f>
        <v>0</v>
      </c>
      <c r="AF150">
        <f>AE150-actual1[[#This Row],[Grants for Creation of Capital Assets]]</f>
        <v>0</v>
      </c>
      <c r="AG150">
        <f>U150+AB150-(SUM(actual1[[#This Row],[Corporation Tax]:[Other Taxes]])-actual1[[#This Row],[Surcharge for financing of NCCF]]-actual1[[#This Row],[Devolution to State]]+SUM(P150:R150)+SUM(S150:T150))</f>
        <v>0</v>
      </c>
      <c r="AH150">
        <f>AG150-actual1[[#This Row],[Interest Payments]]</f>
        <v>0</v>
      </c>
    </row>
  </sheetData>
  <sheetProtection algorithmName="SHA-512" hashValue="p50tAJM4mJQFysHBDcxqkiW6jUL9XDHnnRxOFQT6v4yiQht+J7qYyVskrSG1m7N8mn6VWMRqdSohxbwpkmPKvA==" saltValue="VLrRnjSLIrMIEaUI6D6cKQ==" spinCount="100000" sheet="1" objects="1" scenarios="1" selectLockedCells="1"/>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G40"/>
  <sheetViews>
    <sheetView workbookViewId="0">
      <selection activeCell="A25" sqref="A25"/>
    </sheetView>
  </sheetViews>
  <sheetFormatPr defaultRowHeight="14.5" x14ac:dyDescent="0.35"/>
  <cols>
    <col min="3" max="3" width="16.26953125" customWidth="1"/>
    <col min="4" max="4" width="12.54296875" customWidth="1"/>
    <col min="5" max="5" width="24.453125" customWidth="1"/>
    <col min="9" max="9" width="19.26953125" customWidth="1"/>
    <col min="10" max="10" width="10.1796875" customWidth="1"/>
    <col min="11" max="11" width="13.453125" customWidth="1"/>
    <col min="12" max="12" width="12.26953125" customWidth="1"/>
    <col min="13" max="13" width="12.7265625" customWidth="1"/>
    <col min="14" max="14" width="29.54296875" customWidth="1"/>
    <col min="15" max="15" width="19.1796875" customWidth="1"/>
    <col min="16" max="16" width="16.26953125" customWidth="1"/>
    <col min="17" max="17" width="20.7265625" customWidth="1"/>
    <col min="18" max="18" width="22.453125" customWidth="1"/>
    <col min="19" max="19" width="28.7265625" customWidth="1"/>
    <col min="20" max="20" width="22.26953125" customWidth="1"/>
    <col min="21" max="21" width="20.7265625" customWidth="1"/>
    <col min="22" max="22" width="21.453125" customWidth="1"/>
    <col min="23" max="23" width="22.26953125" customWidth="1"/>
    <col min="25" max="25" width="9.54296875" customWidth="1"/>
    <col min="26" max="26" width="16.26953125" customWidth="1"/>
    <col min="27" max="27" width="32.81640625" customWidth="1"/>
    <col min="28" max="28" width="19.26953125" customWidth="1"/>
  </cols>
  <sheetData>
    <row r="1" spans="1:33" ht="72.5" x14ac:dyDescent="0.35">
      <c r="A1" s="3" t="s">
        <v>0</v>
      </c>
      <c r="B1" s="4" t="s">
        <v>1</v>
      </c>
      <c r="C1" s="3" t="s">
        <v>2</v>
      </c>
      <c r="D1" s="3" t="s">
        <v>3</v>
      </c>
      <c r="E1" s="3" t="s">
        <v>65</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20</v>
      </c>
      <c r="V1" s="3" t="s">
        <v>99</v>
      </c>
      <c r="W1" s="3" t="s">
        <v>100</v>
      </c>
      <c r="X1" s="3" t="s">
        <v>101</v>
      </c>
      <c r="Y1" s="3" t="s">
        <v>98</v>
      </c>
      <c r="Z1" s="3" t="s">
        <v>51</v>
      </c>
      <c r="AA1" s="3" t="s">
        <v>48</v>
      </c>
      <c r="AB1" s="3" t="s">
        <v>21</v>
      </c>
      <c r="AG1" s="1" t="s">
        <v>19</v>
      </c>
    </row>
    <row r="2" spans="1:33" x14ac:dyDescent="0.35">
      <c r="A2" t="s">
        <v>145</v>
      </c>
      <c r="B2" s="2" t="s">
        <v>52</v>
      </c>
      <c r="C2">
        <v>451005</v>
      </c>
      <c r="D2">
        <v>278275</v>
      </c>
      <c r="E2">
        <v>5991</v>
      </c>
      <c r="J2">
        <v>201819</v>
      </c>
      <c r="K2">
        <v>207110</v>
      </c>
      <c r="L2">
        <v>215973</v>
      </c>
      <c r="M2">
        <v>4351</v>
      </c>
      <c r="N2">
        <v>5050</v>
      </c>
      <c r="O2">
        <v>382216</v>
      </c>
      <c r="P2">
        <v>19751</v>
      </c>
      <c r="Q2">
        <v>90229</v>
      </c>
      <c r="R2">
        <v>102525</v>
      </c>
      <c r="S2">
        <v>10527</v>
      </c>
      <c r="T2">
        <v>63425</v>
      </c>
      <c r="U2">
        <v>1568111</v>
      </c>
      <c r="V2">
        <v>427011</v>
      </c>
      <c r="W2">
        <v>229000</v>
      </c>
      <c r="X2">
        <v>70019</v>
      </c>
      <c r="Y2">
        <v>81983</v>
      </c>
      <c r="Z2">
        <v>251397</v>
      </c>
      <c r="AA2">
        <v>168104</v>
      </c>
      <c r="AB2">
        <v>226781</v>
      </c>
    </row>
    <row r="3" spans="1:33" x14ac:dyDescent="0.35">
      <c r="A3" t="s">
        <v>145</v>
      </c>
      <c r="B3" s="2" t="s">
        <v>66</v>
      </c>
      <c r="C3">
        <v>426079</v>
      </c>
      <c r="D3">
        <v>272607</v>
      </c>
      <c r="E3">
        <v>5992</v>
      </c>
      <c r="J3">
        <v>188713</v>
      </c>
      <c r="K3">
        <v>185480</v>
      </c>
      <c r="L3">
        <v>168132</v>
      </c>
      <c r="M3">
        <v>4388</v>
      </c>
      <c r="N3">
        <v>5120</v>
      </c>
      <c r="O3">
        <v>337808</v>
      </c>
      <c r="P3">
        <v>22166</v>
      </c>
      <c r="Q3">
        <v>88781</v>
      </c>
      <c r="R3">
        <v>106884</v>
      </c>
      <c r="S3">
        <v>10886</v>
      </c>
      <c r="T3">
        <v>31350</v>
      </c>
      <c r="U3">
        <v>1488780</v>
      </c>
      <c r="V3">
        <v>411354</v>
      </c>
      <c r="W3">
        <v>222370</v>
      </c>
      <c r="X3">
        <v>80338</v>
      </c>
      <c r="Y3">
        <v>81705</v>
      </c>
      <c r="Z3">
        <v>253913</v>
      </c>
      <c r="AA3">
        <v>131898</v>
      </c>
      <c r="AB3">
        <v>192379</v>
      </c>
    </row>
    <row r="4" spans="1:33" x14ac:dyDescent="0.35">
      <c r="A4" t="s">
        <v>110</v>
      </c>
      <c r="B4" s="2" t="s">
        <v>52</v>
      </c>
      <c r="C4">
        <v>470628</v>
      </c>
      <c r="D4">
        <v>320836</v>
      </c>
      <c r="E4">
        <v>6531</v>
      </c>
      <c r="J4">
        <v>208336</v>
      </c>
      <c r="K4">
        <v>229808</v>
      </c>
      <c r="L4">
        <v>209774</v>
      </c>
      <c r="M4">
        <v>3577</v>
      </c>
      <c r="N4">
        <v>5690</v>
      </c>
      <c r="O4">
        <v>523958</v>
      </c>
      <c r="P4">
        <v>23600</v>
      </c>
      <c r="Q4">
        <v>100651</v>
      </c>
      <c r="R4">
        <v>97482</v>
      </c>
      <c r="S4">
        <v>10753</v>
      </c>
      <c r="T4">
        <v>69500</v>
      </c>
      <c r="U4">
        <v>1536047</v>
      </c>
      <c r="V4">
        <v>456145</v>
      </c>
      <c r="W4">
        <v>246727</v>
      </c>
      <c r="X4">
        <v>108630</v>
      </c>
      <c r="Y4">
        <v>88521</v>
      </c>
      <c r="Z4">
        <v>227388</v>
      </c>
      <c r="AA4">
        <v>110551</v>
      </c>
      <c r="AB4">
        <v>241430</v>
      </c>
    </row>
    <row r="5" spans="1:33" x14ac:dyDescent="0.35">
      <c r="A5" t="s">
        <v>110</v>
      </c>
      <c r="B5" s="2" t="s">
        <v>66</v>
      </c>
      <c r="C5">
        <v>452970</v>
      </c>
      <c r="D5">
        <v>291653</v>
      </c>
      <c r="E5">
        <v>7398</v>
      </c>
      <c r="J5">
        <v>209500</v>
      </c>
      <c r="K5">
        <v>284142</v>
      </c>
      <c r="L5">
        <v>210000</v>
      </c>
      <c r="M5">
        <v>3948</v>
      </c>
      <c r="N5">
        <v>5910</v>
      </c>
      <c r="O5">
        <v>506193</v>
      </c>
      <c r="P5">
        <v>23142</v>
      </c>
      <c r="Q5">
        <v>118271</v>
      </c>
      <c r="R5">
        <v>117163</v>
      </c>
      <c r="S5">
        <v>18905</v>
      </c>
      <c r="T5">
        <v>25312</v>
      </c>
      <c r="U5">
        <v>1547673</v>
      </c>
      <c r="V5">
        <v>442620</v>
      </c>
      <c r="W5">
        <v>224636</v>
      </c>
      <c r="X5">
        <v>108312</v>
      </c>
      <c r="Y5">
        <v>95731</v>
      </c>
      <c r="Z5">
        <v>257801</v>
      </c>
      <c r="AA5">
        <v>132004</v>
      </c>
      <c r="AB5">
        <v>237718</v>
      </c>
    </row>
    <row r="6" spans="1:33" x14ac:dyDescent="0.35">
      <c r="A6" t="s">
        <v>109</v>
      </c>
      <c r="B6" s="2" t="s">
        <v>52</v>
      </c>
      <c r="C6">
        <v>493924</v>
      </c>
      <c r="D6">
        <v>345776</v>
      </c>
      <c r="E6">
        <v>7398</v>
      </c>
      <c r="F6">
        <v>0</v>
      </c>
      <c r="G6">
        <v>0</v>
      </c>
      <c r="H6">
        <v>0</v>
      </c>
      <c r="I6">
        <v>0</v>
      </c>
      <c r="J6">
        <v>230000</v>
      </c>
      <c r="K6">
        <v>318669</v>
      </c>
      <c r="L6">
        <v>231000</v>
      </c>
      <c r="M6">
        <v>4121</v>
      </c>
      <c r="N6">
        <v>6450</v>
      </c>
      <c r="O6">
        <v>570337</v>
      </c>
      <c r="P6">
        <v>29620</v>
      </c>
      <c r="Q6">
        <v>123780</v>
      </c>
      <c r="R6">
        <v>169521</v>
      </c>
      <c r="S6">
        <v>10634</v>
      </c>
      <c r="T6">
        <v>56500</v>
      </c>
      <c r="U6">
        <v>1731535</v>
      </c>
      <c r="V6">
        <v>492670</v>
      </c>
      <c r="W6">
        <v>162759</v>
      </c>
      <c r="X6">
        <v>275116</v>
      </c>
      <c r="Y6">
        <v>123368</v>
      </c>
      <c r="Z6">
        <v>231782</v>
      </c>
      <c r="AA6">
        <v>166840</v>
      </c>
      <c r="AB6">
        <v>246525</v>
      </c>
    </row>
    <row r="7" spans="1:33" x14ac:dyDescent="0.35">
      <c r="A7" t="s">
        <v>109</v>
      </c>
      <c r="B7" s="2" t="s">
        <v>66</v>
      </c>
      <c r="C7">
        <v>493923</v>
      </c>
      <c r="D7">
        <v>345776</v>
      </c>
      <c r="E7">
        <v>7398</v>
      </c>
      <c r="F7">
        <v>0</v>
      </c>
      <c r="G7">
        <v>0</v>
      </c>
      <c r="H7">
        <v>0</v>
      </c>
      <c r="I7">
        <v>0</v>
      </c>
      <c r="J7">
        <v>217000</v>
      </c>
      <c r="K7">
        <v>387368</v>
      </c>
      <c r="L7">
        <v>247500</v>
      </c>
      <c r="M7">
        <v>4277</v>
      </c>
      <c r="N7">
        <v>6450</v>
      </c>
      <c r="O7">
        <v>608000</v>
      </c>
      <c r="P7">
        <v>18149</v>
      </c>
      <c r="Q7">
        <v>153222</v>
      </c>
      <c r="R7">
        <v>163399</v>
      </c>
      <c r="S7">
        <v>11071</v>
      </c>
      <c r="T7">
        <v>45500</v>
      </c>
      <c r="U7">
        <v>1735220</v>
      </c>
      <c r="V7">
        <v>483069</v>
      </c>
      <c r="W7">
        <v>168635</v>
      </c>
      <c r="X7">
        <v>280839</v>
      </c>
      <c r="Y7">
        <v>128166</v>
      </c>
      <c r="Z7">
        <v>229716</v>
      </c>
      <c r="AA7">
        <v>171472</v>
      </c>
      <c r="AB7">
        <v>279187</v>
      </c>
    </row>
    <row r="8" spans="1:33" x14ac:dyDescent="0.35">
      <c r="A8" t="s">
        <v>106</v>
      </c>
      <c r="B8" s="2" t="s">
        <v>52</v>
      </c>
      <c r="C8">
        <v>538745</v>
      </c>
      <c r="D8">
        <v>433487</v>
      </c>
      <c r="E8">
        <v>7768</v>
      </c>
      <c r="F8">
        <v>0</v>
      </c>
      <c r="G8">
        <v>0</v>
      </c>
      <c r="H8">
        <v>0</v>
      </c>
      <c r="I8">
        <v>0</v>
      </c>
      <c r="J8">
        <v>245000</v>
      </c>
      <c r="K8">
        <v>406900</v>
      </c>
      <c r="L8">
        <v>275000</v>
      </c>
      <c r="M8">
        <v>4679</v>
      </c>
      <c r="N8">
        <v>10000</v>
      </c>
      <c r="O8">
        <v>674565</v>
      </c>
      <c r="P8">
        <v>19021</v>
      </c>
      <c r="Q8">
        <v>142430</v>
      </c>
      <c r="R8">
        <v>127306</v>
      </c>
      <c r="S8">
        <v>11932</v>
      </c>
      <c r="T8">
        <v>72500</v>
      </c>
      <c r="U8">
        <v>1837505</v>
      </c>
      <c r="V8">
        <v>523078</v>
      </c>
      <c r="W8">
        <v>175861</v>
      </c>
      <c r="X8">
        <v>292968</v>
      </c>
      <c r="Y8">
        <v>131201</v>
      </c>
      <c r="Z8">
        <v>240339</v>
      </c>
      <c r="AA8">
        <v>195350</v>
      </c>
      <c r="AB8">
        <v>309230</v>
      </c>
    </row>
    <row r="9" spans="1:33" x14ac:dyDescent="0.35">
      <c r="A9" t="s">
        <v>106</v>
      </c>
      <c r="B9" s="2" t="s">
        <v>66</v>
      </c>
      <c r="C9">
        <v>563745</v>
      </c>
      <c r="D9">
        <v>433487</v>
      </c>
      <c r="E9">
        <v>7768</v>
      </c>
      <c r="F9">
        <v>221400</v>
      </c>
      <c r="G9">
        <v>161900</v>
      </c>
      <c r="H9">
        <v>1424</v>
      </c>
      <c r="I9">
        <v>61331</v>
      </c>
      <c r="J9">
        <v>135242</v>
      </c>
      <c r="K9">
        <v>276995</v>
      </c>
      <c r="L9">
        <v>79507</v>
      </c>
      <c r="M9">
        <v>3320</v>
      </c>
      <c r="N9">
        <v>3660</v>
      </c>
      <c r="O9">
        <v>673005</v>
      </c>
      <c r="P9">
        <v>13551</v>
      </c>
      <c r="Q9">
        <v>106433</v>
      </c>
      <c r="R9">
        <v>115990</v>
      </c>
      <c r="S9">
        <v>17473</v>
      </c>
      <c r="T9">
        <v>100000</v>
      </c>
      <c r="U9">
        <v>1944999</v>
      </c>
      <c r="V9">
        <v>530843</v>
      </c>
      <c r="W9">
        <v>180608</v>
      </c>
      <c r="X9">
        <v>369010</v>
      </c>
      <c r="Y9">
        <v>147387</v>
      </c>
      <c r="Z9">
        <v>229716</v>
      </c>
      <c r="AA9">
        <v>189245</v>
      </c>
      <c r="AB9">
        <v>272751</v>
      </c>
    </row>
    <row r="10" spans="1:33" x14ac:dyDescent="0.35">
      <c r="A10" t="s">
        <v>64</v>
      </c>
      <c r="B10" s="2" t="s">
        <v>52</v>
      </c>
      <c r="C10">
        <v>621000</v>
      </c>
      <c r="D10">
        <v>518000</v>
      </c>
      <c r="E10">
        <v>11000</v>
      </c>
      <c r="F10">
        <v>603900</v>
      </c>
      <c r="G10">
        <v>50000</v>
      </c>
      <c r="H10">
        <v>2530</v>
      </c>
      <c r="I10">
        <v>90000</v>
      </c>
      <c r="J10">
        <v>112500</v>
      </c>
      <c r="K10">
        <v>259600</v>
      </c>
      <c r="L10">
        <v>0</v>
      </c>
      <c r="M10">
        <v>2712</v>
      </c>
      <c r="N10">
        <v>2500</v>
      </c>
      <c r="O10">
        <v>788093</v>
      </c>
      <c r="P10">
        <v>15162</v>
      </c>
      <c r="Q10">
        <v>107312</v>
      </c>
      <c r="R10">
        <v>122615</v>
      </c>
      <c r="S10">
        <v>12199</v>
      </c>
      <c r="T10">
        <v>80000</v>
      </c>
      <c r="U10">
        <v>2142283</v>
      </c>
      <c r="V10">
        <v>575795</v>
      </c>
      <c r="W10">
        <v>188723</v>
      </c>
      <c r="X10">
        <v>420591</v>
      </c>
      <c r="Y10">
        <v>168466</v>
      </c>
      <c r="Z10">
        <v>264336</v>
      </c>
      <c r="AA10">
        <v>195345</v>
      </c>
      <c r="AB10">
        <v>299930</v>
      </c>
    </row>
    <row r="11" spans="1:33" x14ac:dyDescent="0.35">
      <c r="A11" t="s">
        <v>64</v>
      </c>
      <c r="B11" s="2" t="s">
        <v>66</v>
      </c>
      <c r="C11">
        <v>671000</v>
      </c>
      <c r="D11">
        <v>518000</v>
      </c>
      <c r="E11">
        <v>11000</v>
      </c>
      <c r="F11">
        <v>503900</v>
      </c>
      <c r="G11">
        <v>50000</v>
      </c>
      <c r="H11">
        <v>2530</v>
      </c>
      <c r="I11">
        <v>90000</v>
      </c>
      <c r="J11">
        <v>130038</v>
      </c>
      <c r="K11">
        <v>259612</v>
      </c>
      <c r="L11">
        <v>9283</v>
      </c>
      <c r="M11">
        <v>2812</v>
      </c>
      <c r="N11">
        <v>2315</v>
      </c>
      <c r="O11">
        <v>761454</v>
      </c>
      <c r="P11">
        <v>12047</v>
      </c>
      <c r="Q11">
        <v>119265</v>
      </c>
      <c r="R11">
        <v>113964</v>
      </c>
      <c r="S11">
        <v>13155</v>
      </c>
      <c r="T11">
        <v>80000</v>
      </c>
      <c r="U11">
        <v>2141351</v>
      </c>
      <c r="V11">
        <v>587570</v>
      </c>
      <c r="W11">
        <v>191431</v>
      </c>
      <c r="X11">
        <v>389212</v>
      </c>
      <c r="Y11">
        <v>166618</v>
      </c>
      <c r="Z11">
        <v>266206</v>
      </c>
      <c r="AA11">
        <v>200300</v>
      </c>
      <c r="AB11">
        <v>315884</v>
      </c>
    </row>
    <row r="12" spans="1:33" x14ac:dyDescent="0.35">
      <c r="A12" t="s">
        <v>22</v>
      </c>
      <c r="B12" s="2" t="s">
        <v>52</v>
      </c>
      <c r="C12">
        <v>766000</v>
      </c>
      <c r="D12">
        <v>556200</v>
      </c>
      <c r="E12">
        <v>12800</v>
      </c>
      <c r="F12">
        <v>526000</v>
      </c>
      <c r="G12">
        <v>28000</v>
      </c>
      <c r="H12">
        <v>2768</v>
      </c>
      <c r="I12">
        <v>109343</v>
      </c>
      <c r="J12">
        <v>155904</v>
      </c>
      <c r="K12">
        <v>300000</v>
      </c>
      <c r="L12">
        <v>0</v>
      </c>
      <c r="M12">
        <v>4180</v>
      </c>
      <c r="N12">
        <v>2480</v>
      </c>
      <c r="O12">
        <v>809133</v>
      </c>
      <c r="P12">
        <v>13711</v>
      </c>
      <c r="Q12">
        <v>163528</v>
      </c>
      <c r="R12">
        <v>135940</v>
      </c>
      <c r="S12">
        <v>14828</v>
      </c>
      <c r="T12">
        <v>105000</v>
      </c>
      <c r="U12">
        <v>2448264</v>
      </c>
      <c r="V12">
        <v>660471</v>
      </c>
      <c r="W12">
        <v>201902</v>
      </c>
      <c r="X12">
        <v>467339</v>
      </c>
      <c r="Y12">
        <v>174300</v>
      </c>
      <c r="Z12">
        <v>301694</v>
      </c>
      <c r="AA12">
        <v>207333</v>
      </c>
      <c r="AB12">
        <v>338085</v>
      </c>
    </row>
    <row r="13" spans="1:33" x14ac:dyDescent="0.35">
      <c r="A13" t="s">
        <v>22</v>
      </c>
      <c r="B13" s="2" t="s">
        <v>66</v>
      </c>
      <c r="C13">
        <v>610500</v>
      </c>
      <c r="D13">
        <v>547000</v>
      </c>
      <c r="E13">
        <v>12500</v>
      </c>
      <c r="F13">
        <v>514000</v>
      </c>
      <c r="G13">
        <v>0</v>
      </c>
      <c r="H13">
        <v>2704</v>
      </c>
      <c r="I13">
        <v>98327</v>
      </c>
      <c r="J13">
        <v>125000</v>
      </c>
      <c r="K13">
        <v>248012</v>
      </c>
      <c r="L13">
        <v>1200</v>
      </c>
      <c r="M13">
        <v>4180</v>
      </c>
      <c r="N13">
        <v>2790</v>
      </c>
      <c r="O13">
        <v>656046</v>
      </c>
      <c r="P13">
        <v>11027</v>
      </c>
      <c r="Q13">
        <v>199893</v>
      </c>
      <c r="R13">
        <v>134594</v>
      </c>
      <c r="S13">
        <v>16605</v>
      </c>
      <c r="T13">
        <v>65000</v>
      </c>
      <c r="U13">
        <v>2350438</v>
      </c>
      <c r="V13">
        <v>625105</v>
      </c>
      <c r="W13">
        <v>205902</v>
      </c>
      <c r="X13">
        <v>475152</v>
      </c>
      <c r="Y13">
        <v>184147</v>
      </c>
      <c r="Z13">
        <v>227255</v>
      </c>
      <c r="AA13">
        <v>191737</v>
      </c>
      <c r="AB13">
        <v>348114</v>
      </c>
    </row>
    <row r="14" spans="1:33" x14ac:dyDescent="0.35">
      <c r="A14" t="s">
        <v>42</v>
      </c>
      <c r="B14" s="2" t="s">
        <v>52</v>
      </c>
      <c r="C14">
        <v>681000</v>
      </c>
      <c r="D14">
        <v>625000</v>
      </c>
      <c r="E14">
        <v>13000</v>
      </c>
      <c r="F14">
        <v>580000</v>
      </c>
      <c r="G14">
        <v>0</v>
      </c>
      <c r="H14">
        <v>3000</v>
      </c>
      <c r="I14">
        <v>110500</v>
      </c>
      <c r="J14">
        <v>138000</v>
      </c>
      <c r="K14">
        <v>267000</v>
      </c>
      <c r="L14">
        <v>1020</v>
      </c>
      <c r="M14">
        <v>4500</v>
      </c>
      <c r="N14">
        <v>2930</v>
      </c>
      <c r="O14">
        <v>784181</v>
      </c>
      <c r="P14">
        <v>11042</v>
      </c>
      <c r="Q14">
        <v>155395</v>
      </c>
      <c r="R14">
        <v>218580</v>
      </c>
      <c r="S14">
        <v>14967</v>
      </c>
      <c r="T14">
        <v>210000</v>
      </c>
      <c r="U14">
        <v>2630221</v>
      </c>
      <c r="V14">
        <v>708203</v>
      </c>
      <c r="W14">
        <v>209319</v>
      </c>
      <c r="X14">
        <v>562046</v>
      </c>
      <c r="Y14">
        <v>210682</v>
      </c>
      <c r="Z14">
        <v>227794</v>
      </c>
      <c r="AA14">
        <v>206500</v>
      </c>
      <c r="AB14">
        <v>412009</v>
      </c>
    </row>
    <row r="15" spans="1:33" x14ac:dyDescent="0.35">
      <c r="A15" t="s">
        <v>42</v>
      </c>
      <c r="B15" s="2" t="s">
        <v>66</v>
      </c>
      <c r="C15">
        <v>446000</v>
      </c>
      <c r="D15">
        <v>447000</v>
      </c>
      <c r="E15">
        <v>12000</v>
      </c>
      <c r="F15">
        <v>431000</v>
      </c>
      <c r="G15">
        <v>0</v>
      </c>
      <c r="H15">
        <v>2720</v>
      </c>
      <c r="I15">
        <v>84100</v>
      </c>
      <c r="J15">
        <v>112000</v>
      </c>
      <c r="K15">
        <v>361000</v>
      </c>
      <c r="L15">
        <v>1400</v>
      </c>
      <c r="M15">
        <v>3060</v>
      </c>
      <c r="N15">
        <v>5820</v>
      </c>
      <c r="O15">
        <v>549959</v>
      </c>
      <c r="P15">
        <v>14005</v>
      </c>
      <c r="Q15">
        <v>96544</v>
      </c>
      <c r="R15">
        <v>100103</v>
      </c>
      <c r="S15">
        <v>14497</v>
      </c>
      <c r="T15">
        <v>32000</v>
      </c>
      <c r="U15">
        <v>3011916</v>
      </c>
      <c r="V15">
        <v>692900</v>
      </c>
      <c r="W15">
        <v>209312</v>
      </c>
      <c r="X15">
        <v>559025</v>
      </c>
      <c r="Y15">
        <v>204393</v>
      </c>
      <c r="Z15">
        <v>595620</v>
      </c>
      <c r="AA15">
        <v>230376</v>
      </c>
      <c r="AB15">
        <v>438389</v>
      </c>
    </row>
    <row r="16" spans="1:33" x14ac:dyDescent="0.35">
      <c r="A16" t="s">
        <v>165</v>
      </c>
      <c r="B16" s="2" t="s">
        <v>52</v>
      </c>
      <c r="C16">
        <v>547000</v>
      </c>
      <c r="D16">
        <v>548500</v>
      </c>
      <c r="E16">
        <v>12500</v>
      </c>
      <c r="F16">
        <v>530000</v>
      </c>
      <c r="G16">
        <v>0</v>
      </c>
      <c r="H16">
        <v>3327</v>
      </c>
      <c r="I16">
        <v>100000</v>
      </c>
      <c r="J16">
        <v>136000</v>
      </c>
      <c r="K16">
        <v>335000</v>
      </c>
      <c r="L16">
        <v>1000</v>
      </c>
      <c r="M16">
        <v>3732</v>
      </c>
      <c r="N16">
        <v>6100</v>
      </c>
      <c r="O16">
        <v>665563</v>
      </c>
      <c r="P16">
        <v>11541</v>
      </c>
      <c r="Q16">
        <v>103538</v>
      </c>
      <c r="R16">
        <v>127949</v>
      </c>
      <c r="S16">
        <v>13000</v>
      </c>
      <c r="T16">
        <v>175000</v>
      </c>
      <c r="U16">
        <v>2929128</v>
      </c>
      <c r="V16">
        <v>809701</v>
      </c>
      <c r="W16">
        <v>212028</v>
      </c>
      <c r="X16">
        <v>605812</v>
      </c>
      <c r="Y16">
        <v>190328</v>
      </c>
      <c r="Z16">
        <v>336439</v>
      </c>
      <c r="AA16">
        <v>219112</v>
      </c>
      <c r="AB16">
        <v>554108</v>
      </c>
    </row>
    <row r="17" spans="1:28" x14ac:dyDescent="0.35">
      <c r="A17" t="s">
        <v>165</v>
      </c>
      <c r="B17" s="2" t="s">
        <v>66</v>
      </c>
      <c r="C17">
        <v>635000</v>
      </c>
      <c r="D17">
        <v>595000</v>
      </c>
      <c r="E17">
        <v>20000</v>
      </c>
      <c r="F17">
        <v>570000</v>
      </c>
      <c r="G17">
        <v>0</v>
      </c>
      <c r="H17">
        <v>3327</v>
      </c>
      <c r="I17">
        <v>105000</v>
      </c>
      <c r="J17">
        <v>189000</v>
      </c>
      <c r="K17">
        <v>394000</v>
      </c>
      <c r="L17">
        <v>1000</v>
      </c>
      <c r="M17">
        <v>3732</v>
      </c>
      <c r="N17">
        <v>6130</v>
      </c>
      <c r="O17">
        <v>744784</v>
      </c>
      <c r="P17">
        <v>20894</v>
      </c>
      <c r="Q17">
        <v>147353</v>
      </c>
      <c r="R17">
        <v>145544</v>
      </c>
      <c r="S17">
        <v>21975</v>
      </c>
      <c r="T17">
        <v>78000</v>
      </c>
      <c r="U17">
        <v>3168067</v>
      </c>
      <c r="V17">
        <v>813791</v>
      </c>
      <c r="W17">
        <v>229567</v>
      </c>
      <c r="X17">
        <v>587918</v>
      </c>
      <c r="Y17">
        <v>198962</v>
      </c>
      <c r="Z17">
        <v>422108</v>
      </c>
      <c r="AA17">
        <v>237685</v>
      </c>
      <c r="AB17">
        <v>601933</v>
      </c>
    </row>
    <row r="18" spans="1:28" x14ac:dyDescent="0.35">
      <c r="A18" t="s">
        <v>177</v>
      </c>
      <c r="B18" s="2" t="s">
        <v>52</v>
      </c>
      <c r="C18">
        <v>720000</v>
      </c>
      <c r="D18">
        <v>680000</v>
      </c>
      <c r="E18">
        <v>20000</v>
      </c>
      <c r="F18">
        <v>660000</v>
      </c>
      <c r="G18">
        <v>0</v>
      </c>
      <c r="H18">
        <v>3706</v>
      </c>
      <c r="I18">
        <v>120000</v>
      </c>
      <c r="J18">
        <v>213000</v>
      </c>
      <c r="K18">
        <v>335000</v>
      </c>
      <c r="L18">
        <v>2000</v>
      </c>
      <c r="M18">
        <v>4114</v>
      </c>
      <c r="N18">
        <v>6400</v>
      </c>
      <c r="O18">
        <v>816649</v>
      </c>
      <c r="P18">
        <v>18000</v>
      </c>
      <c r="Q18">
        <v>113948</v>
      </c>
      <c r="R18">
        <v>137703</v>
      </c>
      <c r="S18">
        <v>14291</v>
      </c>
      <c r="T18">
        <v>65000</v>
      </c>
      <c r="U18">
        <v>3195257</v>
      </c>
      <c r="V18">
        <v>940651</v>
      </c>
      <c r="W18">
        <v>233001</v>
      </c>
      <c r="X18">
        <v>617057</v>
      </c>
      <c r="Y18">
        <v>207132</v>
      </c>
      <c r="Z18">
        <v>317866</v>
      </c>
      <c r="AA18">
        <v>317643</v>
      </c>
      <c r="AB18">
        <v>749652</v>
      </c>
    </row>
    <row r="19" spans="1:28" x14ac:dyDescent="0.35">
      <c r="A19" t="s">
        <v>177</v>
      </c>
      <c r="B19" s="2" t="s">
        <v>66</v>
      </c>
      <c r="C19">
        <v>835000</v>
      </c>
      <c r="D19">
        <v>790000</v>
      </c>
      <c r="E19">
        <v>25000</v>
      </c>
      <c r="F19">
        <v>724000</v>
      </c>
      <c r="G19">
        <v>0</v>
      </c>
      <c r="H19">
        <v>3928</v>
      </c>
      <c r="I19">
        <v>130000</v>
      </c>
      <c r="J19">
        <v>210000</v>
      </c>
      <c r="K19">
        <v>320000</v>
      </c>
      <c r="L19">
        <v>1000</v>
      </c>
      <c r="M19">
        <v>4140</v>
      </c>
      <c r="N19">
        <v>8000</v>
      </c>
      <c r="O19">
        <v>948406</v>
      </c>
      <c r="P19">
        <v>24640</v>
      </c>
      <c r="Q19">
        <v>83953</v>
      </c>
      <c r="R19">
        <v>153158</v>
      </c>
      <c r="S19">
        <v>23500</v>
      </c>
      <c r="T19">
        <v>60000</v>
      </c>
      <c r="U19">
        <v>3459464</v>
      </c>
      <c r="V19">
        <v>940651</v>
      </c>
      <c r="W19">
        <v>259500</v>
      </c>
      <c r="X19">
        <v>613196</v>
      </c>
      <c r="Y19">
        <v>244780</v>
      </c>
      <c r="Z19">
        <v>521585</v>
      </c>
      <c r="AA19">
        <v>325588</v>
      </c>
      <c r="AB19">
        <v>727768</v>
      </c>
    </row>
    <row r="20" spans="1:28" x14ac:dyDescent="0.35">
      <c r="A20" t="s">
        <v>190</v>
      </c>
      <c r="B20" s="2" t="s">
        <v>52</v>
      </c>
      <c r="C20">
        <v>922675</v>
      </c>
      <c r="D20">
        <v>872950</v>
      </c>
      <c r="E20">
        <v>27625</v>
      </c>
      <c r="F20">
        <v>811600</v>
      </c>
      <c r="G20">
        <v>0</v>
      </c>
      <c r="H20">
        <v>3935</v>
      </c>
      <c r="I20">
        <v>145000</v>
      </c>
      <c r="J20">
        <v>233100</v>
      </c>
      <c r="K20">
        <v>339000</v>
      </c>
      <c r="L20">
        <v>500</v>
      </c>
      <c r="M20">
        <v>4474</v>
      </c>
      <c r="N20">
        <v>8780</v>
      </c>
      <c r="O20">
        <v>1021448</v>
      </c>
      <c r="P20">
        <v>24820</v>
      </c>
      <c r="Q20">
        <v>91000</v>
      </c>
      <c r="R20">
        <v>185830</v>
      </c>
      <c r="S20">
        <v>23000</v>
      </c>
      <c r="T20">
        <v>61000</v>
      </c>
      <c r="U20">
        <v>3502724</v>
      </c>
      <c r="V20">
        <v>1079971</v>
      </c>
      <c r="W20">
        <v>270120</v>
      </c>
      <c r="X20">
        <v>659736</v>
      </c>
      <c r="Y20">
        <v>234359</v>
      </c>
      <c r="Z20">
        <v>374707</v>
      </c>
      <c r="AA20">
        <v>369988</v>
      </c>
      <c r="AB20">
        <v>1000373</v>
      </c>
    </row>
    <row r="21" spans="1:28" x14ac:dyDescent="0.35">
      <c r="A21" t="s">
        <v>190</v>
      </c>
      <c r="B21" s="2" t="s">
        <v>66</v>
      </c>
      <c r="C21">
        <v>922675</v>
      </c>
      <c r="D21">
        <v>990325</v>
      </c>
      <c r="E21">
        <v>32000</v>
      </c>
      <c r="F21">
        <v>811600</v>
      </c>
      <c r="G21">
        <v>0</v>
      </c>
      <c r="H21">
        <v>4330</v>
      </c>
      <c r="I21">
        <v>145000</v>
      </c>
      <c r="J21">
        <v>218680</v>
      </c>
      <c r="K21">
        <v>303600</v>
      </c>
      <c r="L21">
        <v>500</v>
      </c>
      <c r="M21">
        <v>8501</v>
      </c>
      <c r="N21">
        <v>8800</v>
      </c>
      <c r="O21">
        <v>1104493</v>
      </c>
      <c r="P21">
        <v>31778</v>
      </c>
      <c r="Q21">
        <v>154407</v>
      </c>
      <c r="R21">
        <v>189610</v>
      </c>
      <c r="S21">
        <v>26000</v>
      </c>
      <c r="T21">
        <v>30000</v>
      </c>
      <c r="U21">
        <v>3540931</v>
      </c>
      <c r="V21">
        <v>1055427</v>
      </c>
      <c r="W21">
        <v>298669</v>
      </c>
      <c r="X21">
        <v>590531</v>
      </c>
      <c r="Y21">
        <v>238049</v>
      </c>
      <c r="Z21">
        <v>413466</v>
      </c>
      <c r="AA21">
        <v>321190</v>
      </c>
      <c r="AB21">
        <v>949555</v>
      </c>
    </row>
    <row r="22" spans="1:28" x14ac:dyDescent="0.35">
      <c r="A22" t="s">
        <v>203</v>
      </c>
      <c r="B22" s="2" t="s">
        <v>52</v>
      </c>
      <c r="C22">
        <v>1020000</v>
      </c>
      <c r="D22">
        <v>1150000</v>
      </c>
      <c r="E22">
        <v>37000</v>
      </c>
      <c r="F22">
        <v>910890</v>
      </c>
      <c r="G22">
        <v>0</v>
      </c>
      <c r="H22">
        <v>4900</v>
      </c>
      <c r="I22">
        <v>151009</v>
      </c>
      <c r="J22">
        <v>237745</v>
      </c>
      <c r="K22">
        <v>319000</v>
      </c>
      <c r="L22">
        <v>100</v>
      </c>
      <c r="M22">
        <v>9526</v>
      </c>
      <c r="N22">
        <v>9460</v>
      </c>
      <c r="O22">
        <v>1247211</v>
      </c>
      <c r="P22">
        <v>38224</v>
      </c>
      <c r="Q22">
        <v>289134</v>
      </c>
      <c r="R22">
        <v>218343</v>
      </c>
      <c r="S22">
        <v>28000</v>
      </c>
      <c r="T22">
        <v>50000</v>
      </c>
      <c r="U22">
        <v>3709401</v>
      </c>
      <c r="V22">
        <v>1162940</v>
      </c>
      <c r="W22">
        <v>282773</v>
      </c>
      <c r="X22">
        <v>641460</v>
      </c>
      <c r="Y22">
        <v>243296</v>
      </c>
      <c r="Z22">
        <v>381175</v>
      </c>
      <c r="AA22">
        <v>390778</v>
      </c>
      <c r="AB22">
        <v>1111111</v>
      </c>
    </row>
    <row r="23" spans="1:28" x14ac:dyDescent="0.35">
      <c r="A23" t="s">
        <v>203</v>
      </c>
      <c r="B23" s="2" t="s">
        <v>66</v>
      </c>
      <c r="C23">
        <v>980000</v>
      </c>
      <c r="D23">
        <v>1199300</v>
      </c>
      <c r="E23">
        <v>55000</v>
      </c>
      <c r="F23">
        <v>908459</v>
      </c>
      <c r="G23">
        <v>0</v>
      </c>
      <c r="H23">
        <v>4940</v>
      </c>
      <c r="I23">
        <v>153440</v>
      </c>
      <c r="J23">
        <v>235000</v>
      </c>
      <c r="K23">
        <v>305000</v>
      </c>
      <c r="L23">
        <v>100</v>
      </c>
      <c r="M23">
        <f>9516+2700</f>
        <v>12216</v>
      </c>
      <c r="N23">
        <v>9610</v>
      </c>
      <c r="O23">
        <v>1286885</v>
      </c>
      <c r="P23">
        <v>34042</v>
      </c>
      <c r="Q23">
        <v>289285</v>
      </c>
      <c r="R23">
        <v>207673</v>
      </c>
      <c r="S23">
        <v>26000</v>
      </c>
      <c r="T23">
        <v>33000</v>
      </c>
      <c r="U23">
        <v>3698058</v>
      </c>
      <c r="V23">
        <v>1137940</v>
      </c>
      <c r="W23">
        <v>297222</v>
      </c>
      <c r="X23">
        <v>594207</v>
      </c>
      <c r="Y23">
        <v>275103</v>
      </c>
      <c r="Z23">
        <v>383419</v>
      </c>
      <c r="AA23">
        <v>299891</v>
      </c>
      <c r="AB23">
        <v>1018429</v>
      </c>
    </row>
    <row r="24" spans="1:28" x14ac:dyDescent="0.35">
      <c r="A24" t="s">
        <v>237</v>
      </c>
      <c r="B24" s="2" t="s">
        <v>52</v>
      </c>
      <c r="C24">
        <v>1082000</v>
      </c>
      <c r="D24">
        <v>1357000</v>
      </c>
      <c r="E24">
        <v>78000</v>
      </c>
      <c r="F24">
        <v>1010890</v>
      </c>
      <c r="G24">
        <v>0</v>
      </c>
      <c r="H24">
        <v>5355</v>
      </c>
      <c r="I24">
        <v>167110</v>
      </c>
      <c r="J24">
        <v>240000</v>
      </c>
      <c r="K24">
        <v>317000</v>
      </c>
      <c r="L24">
        <v>100</v>
      </c>
      <c r="M24">
        <v>12778</v>
      </c>
      <c r="N24">
        <v>10380</v>
      </c>
      <c r="O24">
        <v>1422444</v>
      </c>
      <c r="P24">
        <v>47738</v>
      </c>
      <c r="Q24">
        <v>325000</v>
      </c>
      <c r="R24">
        <v>210262</v>
      </c>
      <c r="S24">
        <v>29000</v>
      </c>
      <c r="T24">
        <v>47000</v>
      </c>
      <c r="U24">
        <v>3944255</v>
      </c>
      <c r="V24">
        <v>1276338</v>
      </c>
      <c r="W24">
        <v>311732</v>
      </c>
      <c r="X24">
        <v>720056</v>
      </c>
      <c r="Y24">
        <v>276618</v>
      </c>
      <c r="Z24">
        <v>383407</v>
      </c>
      <c r="AA24">
        <v>427192</v>
      </c>
      <c r="AB24">
        <v>1121090</v>
      </c>
    </row>
    <row r="25" spans="1:28" x14ac:dyDescent="0.35">
      <c r="A25" s="44"/>
      <c r="B25" s="45"/>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row>
    <row r="26" spans="1:28" x14ac:dyDescent="0.35">
      <c r="A26" s="44"/>
      <c r="B26" s="45"/>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row>
    <row r="27" spans="1:28" x14ac:dyDescent="0.35">
      <c r="A27" s="44"/>
      <c r="B27" s="45"/>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row>
    <row r="28" spans="1:28" x14ac:dyDescent="0.35">
      <c r="A28" s="44"/>
      <c r="B28" s="45"/>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row>
    <row r="29" spans="1:28" x14ac:dyDescent="0.35">
      <c r="A29" s="44"/>
      <c r="B29" s="45"/>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row>
    <row r="30" spans="1:28" x14ac:dyDescent="0.35">
      <c r="A30" s="44"/>
      <c r="B30" s="45"/>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row>
    <row r="31" spans="1:28" x14ac:dyDescent="0.35">
      <c r="A31" s="44"/>
      <c r="B31" s="45"/>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row>
    <row r="32" spans="1:28" x14ac:dyDescent="0.35">
      <c r="A32" s="44"/>
      <c r="B32" s="45"/>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row>
    <row r="33" spans="1:28" x14ac:dyDescent="0.35">
      <c r="A33" s="44"/>
      <c r="B33" s="45"/>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row>
    <row r="34" spans="1:28" x14ac:dyDescent="0.35">
      <c r="A34" s="44"/>
      <c r="B34" s="45"/>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row>
    <row r="35" spans="1:28" x14ac:dyDescent="0.35">
      <c r="A35" s="44"/>
      <c r="B35" s="45"/>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row>
    <row r="36" spans="1:28" x14ac:dyDescent="0.35">
      <c r="A36" s="44"/>
      <c r="B36" s="45"/>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row>
    <row r="37" spans="1:28" x14ac:dyDescent="0.35">
      <c r="A37" s="44"/>
      <c r="B37" s="45"/>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row>
    <row r="38" spans="1:28" x14ac:dyDescent="0.35">
      <c r="A38" s="44"/>
      <c r="B38" s="45"/>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row>
    <row r="39" spans="1:28" x14ac:dyDescent="0.35">
      <c r="A39" s="44"/>
      <c r="B39" s="45"/>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row>
    <row r="40" spans="1:28" x14ac:dyDescent="0.35">
      <c r="A40" s="44"/>
      <c r="B40" s="45"/>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row>
  </sheetData>
  <sheetProtection algorithmName="SHA-512" hashValue="7RJH0YQEoGRlA46YZfJSrIiJSY/ZBxsXm+lZaxO4eR/YzkVVaPnGwo556Zr6rmBTTQXys/kxafn3egiG38o4Lg==" saltValue="/8SQZvLmAiDEz5xFCPtdwQ==" spinCount="100000" sheet="1" selectLockedCells="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B13"/>
  <sheetViews>
    <sheetView workbookViewId="0">
      <selection activeCell="B13" sqref="B13"/>
    </sheetView>
  </sheetViews>
  <sheetFormatPr defaultRowHeight="14.5" x14ac:dyDescent="0.35"/>
  <cols>
    <col min="2" max="2" width="12.81640625" customWidth="1"/>
  </cols>
  <sheetData>
    <row r="1" spans="1:2" x14ac:dyDescent="0.35">
      <c r="A1" t="s">
        <v>0</v>
      </c>
      <c r="B1" t="s">
        <v>206</v>
      </c>
    </row>
    <row r="2" spans="1:2" x14ac:dyDescent="0.35">
      <c r="A2" t="s">
        <v>145</v>
      </c>
      <c r="B2">
        <v>12467959</v>
      </c>
    </row>
    <row r="3" spans="1:2" x14ac:dyDescent="0.35">
      <c r="A3" t="s">
        <v>110</v>
      </c>
      <c r="B3">
        <v>13771874</v>
      </c>
    </row>
    <row r="4" spans="1:2" x14ac:dyDescent="0.35">
      <c r="A4" t="s">
        <v>109</v>
      </c>
      <c r="B4">
        <v>15391669</v>
      </c>
    </row>
    <row r="5" spans="1:2" x14ac:dyDescent="0.35">
      <c r="A5" t="s">
        <v>106</v>
      </c>
      <c r="B5">
        <v>17090042</v>
      </c>
    </row>
    <row r="6" spans="1:2" x14ac:dyDescent="0.35">
      <c r="A6" t="s">
        <v>64</v>
      </c>
      <c r="B6">
        <v>18899668</v>
      </c>
    </row>
    <row r="7" spans="1:2" x14ac:dyDescent="0.35">
      <c r="A7" t="s">
        <v>22</v>
      </c>
      <c r="B7">
        <v>20103593</v>
      </c>
    </row>
    <row r="8" spans="1:2" x14ac:dyDescent="0.35">
      <c r="A8" t="s">
        <v>42</v>
      </c>
      <c r="B8">
        <v>19854096</v>
      </c>
    </row>
    <row r="9" spans="1:2" x14ac:dyDescent="0.35">
      <c r="A9" t="s">
        <v>165</v>
      </c>
      <c r="B9">
        <v>23597399</v>
      </c>
    </row>
    <row r="10" spans="1:2" x14ac:dyDescent="0.35">
      <c r="A10" t="s">
        <v>177</v>
      </c>
      <c r="B10">
        <v>26949646</v>
      </c>
    </row>
    <row r="11" spans="1:2" x14ac:dyDescent="0.35">
      <c r="A11" s="44" t="s">
        <v>190</v>
      </c>
      <c r="B11" s="44">
        <v>29535667</v>
      </c>
    </row>
    <row r="12" spans="1:2" x14ac:dyDescent="0.35">
      <c r="A12" s="44" t="s">
        <v>203</v>
      </c>
      <c r="B12" s="44">
        <v>33068145</v>
      </c>
    </row>
    <row r="13" spans="1:2" x14ac:dyDescent="0.35">
      <c r="A13" s="44" t="s">
        <v>237</v>
      </c>
      <c r="B13" s="44">
        <v>35713886</v>
      </c>
    </row>
  </sheetData>
  <sheetProtection algorithmName="SHA-512" hashValue="oUv8L/4mFQ21P64bTfKxDphj5xI+0R47o9sstPryUFg01ICN9UIpsE+XuCzjFJtR4QtBEyrn0eQp1LAo5Lfzfg==" saltValue="ceoyaVDLnGvV0wcZKXEPOQ==" spinCount="100000" sheet="1" objects="1" scenarios="1" selectLockedCells="1"/>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C155"/>
  <sheetViews>
    <sheetView topLeftCell="A120" workbookViewId="0">
      <selection activeCell="A137" sqref="A137"/>
    </sheetView>
  </sheetViews>
  <sheetFormatPr defaultRowHeight="14.5" x14ac:dyDescent="0.35"/>
  <cols>
    <col min="3" max="3" width="18.54296875" customWidth="1"/>
    <col min="4" max="4" width="17" customWidth="1"/>
    <col min="5" max="5" width="17.54296875" customWidth="1"/>
    <col min="6" max="6" width="17.7265625" customWidth="1"/>
    <col min="7" max="7" width="24.54296875" customWidth="1"/>
    <col min="8" max="8" width="14.54296875" customWidth="1"/>
    <col min="9" max="9" width="26" customWidth="1"/>
    <col min="10" max="10" width="17.7265625" customWidth="1"/>
    <col min="11" max="11" width="13.1796875" customWidth="1"/>
    <col min="12" max="12" width="16" customWidth="1"/>
    <col min="13" max="13" width="23.7265625" customWidth="1"/>
    <col min="14" max="14" width="15.26953125" customWidth="1"/>
  </cols>
  <sheetData>
    <row r="1" spans="1:29" ht="52.9" customHeight="1" x14ac:dyDescent="0.35">
      <c r="A1" s="3" t="s">
        <v>0</v>
      </c>
      <c r="B1" s="4" t="s">
        <v>1</v>
      </c>
      <c r="C1" s="3" t="s">
        <v>67</v>
      </c>
      <c r="D1" s="3" t="s">
        <v>68</v>
      </c>
      <c r="E1" s="3" t="s">
        <v>69</v>
      </c>
      <c r="F1" s="3" t="s">
        <v>49</v>
      </c>
      <c r="G1" s="3" t="s">
        <v>70</v>
      </c>
      <c r="H1" s="3" t="s">
        <v>71</v>
      </c>
      <c r="I1" s="3" t="s">
        <v>72</v>
      </c>
      <c r="J1" s="3" t="s">
        <v>73</v>
      </c>
      <c r="K1" s="3" t="s">
        <v>45</v>
      </c>
      <c r="L1" s="3" t="s">
        <v>47</v>
      </c>
      <c r="M1" s="3" t="s">
        <v>50</v>
      </c>
      <c r="N1" s="3" t="s">
        <v>46</v>
      </c>
      <c r="O1" s="1"/>
      <c r="P1" s="1"/>
      <c r="Q1" s="1"/>
      <c r="R1" s="1"/>
      <c r="S1" s="1"/>
      <c r="T1" s="1"/>
      <c r="U1" s="1"/>
      <c r="V1" s="1"/>
      <c r="W1" s="1"/>
      <c r="X1" s="1"/>
      <c r="Y1" s="1"/>
      <c r="Z1" s="1"/>
      <c r="AA1" s="1"/>
      <c r="AB1" s="1"/>
      <c r="AC1" s="1"/>
    </row>
    <row r="2" spans="1:29" x14ac:dyDescent="0.35">
      <c r="A2" t="str">
        <f>actual!A2</f>
        <v>2014-15</v>
      </c>
      <c r="B2" t="str">
        <f>actual!B2</f>
        <v>Apr-14</v>
      </c>
      <c r="C2">
        <f>SUM(actual!C2:M2)</f>
        <v>28794</v>
      </c>
      <c r="D2">
        <f>C2-actual!N2-actual!O2</f>
        <v>977</v>
      </c>
      <c r="E2">
        <f>SUM(actual!P2:R2)</f>
        <v>5952</v>
      </c>
      <c r="F2">
        <f>SUM(D2:E2)</f>
        <v>6929</v>
      </c>
      <c r="G2">
        <f>SUM(actual!S2:T2)</f>
        <v>144</v>
      </c>
      <c r="H2">
        <f>SUM(F2:G2)</f>
        <v>7073</v>
      </c>
      <c r="I2">
        <f>actual!U2-actual!V2-actual!W2-actual!X2-actual!Y2-actual!Z2</f>
        <v>27171</v>
      </c>
      <c r="J2">
        <f>actual!U2+actual!AB2</f>
        <v>120527</v>
      </c>
      <c r="K2">
        <f>actual2!J2-actual2!H2</f>
        <v>113454</v>
      </c>
      <c r="L2">
        <f>actual!U2-actual2!F2</f>
        <v>101155</v>
      </c>
      <c r="M2">
        <f>L2-actual!AA2</f>
        <v>91043</v>
      </c>
      <c r="N2">
        <f>K2-actual!V2</f>
        <v>90170</v>
      </c>
    </row>
    <row r="3" spans="1:29" x14ac:dyDescent="0.35">
      <c r="A3" t="str">
        <f>actual!A3</f>
        <v>2014-15</v>
      </c>
      <c r="B3" t="str">
        <f>actual!B3</f>
        <v>May-14</v>
      </c>
      <c r="C3">
        <f>SUM(actual!C3:M3)</f>
        <v>84516</v>
      </c>
      <c r="D3">
        <f>C3-actual!N3-actual!O3</f>
        <v>28651</v>
      </c>
      <c r="E3">
        <f>SUM(actual!P3:R3)</f>
        <v>9854</v>
      </c>
      <c r="F3">
        <f t="shared" ref="F3:F34" si="0">SUM(D3:E3)</f>
        <v>38505</v>
      </c>
      <c r="G3">
        <f>SUM(actual!S3:T3)</f>
        <v>997</v>
      </c>
      <c r="H3">
        <f t="shared" ref="H3:H34" si="1">SUM(F3:G3)</f>
        <v>39502</v>
      </c>
      <c r="I3">
        <f>actual!U3-actual!V3-actual!W3-actual!X3-actual!Y3-actual!Z3</f>
        <v>64885</v>
      </c>
      <c r="J3">
        <f>actual!U3+actual!AB3</f>
        <v>280339</v>
      </c>
      <c r="K3">
        <f>actual2!J3-actual2!H3</f>
        <v>240837</v>
      </c>
      <c r="L3">
        <f>actual!U3-actual2!F3</f>
        <v>205080</v>
      </c>
      <c r="M3">
        <f>L3-actual!AA3</f>
        <v>183624</v>
      </c>
      <c r="N3">
        <f>K3-actual!V3</f>
        <v>185980</v>
      </c>
    </row>
    <row r="4" spans="1:29" x14ac:dyDescent="0.35">
      <c r="A4" t="str">
        <f>actual!A4</f>
        <v>2014-15</v>
      </c>
      <c r="B4" t="str">
        <f>actual!B4</f>
        <v>Jun-14</v>
      </c>
      <c r="C4">
        <f>SUM(actual!C4:M4)</f>
        <v>183028</v>
      </c>
      <c r="D4">
        <f>C4-actual!N4-actual!O4</f>
        <v>99086</v>
      </c>
      <c r="E4">
        <f>SUM(actual!P4:R4)</f>
        <v>15340</v>
      </c>
      <c r="F4">
        <f t="shared" si="0"/>
        <v>114426</v>
      </c>
      <c r="G4">
        <f>SUM(actual!S4:T4)</f>
        <v>1317</v>
      </c>
      <c r="H4">
        <f t="shared" si="1"/>
        <v>115743</v>
      </c>
      <c r="I4">
        <f>actual!U4-actual!V4-actual!W4-actual!X4-actual!Y4-actual!Z4</f>
        <v>114347</v>
      </c>
      <c r="J4">
        <f>actual!U4+actual!AB4</f>
        <v>413603</v>
      </c>
      <c r="K4">
        <f>actual2!J4-actual2!H4</f>
        <v>297860</v>
      </c>
      <c r="L4">
        <f>actual!U4-actual2!F4</f>
        <v>249359</v>
      </c>
      <c r="M4">
        <f>L4-actual!AA4</f>
        <v>217085</v>
      </c>
      <c r="N4">
        <f>K4-actual!V4</f>
        <v>207166</v>
      </c>
    </row>
    <row r="5" spans="1:29" x14ac:dyDescent="0.35">
      <c r="A5" t="str">
        <f>actual!A5</f>
        <v>2014-15</v>
      </c>
      <c r="B5" t="str">
        <f>actual!B5</f>
        <v>Jul-14</v>
      </c>
      <c r="C5">
        <f>SUM(actual!C5:M5)</f>
        <v>258873</v>
      </c>
      <c r="D5">
        <f>C5-actual!N5-actual!O5</f>
        <v>146865</v>
      </c>
      <c r="E5">
        <f>SUM(actual!P5:R5)</f>
        <v>28767</v>
      </c>
      <c r="F5">
        <f t="shared" si="0"/>
        <v>175632</v>
      </c>
      <c r="G5">
        <f>SUM(actual!S5:T5)</f>
        <v>3384</v>
      </c>
      <c r="H5">
        <f t="shared" si="1"/>
        <v>179016</v>
      </c>
      <c r="I5">
        <f>actual!U5-actual!V5-actual!W5-actual!X5-actual!Y5-actual!Z5</f>
        <v>132929</v>
      </c>
      <c r="J5">
        <f>actual!U5+actual!AB5</f>
        <v>503940</v>
      </c>
      <c r="K5">
        <f>actual2!J5-actual2!H5</f>
        <v>324924</v>
      </c>
      <c r="L5">
        <f>actual!U5-actual2!F5</f>
        <v>266419</v>
      </c>
      <c r="M5">
        <f>L5-actual!AA5</f>
        <v>230206</v>
      </c>
      <c r="N5">
        <f>K5-actual!V5</f>
        <v>206309</v>
      </c>
    </row>
    <row r="6" spans="1:29" x14ac:dyDescent="0.35">
      <c r="A6" t="str">
        <f>actual!A6</f>
        <v>2014-15</v>
      </c>
      <c r="B6" t="str">
        <f>actual!B6</f>
        <v>Aug-14</v>
      </c>
      <c r="C6">
        <f>SUM(actual!C6:M6)</f>
        <v>324938</v>
      </c>
      <c r="D6">
        <f>C6-actual!N6-actual!O6</f>
        <v>185459</v>
      </c>
      <c r="E6">
        <f>SUM(actual!P6:R6)</f>
        <v>84996</v>
      </c>
      <c r="F6">
        <f t="shared" si="0"/>
        <v>270455</v>
      </c>
      <c r="G6">
        <f>SUM(actual!S6:T6)</f>
        <v>4334</v>
      </c>
      <c r="H6">
        <f t="shared" si="1"/>
        <v>274789</v>
      </c>
      <c r="I6">
        <f>actual!U6-actual!V6-actual!W6-actual!X6-actual!Y6-actual!Z6</f>
        <v>177154</v>
      </c>
      <c r="J6">
        <f>actual!U6+actual!AB6</f>
        <v>672718</v>
      </c>
      <c r="K6">
        <f>actual2!J6-actual2!H6</f>
        <v>397929</v>
      </c>
      <c r="L6">
        <f>actual!U6-actual2!F6</f>
        <v>324764</v>
      </c>
      <c r="M6">
        <f>L6-actual!AA6</f>
        <v>271213</v>
      </c>
      <c r="N6">
        <f>K6-actual!V6</f>
        <v>244053</v>
      </c>
    </row>
    <row r="7" spans="1:29" x14ac:dyDescent="0.35">
      <c r="A7" t="str">
        <f>actual!A7</f>
        <v>2014-15</v>
      </c>
      <c r="B7" t="str">
        <f>actual!B7</f>
        <v>Sep-14</v>
      </c>
      <c r="C7">
        <f>SUM(actual!C7:M7)</f>
        <v>490618</v>
      </c>
      <c r="D7">
        <f>C7-actual!N7-actual!O7</f>
        <v>323191</v>
      </c>
      <c r="E7">
        <f>SUM(actual!P7:R7)</f>
        <v>94705</v>
      </c>
      <c r="F7">
        <f t="shared" si="0"/>
        <v>417896</v>
      </c>
      <c r="G7">
        <f>SUM(actual!S7:T7)</f>
        <v>5331</v>
      </c>
      <c r="H7">
        <f t="shared" si="1"/>
        <v>423227</v>
      </c>
      <c r="I7">
        <f>actual!U7-actual!V7-actual!W7-actual!X7-actual!Y7-actual!Z7</f>
        <v>244595</v>
      </c>
      <c r="J7">
        <f>actual!U7+actual!AB7</f>
        <v>862053</v>
      </c>
      <c r="K7">
        <f>actual2!J7-actual2!H7</f>
        <v>438826</v>
      </c>
      <c r="L7">
        <f>actual!U7-actual2!F7</f>
        <v>345053</v>
      </c>
      <c r="M7">
        <f>L7-actual!AA7</f>
        <v>278784</v>
      </c>
      <c r="N7">
        <f>K7-actual!V7</f>
        <v>253156</v>
      </c>
    </row>
    <row r="8" spans="1:29" x14ac:dyDescent="0.35">
      <c r="A8" t="str">
        <f>actual!A8</f>
        <v>2014-15</v>
      </c>
      <c r="B8" t="str">
        <f>actual!B8</f>
        <v>Oct-14</v>
      </c>
      <c r="C8">
        <f>SUM(actual!C8:M8)</f>
        <v>563598</v>
      </c>
      <c r="D8">
        <f>C8-actual!N8-actual!O8</f>
        <v>368872</v>
      </c>
      <c r="E8">
        <f>SUM(actual!P8:R8)</f>
        <v>111201</v>
      </c>
      <c r="F8">
        <f t="shared" si="0"/>
        <v>480073</v>
      </c>
      <c r="G8">
        <f>SUM(actual!S8:T8)</f>
        <v>6264</v>
      </c>
      <c r="H8">
        <f t="shared" si="1"/>
        <v>486337</v>
      </c>
      <c r="I8">
        <f>actual!U8-actual!V8-actual!W8-actual!X8-actual!Y8-actual!Z8</f>
        <v>267504</v>
      </c>
      <c r="J8">
        <f>actual!U8+actual!AB8</f>
        <v>962089</v>
      </c>
      <c r="K8">
        <f>actual2!J8-actual2!H8</f>
        <v>475752</v>
      </c>
      <c r="L8">
        <f>actual!U8-actual2!F8</f>
        <v>372634</v>
      </c>
      <c r="M8">
        <f>L8-actual!AA8</f>
        <v>298929</v>
      </c>
      <c r="N8">
        <f>K8-actual!V8</f>
        <v>269778</v>
      </c>
    </row>
    <row r="9" spans="1:29" x14ac:dyDescent="0.35">
      <c r="A9" t="str">
        <f>actual!A9</f>
        <v>2014-15</v>
      </c>
      <c r="B9" t="str">
        <f>actual!B9</f>
        <v>Nov-14</v>
      </c>
      <c r="C9">
        <f>SUM(actual!C9:M9)</f>
        <v>635583</v>
      </c>
      <c r="D9">
        <f>C9-actual!N9-actual!O9</f>
        <v>413310</v>
      </c>
      <c r="E9">
        <f>SUM(actual!P9:R9)</f>
        <v>128343</v>
      </c>
      <c r="F9">
        <f t="shared" si="0"/>
        <v>541653</v>
      </c>
      <c r="G9">
        <f>SUM(actual!S9:T9)</f>
        <v>7396</v>
      </c>
      <c r="H9">
        <f t="shared" si="1"/>
        <v>549049</v>
      </c>
      <c r="I9">
        <f>actual!U9-actual!V9-actual!W9-actual!X9-actual!Y9-actual!Z9</f>
        <v>294608</v>
      </c>
      <c r="J9">
        <f>actual!U9+actual!AB9</f>
        <v>1074183</v>
      </c>
      <c r="K9">
        <f>actual2!J9-actual2!H9</f>
        <v>525134</v>
      </c>
      <c r="L9">
        <f>actual!U9-actual2!F9</f>
        <v>411075</v>
      </c>
      <c r="M9">
        <f>L9-actual!AA9</f>
        <v>329491</v>
      </c>
      <c r="N9">
        <f>K9-actual!V9</f>
        <v>292484</v>
      </c>
    </row>
    <row r="10" spans="1:29" x14ac:dyDescent="0.35">
      <c r="A10" t="str">
        <f>actual!A10</f>
        <v>2014-15</v>
      </c>
      <c r="B10" t="str">
        <f>actual!B10</f>
        <v>Dec-14</v>
      </c>
      <c r="C10">
        <f>SUM(actual!C10:M10)</f>
        <v>795686</v>
      </c>
      <c r="D10">
        <f>C10-actual!N10-actual!O10</f>
        <v>545714</v>
      </c>
      <c r="E10">
        <f>SUM(actual!P10:R10)</f>
        <v>148059</v>
      </c>
      <c r="F10">
        <f t="shared" si="0"/>
        <v>693773</v>
      </c>
      <c r="G10">
        <f>SUM(actual!S10:T10)</f>
        <v>10234</v>
      </c>
      <c r="H10">
        <f t="shared" si="1"/>
        <v>704007</v>
      </c>
      <c r="I10">
        <f>actual!U10-actual!V10-actual!W10-actual!X10-actual!Y10-actual!Z10</f>
        <v>347890</v>
      </c>
      <c r="J10">
        <f>actual!U10+actual!AB10</f>
        <v>1236388</v>
      </c>
      <c r="K10">
        <f>actual2!J10-actual2!H10</f>
        <v>532381</v>
      </c>
      <c r="L10">
        <f>actual!U10-actual2!F10</f>
        <v>401775</v>
      </c>
      <c r="M10">
        <f>L10-actual!AA10</f>
        <v>303912</v>
      </c>
      <c r="N10">
        <f>K10-actual!V10</f>
        <v>257161</v>
      </c>
    </row>
    <row r="11" spans="1:29" x14ac:dyDescent="0.35">
      <c r="A11" t="str">
        <f>actual!A11</f>
        <v>2014-15</v>
      </c>
      <c r="B11" t="str">
        <f>actual!B11</f>
        <v>Jan-15</v>
      </c>
      <c r="C11">
        <f>SUM(actual!C11:M11)</f>
        <v>872084</v>
      </c>
      <c r="D11">
        <f>C11-actual!N11-actual!O11</f>
        <v>594797</v>
      </c>
      <c r="E11">
        <f>SUM(actual!P11:R11)</f>
        <v>158310</v>
      </c>
      <c r="F11">
        <f t="shared" si="0"/>
        <v>753107</v>
      </c>
      <c r="G11">
        <f>SUM(actual!S11:T11)</f>
        <v>17022</v>
      </c>
      <c r="H11">
        <f t="shared" si="1"/>
        <v>770129</v>
      </c>
      <c r="I11">
        <f>actual!U11-actual!V11-actual!W11-actual!X11-actual!Y11-actual!Z11</f>
        <v>363102</v>
      </c>
      <c r="J11">
        <f>actual!U11+actual!AB11</f>
        <v>1338268</v>
      </c>
      <c r="K11">
        <f>actual2!J11-actual2!H11</f>
        <v>568139</v>
      </c>
      <c r="L11">
        <f>actual!U11-actual2!F11</f>
        <v>441506</v>
      </c>
      <c r="M11">
        <f>L11-actual!AA11</f>
        <v>339298</v>
      </c>
      <c r="N11">
        <f>K11-actual!V11</f>
        <v>255879</v>
      </c>
    </row>
    <row r="12" spans="1:29" x14ac:dyDescent="0.35">
      <c r="A12" t="str">
        <f>actual!A12</f>
        <v>2014-15</v>
      </c>
      <c r="B12" t="str">
        <f>actual!B12</f>
        <v>Feb-15</v>
      </c>
      <c r="C12">
        <f>SUM(actual!C12:M12)</f>
        <v>954953</v>
      </c>
      <c r="D12">
        <f>C12-actual!N12-actual!O12</f>
        <v>651419</v>
      </c>
      <c r="E12">
        <f>SUM(actual!P12:R12)</f>
        <v>164819</v>
      </c>
      <c r="F12">
        <f t="shared" si="0"/>
        <v>816238</v>
      </c>
      <c r="G12">
        <f>SUM(actual!S12:T12)</f>
        <v>40764</v>
      </c>
      <c r="H12">
        <f t="shared" si="1"/>
        <v>857002</v>
      </c>
      <c r="I12">
        <f>actual!U12-actual!V12-actual!W12-actual!X12-actual!Y12-actual!Z12</f>
        <v>394375</v>
      </c>
      <c r="J12">
        <f>actual!U12+actual!AB12</f>
        <v>1459536</v>
      </c>
      <c r="K12">
        <f>actual2!J12-actual2!H12</f>
        <v>602534</v>
      </c>
      <c r="L12">
        <f>actual!U12-actual2!F12</f>
        <v>483254</v>
      </c>
      <c r="M12">
        <f>L12-actual!AA12</f>
        <v>369184</v>
      </c>
      <c r="N12">
        <f>K12-actual!V12</f>
        <v>256278</v>
      </c>
    </row>
    <row r="13" spans="1:29" x14ac:dyDescent="0.35">
      <c r="A13" t="str">
        <f>actual!A13</f>
        <v>2014-15</v>
      </c>
      <c r="B13" t="str">
        <f>actual!B13</f>
        <v>Mar-15</v>
      </c>
      <c r="C13">
        <f>SUM(actual!C13:M13)</f>
        <v>1244884</v>
      </c>
      <c r="D13">
        <f>C13-actual!N13-actual!O13</f>
        <v>903615</v>
      </c>
      <c r="E13">
        <f>SUM(actual!P13:R13)</f>
        <v>197766</v>
      </c>
      <c r="F13">
        <f t="shared" si="0"/>
        <v>1101381</v>
      </c>
      <c r="G13">
        <f>SUM(actual!S13:T13)</f>
        <v>51475</v>
      </c>
      <c r="H13">
        <f t="shared" si="1"/>
        <v>1152856</v>
      </c>
      <c r="I13">
        <f>actual!U13-actual!V13-actual!W13-actual!X13-actual!Y13-actual!Z13</f>
        <v>425825</v>
      </c>
      <c r="J13">
        <f>actual!U13+actual!AB13</f>
        <v>1663673</v>
      </c>
      <c r="K13">
        <f>actual2!J13-actual2!H13</f>
        <v>510817</v>
      </c>
      <c r="L13">
        <f>actual!U13-actual2!F13</f>
        <v>365611</v>
      </c>
      <c r="M13">
        <f>L13-actual!AA13</f>
        <v>234851</v>
      </c>
      <c r="N13">
        <f>K13-actual!V13</f>
        <v>108373</v>
      </c>
    </row>
    <row r="14" spans="1:29" x14ac:dyDescent="0.35">
      <c r="A14" t="str">
        <f>actual!A14</f>
        <v>2015-16</v>
      </c>
      <c r="B14" t="str">
        <f>actual!B14</f>
        <v>Apr-15</v>
      </c>
      <c r="C14">
        <f>SUM(actual!C14:M14)</f>
        <v>34816</v>
      </c>
      <c r="D14">
        <f>C14-actual!N14-actual!O14</f>
        <v>-2813</v>
      </c>
      <c r="E14">
        <f>SUM(actual!P14:R14)</f>
        <v>28126</v>
      </c>
      <c r="F14">
        <f t="shared" si="0"/>
        <v>25313</v>
      </c>
      <c r="G14">
        <f>SUM(actual!S14:T14)</f>
        <v>1781</v>
      </c>
      <c r="H14">
        <f t="shared" si="1"/>
        <v>27094</v>
      </c>
      <c r="I14">
        <f>actual!U14-actual!V14-actual!W14-actual!X14-actual!Y14-actual!Z14</f>
        <v>37885</v>
      </c>
      <c r="J14">
        <f>actual!U14+actual!AB14</f>
        <v>154617</v>
      </c>
      <c r="K14">
        <f>actual2!J14-actual2!H14</f>
        <v>127523</v>
      </c>
      <c r="L14">
        <f>actual!U14-actual2!F14</f>
        <v>103095</v>
      </c>
      <c r="M14">
        <f>L14-actual!AA14</f>
        <v>84728</v>
      </c>
      <c r="N14">
        <f>K14-actual!V14</f>
        <v>110529</v>
      </c>
    </row>
    <row r="15" spans="1:29" x14ac:dyDescent="0.35">
      <c r="A15" t="str">
        <f>actual!A15</f>
        <v>2015-16</v>
      </c>
      <c r="B15" t="str">
        <f>actual!B15</f>
        <v>May-15</v>
      </c>
      <c r="C15">
        <f>SUM(actual!C15:M15)</f>
        <v>95332</v>
      </c>
      <c r="D15">
        <f>C15-actual!N15-actual!O15</f>
        <v>19889</v>
      </c>
      <c r="E15">
        <f>SUM(actual!P15:R15)</f>
        <v>32472</v>
      </c>
      <c r="F15">
        <f t="shared" si="0"/>
        <v>52361</v>
      </c>
      <c r="G15">
        <f>SUM(actual!S15:T15)</f>
        <v>1846</v>
      </c>
      <c r="H15">
        <f t="shared" si="1"/>
        <v>54207</v>
      </c>
      <c r="I15">
        <f>actual!U15-actual!V15-actual!W15-actual!X15-actual!Y15-actual!Z15</f>
        <v>63606</v>
      </c>
      <c r="J15">
        <f>actual!U15+actual!AB15</f>
        <v>262831</v>
      </c>
      <c r="K15">
        <f>actual2!J15-actual2!H15</f>
        <v>208624</v>
      </c>
      <c r="L15">
        <f>actual!U15-actual2!F15</f>
        <v>172727</v>
      </c>
      <c r="M15">
        <f>L15-actual!AA15</f>
        <v>150589</v>
      </c>
      <c r="N15">
        <f>K15-actual!V15</f>
        <v>160177</v>
      </c>
    </row>
    <row r="16" spans="1:29" x14ac:dyDescent="0.35">
      <c r="A16" t="str">
        <f>actual!A16</f>
        <v>2015-16</v>
      </c>
      <c r="B16" t="str">
        <f>actual!B16</f>
        <v>Jun-15</v>
      </c>
      <c r="C16">
        <f>SUM(actual!C16:M16)</f>
        <v>215113</v>
      </c>
      <c r="D16">
        <f>C16-actual!N16-actual!O16</f>
        <v>101685</v>
      </c>
      <c r="E16">
        <f>SUM(actual!P16:R16)</f>
        <v>39519</v>
      </c>
      <c r="F16">
        <f t="shared" si="0"/>
        <v>141204</v>
      </c>
      <c r="G16">
        <f>SUM(actual!S16:T16)</f>
        <v>3094</v>
      </c>
      <c r="H16">
        <f t="shared" si="1"/>
        <v>144298</v>
      </c>
      <c r="I16">
        <f>actual!U16-actual!V16-actual!W16-actual!X16-actual!Y16-actual!Z16</f>
        <v>110063</v>
      </c>
      <c r="J16">
        <f>actual!U16+actual!AB16</f>
        <v>430993</v>
      </c>
      <c r="K16">
        <f>actual2!J16-actual2!H16</f>
        <v>286695</v>
      </c>
      <c r="L16">
        <f>actual!U16-actual2!F16</f>
        <v>231180</v>
      </c>
      <c r="M16">
        <f>L16-actual!AA16</f>
        <v>196021</v>
      </c>
      <c r="N16">
        <f>K16-actual!V16</f>
        <v>191202</v>
      </c>
    </row>
    <row r="17" spans="1:14" x14ac:dyDescent="0.35">
      <c r="A17" t="str">
        <f>actual!A17</f>
        <v>2015-16</v>
      </c>
      <c r="B17" t="str">
        <f>actual!B17</f>
        <v>Jul-15</v>
      </c>
      <c r="C17">
        <f>SUM(actual!C17:M17)</f>
        <v>305110</v>
      </c>
      <c r="D17">
        <f>C17-actual!N17-actual!O17</f>
        <v>153851</v>
      </c>
      <c r="E17">
        <f>SUM(actual!P17:R17)</f>
        <v>55131</v>
      </c>
      <c r="F17">
        <f t="shared" si="0"/>
        <v>208982</v>
      </c>
      <c r="G17">
        <f>SUM(actual!S17:T17)</f>
        <v>6894</v>
      </c>
      <c r="H17">
        <f t="shared" si="1"/>
        <v>215876</v>
      </c>
      <c r="I17">
        <f>actual!U17-actual!V17-actual!W17-actual!X17-actual!Y17-actual!Z17</f>
        <v>149856</v>
      </c>
      <c r="J17">
        <f>actual!U17+actual!AB17</f>
        <v>600979</v>
      </c>
      <c r="K17">
        <f>actual2!J17-actual2!H17</f>
        <v>385103</v>
      </c>
      <c r="L17">
        <f>actual!U17-actual2!F17</f>
        <v>305971</v>
      </c>
      <c r="M17">
        <f>L17-actual!AA17</f>
        <v>262582</v>
      </c>
      <c r="N17">
        <f>K17-actual!V17</f>
        <v>257466</v>
      </c>
    </row>
    <row r="18" spans="1:14" x14ac:dyDescent="0.35">
      <c r="A18" t="str">
        <f>actual!A18</f>
        <v>2015-16</v>
      </c>
      <c r="B18" t="str">
        <f>actual!B18</f>
        <v>Aug-15</v>
      </c>
      <c r="C18">
        <f>SUM(actual!C18:M18)</f>
        <v>399085</v>
      </c>
      <c r="D18">
        <f>C18-actual!N18-actual!O18</f>
        <v>209930</v>
      </c>
      <c r="E18">
        <f>SUM(actual!P18:R18)</f>
        <v>135606</v>
      </c>
      <c r="F18">
        <f t="shared" si="0"/>
        <v>345536</v>
      </c>
      <c r="G18">
        <f>SUM(actual!S18:T18)</f>
        <v>17362</v>
      </c>
      <c r="H18">
        <f t="shared" si="1"/>
        <v>362898</v>
      </c>
      <c r="I18">
        <f>actual!U18-actual!V18-actual!W18-actual!X18-actual!Y18-actual!Z18</f>
        <v>188962</v>
      </c>
      <c r="J18">
        <f>actual!U18+actual!AB18</f>
        <v>732193</v>
      </c>
      <c r="K18">
        <f>actual2!J18-actual2!H18</f>
        <v>369295</v>
      </c>
      <c r="L18">
        <f>actual!U18-actual2!F18</f>
        <v>294719</v>
      </c>
      <c r="M18">
        <f>L18-actual!AA18</f>
        <v>239655</v>
      </c>
      <c r="N18">
        <f>K18-actual!V18</f>
        <v>205826</v>
      </c>
    </row>
    <row r="19" spans="1:14" x14ac:dyDescent="0.35">
      <c r="A19" t="str">
        <f>actual!A19</f>
        <v>2015-16</v>
      </c>
      <c r="B19" t="str">
        <f>actual!B19</f>
        <v>Sep-15</v>
      </c>
      <c r="C19">
        <f>SUM(actual!C19:M19)</f>
        <v>596884</v>
      </c>
      <c r="D19">
        <f>C19-actual!N19-actual!O19</f>
        <v>369736</v>
      </c>
      <c r="E19">
        <f>SUM(actual!P19:R19)</f>
        <v>143633</v>
      </c>
      <c r="F19">
        <f t="shared" si="0"/>
        <v>513369</v>
      </c>
      <c r="G19">
        <f>SUM(actual!S19:T19)</f>
        <v>18613</v>
      </c>
      <c r="H19">
        <f t="shared" si="1"/>
        <v>531982</v>
      </c>
      <c r="I19">
        <f>actual!U19-actual!V19-actual!W19-actual!X19-actual!Y19-actual!Z19</f>
        <v>231748</v>
      </c>
      <c r="J19">
        <f>actual!U19+actual!AB19</f>
        <v>910545</v>
      </c>
      <c r="K19">
        <f>actual2!J19-actual2!H19</f>
        <v>378563</v>
      </c>
      <c r="L19">
        <f>actual!U19-actual2!F19</f>
        <v>269008</v>
      </c>
      <c r="M19">
        <f>L19-actual!AA19</f>
        <v>204134</v>
      </c>
      <c r="N19">
        <f>K19-actual!V19</f>
        <v>180910</v>
      </c>
    </row>
    <row r="20" spans="1:14" x14ac:dyDescent="0.35">
      <c r="A20" t="str">
        <f>actual!A20</f>
        <v>2015-16</v>
      </c>
      <c r="B20" t="str">
        <f>actual!B20</f>
        <v>Oct-15</v>
      </c>
      <c r="C20">
        <f>SUM(actual!C20:M20)</f>
        <v>693842</v>
      </c>
      <c r="D20">
        <f>C20-actual!N20-actual!O20</f>
        <v>428803</v>
      </c>
      <c r="E20">
        <f>SUM(actual!P20:R20)</f>
        <v>161935</v>
      </c>
      <c r="F20">
        <f t="shared" si="0"/>
        <v>590738</v>
      </c>
      <c r="G20">
        <f>SUM(actual!S20:T20)</f>
        <v>19636</v>
      </c>
      <c r="H20">
        <f t="shared" si="1"/>
        <v>610374</v>
      </c>
      <c r="I20">
        <f>actual!U20-actual!V20-actual!W20-actual!X20-actual!Y20-actual!Z20</f>
        <v>247811</v>
      </c>
      <c r="J20">
        <f>actual!U20+actual!AB20</f>
        <v>1021620</v>
      </c>
      <c r="K20">
        <f>actual2!J20-actual2!H20</f>
        <v>411246</v>
      </c>
      <c r="L20">
        <f>actual!U20-actual2!F20</f>
        <v>287553</v>
      </c>
      <c r="M20">
        <f>L20-actual!AA20</f>
        <v>219360</v>
      </c>
      <c r="N20">
        <f>K20-actual!V20</f>
        <v>195914</v>
      </c>
    </row>
    <row r="21" spans="1:14" x14ac:dyDescent="0.35">
      <c r="A21" t="str">
        <f>actual!A21</f>
        <v>2015-16</v>
      </c>
      <c r="B21" t="str">
        <f>actual!B21</f>
        <v>Nov-15</v>
      </c>
      <c r="C21">
        <f>SUM(actual!C21:M21)</f>
        <v>767835</v>
      </c>
      <c r="D21">
        <f>C21-actual!N21-actual!O21</f>
        <v>464864</v>
      </c>
      <c r="E21">
        <f>SUM(actual!P21:R21)</f>
        <v>173192</v>
      </c>
      <c r="F21">
        <f t="shared" si="0"/>
        <v>638056</v>
      </c>
      <c r="G21">
        <f>SUM(actual!S21:T21)</f>
        <v>20728</v>
      </c>
      <c r="H21">
        <f t="shared" si="1"/>
        <v>658784</v>
      </c>
      <c r="I21">
        <f>actual!U21-actual!V21-actual!W21-actual!X21-actual!Y21-actual!Z21</f>
        <v>273078</v>
      </c>
      <c r="J21">
        <f>actual!U21+actual!AB21</f>
        <v>1142307</v>
      </c>
      <c r="K21">
        <f>actual2!J21-actual2!H21</f>
        <v>483523</v>
      </c>
      <c r="L21">
        <f>actual!U21-actual2!F21</f>
        <v>345328</v>
      </c>
      <c r="M21">
        <f>L21-actual!AA21</f>
        <v>264404</v>
      </c>
      <c r="N21">
        <f>K21-actual!V21</f>
        <v>230924</v>
      </c>
    </row>
    <row r="22" spans="1:14" x14ac:dyDescent="0.35">
      <c r="A22" t="str">
        <f>actual!A22</f>
        <v>2015-16</v>
      </c>
      <c r="B22" t="str">
        <f>actual!B22</f>
        <v>Dec-15</v>
      </c>
      <c r="C22">
        <f>SUM(actual!C22:M22)</f>
        <v>963229</v>
      </c>
      <c r="D22">
        <f>C22-actual!N22-actual!O22</f>
        <v>622247</v>
      </c>
      <c r="E22">
        <f>SUM(actual!P22:R22)</f>
        <v>181561</v>
      </c>
      <c r="F22">
        <f t="shared" si="0"/>
        <v>803808</v>
      </c>
      <c r="G22">
        <f>SUM(actual!S22:T22)</f>
        <v>22004</v>
      </c>
      <c r="H22">
        <f t="shared" si="1"/>
        <v>825812</v>
      </c>
      <c r="I22">
        <f>actual!U22-actual!V22-actual!W22-actual!X22-actual!Y22-actual!Z22</f>
        <v>305623</v>
      </c>
      <c r="J22">
        <f>actual!U22+actual!AB22</f>
        <v>1313997</v>
      </c>
      <c r="K22">
        <f>actual2!J22-actual2!H22</f>
        <v>488185</v>
      </c>
      <c r="L22">
        <f>actual!U22-actual2!F22</f>
        <v>322234</v>
      </c>
      <c r="M22">
        <f>L22-actual!AA22</f>
        <v>229446</v>
      </c>
      <c r="N22">
        <f>K22-actual!V22</f>
        <v>185887</v>
      </c>
    </row>
    <row r="23" spans="1:14" x14ac:dyDescent="0.35">
      <c r="A23" t="str">
        <f>actual!A23</f>
        <v>2015-16</v>
      </c>
      <c r="B23" t="str">
        <f>actual!B23</f>
        <v>Jan-16</v>
      </c>
      <c r="C23">
        <f>SUM(actual!C23:M23)</f>
        <v>1057704</v>
      </c>
      <c r="D23">
        <f>C23-actual!N23-actual!O23</f>
        <v>678892</v>
      </c>
      <c r="E23">
        <f>SUM(actual!P23:R23)</f>
        <v>202290</v>
      </c>
      <c r="F23">
        <f t="shared" si="0"/>
        <v>881182</v>
      </c>
      <c r="G23">
        <f>SUM(actual!S23:T23)</f>
        <v>22877</v>
      </c>
      <c r="H23">
        <f t="shared" si="1"/>
        <v>904059</v>
      </c>
      <c r="I23">
        <f>actual!U23-actual!V23-actual!W23-actual!X23-actual!Y23-actual!Z23</f>
        <v>331973</v>
      </c>
      <c r="J23">
        <f>actual!U23+actual!AB23</f>
        <v>1436340</v>
      </c>
      <c r="K23">
        <f>actual2!J23-actual2!H23</f>
        <v>532281</v>
      </c>
      <c r="L23">
        <f>actual!U23-actual2!F23</f>
        <v>346174</v>
      </c>
      <c r="M23">
        <f>L23-actual!AA23</f>
        <v>246906</v>
      </c>
      <c r="N23">
        <f>K23-actual!V23</f>
        <v>190647</v>
      </c>
    </row>
    <row r="24" spans="1:14" x14ac:dyDescent="0.35">
      <c r="A24" t="str">
        <f>actual!A24</f>
        <v>2015-16</v>
      </c>
      <c r="B24" t="str">
        <f>actual!B24</f>
        <v>Feb-16</v>
      </c>
      <c r="C24">
        <f>SUM(actual!C24:M24)</f>
        <v>1152545</v>
      </c>
      <c r="D24">
        <f>C24-actual!N24-actual!O24</f>
        <v>735778</v>
      </c>
      <c r="E24">
        <f>SUM(actual!P24:R24)</f>
        <v>211272</v>
      </c>
      <c r="F24">
        <f t="shared" si="0"/>
        <v>947050</v>
      </c>
      <c r="G24">
        <f>SUM(actual!S24:T24)</f>
        <v>35951</v>
      </c>
      <c r="H24">
        <f t="shared" si="1"/>
        <v>983001</v>
      </c>
      <c r="I24">
        <f>actual!U24-actual!V24-actual!W24-actual!X24-actual!Y24-actual!Z24</f>
        <v>365907</v>
      </c>
      <c r="J24">
        <f>actual!U24+actual!AB24</f>
        <v>1555873</v>
      </c>
      <c r="K24">
        <f>actual2!J24-actual2!H24</f>
        <v>572872</v>
      </c>
      <c r="L24">
        <f>actual!U24-actual2!F24</f>
        <v>390810</v>
      </c>
      <c r="M24">
        <f>L24-actual!AA24</f>
        <v>280014</v>
      </c>
      <c r="N24">
        <f>K24-actual!V24</f>
        <v>193387</v>
      </c>
    </row>
    <row r="25" spans="1:14" x14ac:dyDescent="0.35">
      <c r="A25" t="str">
        <f>actual!A25</f>
        <v>2015-16</v>
      </c>
      <c r="B25" t="str">
        <f>actual!B25</f>
        <v>Mar-16</v>
      </c>
      <c r="C25">
        <f>SUM(actual!C25:M25)</f>
        <v>1455648</v>
      </c>
      <c r="D25">
        <f>C25-actual!N25-actual!O25</f>
        <v>943765</v>
      </c>
      <c r="E25">
        <f>SUM(actual!P25:R25)</f>
        <v>251260</v>
      </c>
      <c r="F25">
        <f t="shared" si="0"/>
        <v>1195025</v>
      </c>
      <c r="G25">
        <f>SUM(actual!S25:T25)</f>
        <v>62975</v>
      </c>
      <c r="H25">
        <f t="shared" si="1"/>
        <v>1258000</v>
      </c>
      <c r="I25">
        <f>actual!U25-actual!V25-actual!W25-actual!X25-actual!Y25-actual!Z25</f>
        <v>425545</v>
      </c>
      <c r="J25">
        <f>actual!U25+actual!AB25</f>
        <v>1790783</v>
      </c>
      <c r="K25">
        <f>actual2!J25-actual2!H25</f>
        <v>532783</v>
      </c>
      <c r="L25">
        <f>actual!U25-actual2!F25</f>
        <v>342736</v>
      </c>
      <c r="M25">
        <f>L25-actual!AA25</f>
        <v>211781</v>
      </c>
      <c r="N25">
        <f>K25-actual!V25</f>
        <v>91124</v>
      </c>
    </row>
    <row r="26" spans="1:14" x14ac:dyDescent="0.35">
      <c r="A26" t="str">
        <f>actual!A26</f>
        <v>2016-17</v>
      </c>
      <c r="B26" t="str">
        <f>actual!B26</f>
        <v>Apr-16</v>
      </c>
      <c r="C26">
        <f>SUM(actual!C26:M26)</f>
        <v>53701</v>
      </c>
      <c r="D26">
        <f>C26-actual!N26-actual!O26</f>
        <v>12766</v>
      </c>
      <c r="E26">
        <f>SUM(actual!P26:R26)</f>
        <v>9309</v>
      </c>
      <c r="F26">
        <f t="shared" si="0"/>
        <v>22075</v>
      </c>
      <c r="G26">
        <f>SUM(actual!S26:T26)</f>
        <v>2584</v>
      </c>
      <c r="H26">
        <f t="shared" si="1"/>
        <v>24659</v>
      </c>
      <c r="I26">
        <f>actual!U26-actual!V26-actual!W26-actual!X26-actual!Y26-actual!Z26</f>
        <v>41493</v>
      </c>
      <c r="J26">
        <f>actual!U26+actual!AB26</f>
        <v>161985</v>
      </c>
      <c r="K26">
        <f>actual2!J26-actual2!H26</f>
        <v>137326</v>
      </c>
      <c r="L26">
        <f>actual!U26-actual2!F26</f>
        <v>119075</v>
      </c>
      <c r="M26">
        <f>L26-actual!AA26</f>
        <v>95113</v>
      </c>
      <c r="N26">
        <f>K26-actual!V26</f>
        <v>121470</v>
      </c>
    </row>
    <row r="27" spans="1:14" x14ac:dyDescent="0.35">
      <c r="A27" t="str">
        <f>actual!A27</f>
        <v>2016-17</v>
      </c>
      <c r="B27" t="str">
        <f>actual!B27</f>
        <v>May-16</v>
      </c>
      <c r="C27">
        <f>SUM(actual!C27:M27)</f>
        <v>131858</v>
      </c>
      <c r="D27">
        <f>C27-actual!N27-actual!O27</f>
        <v>49690</v>
      </c>
      <c r="E27">
        <f>SUM(actual!P27:R27)</f>
        <v>16001</v>
      </c>
      <c r="F27">
        <f t="shared" si="0"/>
        <v>65691</v>
      </c>
      <c r="G27">
        <f>SUM(actual!S27:T27)</f>
        <v>3369</v>
      </c>
      <c r="H27">
        <f t="shared" si="1"/>
        <v>69060</v>
      </c>
      <c r="I27">
        <f>actual!U27-actual!V27-actual!W27-actual!X27-actual!Y27-actual!Z27</f>
        <v>57906</v>
      </c>
      <c r="J27">
        <f>actual!U27+actual!AB27</f>
        <v>298046</v>
      </c>
      <c r="K27">
        <f>actual2!J27-actual2!H27</f>
        <v>228986</v>
      </c>
      <c r="L27">
        <f>actual!U27-actual2!F27</f>
        <v>199123</v>
      </c>
      <c r="M27">
        <f>L27-actual!AA27</f>
        <v>165260</v>
      </c>
      <c r="N27">
        <f>K27-actual!V27</f>
        <v>174272</v>
      </c>
    </row>
    <row r="28" spans="1:14" x14ac:dyDescent="0.35">
      <c r="A28" t="str">
        <f>actual!A28</f>
        <v>2016-17</v>
      </c>
      <c r="B28" t="str">
        <f>actual!B28</f>
        <v>Jun-16</v>
      </c>
      <c r="C28">
        <f>SUM(actual!C28:M28)</f>
        <v>280853</v>
      </c>
      <c r="D28">
        <f>C28-actual!N28-actual!O28</f>
        <v>157303</v>
      </c>
      <c r="E28">
        <f>SUM(actual!P28:R28)</f>
        <v>23484</v>
      </c>
      <c r="F28">
        <f t="shared" si="0"/>
        <v>180787</v>
      </c>
      <c r="G28">
        <f>SUM(actual!S28:T28)</f>
        <v>4722</v>
      </c>
      <c r="H28">
        <f t="shared" si="1"/>
        <v>185509</v>
      </c>
      <c r="I28">
        <f>actual!U28-actual!V28-actual!W28-actual!X28-actual!Y28-actual!Z28</f>
        <v>98327</v>
      </c>
      <c r="J28">
        <f>actual!U28+actual!AB28</f>
        <v>511832</v>
      </c>
      <c r="K28">
        <f>actual2!J28-actual2!H28</f>
        <v>326323</v>
      </c>
      <c r="L28">
        <f>actual!U28-actual2!F28</f>
        <v>282049</v>
      </c>
      <c r="M28">
        <f>L28-actual!AA28</f>
        <v>228276</v>
      </c>
      <c r="N28">
        <f>K28-actual!V28</f>
        <v>217521</v>
      </c>
    </row>
    <row r="29" spans="1:14" x14ac:dyDescent="0.35">
      <c r="A29" t="str">
        <f>actual!A29</f>
        <v>2016-17</v>
      </c>
      <c r="B29" t="str">
        <f>actual!B29</f>
        <v>Jul-16</v>
      </c>
      <c r="C29">
        <f>SUM(actual!C29:M29)</f>
        <v>386439</v>
      </c>
      <c r="D29">
        <f>C29-actual!N29-actual!O29</f>
        <v>221668</v>
      </c>
      <c r="E29">
        <f>SUM(actual!P29:R29)</f>
        <v>34098</v>
      </c>
      <c r="F29">
        <f t="shared" si="0"/>
        <v>255766</v>
      </c>
      <c r="G29">
        <f>SUM(actual!S29:T29)</f>
        <v>7434</v>
      </c>
      <c r="H29">
        <f t="shared" si="1"/>
        <v>263200</v>
      </c>
      <c r="I29">
        <f>actual!U29-actual!V29-actual!W29-actual!X29-actual!Y29-actual!Z29</f>
        <v>129806</v>
      </c>
      <c r="J29">
        <f>actual!U29+actual!AB29</f>
        <v>656687</v>
      </c>
      <c r="K29">
        <f>actual2!J29-actual2!H29</f>
        <v>393487</v>
      </c>
      <c r="L29">
        <f>actual!U29-actual2!F29</f>
        <v>329638</v>
      </c>
      <c r="M29">
        <f>L29-actual!AA29</f>
        <v>266427</v>
      </c>
      <c r="N29">
        <f>K29-actual!V29</f>
        <v>253008</v>
      </c>
    </row>
    <row r="30" spans="1:14" x14ac:dyDescent="0.35">
      <c r="A30" t="str">
        <f>actual!A30</f>
        <v>2016-17</v>
      </c>
      <c r="B30" t="str">
        <f>actual!B30</f>
        <v>Aug-16</v>
      </c>
      <c r="C30">
        <f>SUM(actual!C30:M30)</f>
        <v>486356</v>
      </c>
      <c r="D30">
        <f>C30-actual!N30-actual!O30</f>
        <v>280255</v>
      </c>
      <c r="E30">
        <f>SUM(actual!P30:R30)</f>
        <v>105068</v>
      </c>
      <c r="F30">
        <f t="shared" si="0"/>
        <v>385323</v>
      </c>
      <c r="G30">
        <f>SUM(actual!S30:T30)</f>
        <v>8518</v>
      </c>
      <c r="H30">
        <f t="shared" si="1"/>
        <v>393841</v>
      </c>
      <c r="I30">
        <f>actual!U30-actual!V30-actual!W30-actual!X30-actual!Y30-actual!Z30</f>
        <v>159445</v>
      </c>
      <c r="J30">
        <f>actual!U30+actual!AB30</f>
        <v>801661</v>
      </c>
      <c r="K30">
        <f>actual2!J30-actual2!H30</f>
        <v>407820</v>
      </c>
      <c r="L30">
        <f>actual!U30-actual2!F30</f>
        <v>325006</v>
      </c>
      <c r="M30">
        <f>L30-actual!AA30</f>
        <v>254626</v>
      </c>
      <c r="N30">
        <f>K30-actual!V30</f>
        <v>233348</v>
      </c>
    </row>
    <row r="31" spans="1:14" x14ac:dyDescent="0.35">
      <c r="A31" t="str">
        <f>actual!A31</f>
        <v>2016-17</v>
      </c>
      <c r="B31" t="str">
        <f>actual!B31</f>
        <v>Sep-16</v>
      </c>
      <c r="C31">
        <f>SUM(actual!C31:M31)</f>
        <v>695693</v>
      </c>
      <c r="D31">
        <f>C31-actual!N31-actual!O31</f>
        <v>448155</v>
      </c>
      <c r="E31">
        <f>SUM(actual!P31:R31)</f>
        <v>118768</v>
      </c>
      <c r="F31">
        <f t="shared" si="0"/>
        <v>566923</v>
      </c>
      <c r="G31">
        <f>SUM(actual!S31:T31)</f>
        <v>12817</v>
      </c>
      <c r="H31">
        <f t="shared" si="1"/>
        <v>579740</v>
      </c>
      <c r="I31">
        <f>actual!U31-actual!V31-actual!W31-actual!X31-actual!Y31-actual!Z31</f>
        <v>209638</v>
      </c>
      <c r="J31">
        <f>actual!U31+actual!AB31</f>
        <v>1027728</v>
      </c>
      <c r="K31">
        <f>actual2!J31-actual2!H31</f>
        <v>447988</v>
      </c>
      <c r="L31">
        <f>actual!U31-actual2!F31</f>
        <v>325880</v>
      </c>
      <c r="M31">
        <f>L31-actual!AA31</f>
        <v>225118</v>
      </c>
      <c r="N31">
        <f>K31-actual!V31</f>
        <v>234759</v>
      </c>
    </row>
    <row r="32" spans="1:14" x14ac:dyDescent="0.35">
      <c r="A32" t="str">
        <f>actual!A32</f>
        <v>2016-17</v>
      </c>
      <c r="B32" t="str">
        <f>actual!B32</f>
        <v>Oct-16</v>
      </c>
      <c r="C32">
        <f>SUM(actual!C32:M32)</f>
        <v>818884</v>
      </c>
      <c r="D32">
        <f>C32-actual!N32-actual!O32</f>
        <v>530015</v>
      </c>
      <c r="E32">
        <f>SUM(actual!P32:R32)</f>
        <v>167973</v>
      </c>
      <c r="F32">
        <f t="shared" si="0"/>
        <v>697988</v>
      </c>
      <c r="G32">
        <f>SUM(actual!S32:T32)</f>
        <v>29348</v>
      </c>
      <c r="H32">
        <f t="shared" si="1"/>
        <v>727336</v>
      </c>
      <c r="I32">
        <f>actual!U32-actual!V32-actual!W32-actual!X32-actual!Y32-actual!Z32</f>
        <v>230069</v>
      </c>
      <c r="J32">
        <f>actual!U32+actual!AB32</f>
        <v>1150843</v>
      </c>
      <c r="K32">
        <f>actual2!J32-actual2!H32</f>
        <v>423507</v>
      </c>
      <c r="L32">
        <f>actual!U32-actual2!F32</f>
        <v>327896</v>
      </c>
      <c r="M32">
        <f>L32-actual!AA32</f>
        <v>222640</v>
      </c>
      <c r="N32">
        <f>K32-actual!V32</f>
        <v>196700</v>
      </c>
    </row>
    <row r="33" spans="1:14" x14ac:dyDescent="0.35">
      <c r="A33" t="str">
        <f>actual!A33</f>
        <v>2016-17</v>
      </c>
      <c r="B33" t="str">
        <f>actual!B33</f>
        <v>Nov-16</v>
      </c>
      <c r="C33">
        <f>SUM(actual!C33:M33)</f>
        <v>933280</v>
      </c>
      <c r="D33">
        <f>C33-actual!N33-actual!O33</f>
        <v>621172</v>
      </c>
      <c r="E33">
        <f>SUM(actual!P33:R33)</f>
        <v>174951</v>
      </c>
      <c r="F33">
        <f t="shared" si="0"/>
        <v>796123</v>
      </c>
      <c r="G33">
        <f>SUM(actual!S33:T33)</f>
        <v>32562</v>
      </c>
      <c r="H33">
        <f t="shared" si="1"/>
        <v>828685</v>
      </c>
      <c r="I33">
        <f>actual!U33-actual!V33-actual!W33-actual!X33-actual!Y33-actual!Z33</f>
        <v>266214</v>
      </c>
      <c r="J33">
        <f>actual!U33+actual!AB33</f>
        <v>1286681</v>
      </c>
      <c r="K33">
        <f>actual2!J33-actual2!H33</f>
        <v>457996</v>
      </c>
      <c r="L33">
        <f>actual!U33-actual2!F33</f>
        <v>348211</v>
      </c>
      <c r="M33">
        <f>L33-actual!AA33</f>
        <v>235290</v>
      </c>
      <c r="N33">
        <f>K33-actual!V33</f>
        <v>191318</v>
      </c>
    </row>
    <row r="34" spans="1:14" x14ac:dyDescent="0.35">
      <c r="A34" t="str">
        <f>actual!A34</f>
        <v>2016-17</v>
      </c>
      <c r="B34" t="str">
        <f>actual!B34</f>
        <v>Dec-16</v>
      </c>
      <c r="C34">
        <f>SUM(actual!C34:M34)</f>
        <v>1139087</v>
      </c>
      <c r="D34">
        <f>C34-actual!N34-actual!O34</f>
        <v>752116</v>
      </c>
      <c r="E34">
        <f>SUM(actual!P34:R34)</f>
        <v>182450</v>
      </c>
      <c r="F34">
        <f t="shared" si="0"/>
        <v>934566</v>
      </c>
      <c r="G34">
        <f>SUM(actual!S34:T34)</f>
        <v>33932</v>
      </c>
      <c r="H34">
        <f t="shared" si="1"/>
        <v>968498</v>
      </c>
      <c r="I34">
        <f>actual!U34-actual!V34-actual!W34-actual!X34-actual!Y34-actual!Z34</f>
        <v>277073</v>
      </c>
      <c r="J34">
        <f>actual!U34+actual!AB34</f>
        <v>1469748</v>
      </c>
      <c r="K34">
        <f>actual2!J34-actual2!H34</f>
        <v>501250</v>
      </c>
      <c r="L34">
        <f>actual!U34-actual2!F34</f>
        <v>354296</v>
      </c>
      <c r="M34">
        <f>L34-actual!AA34</f>
        <v>228773</v>
      </c>
      <c r="N34">
        <f>K34-actual!V34</f>
        <v>175566</v>
      </c>
    </row>
    <row r="35" spans="1:14" x14ac:dyDescent="0.35">
      <c r="A35" t="str">
        <f>actual!A35</f>
        <v>2016-17</v>
      </c>
      <c r="B35" t="str">
        <f>actual!B35</f>
        <v>Jan-17</v>
      </c>
      <c r="C35">
        <f>SUM(actual!C35:M35)</f>
        <v>1244670</v>
      </c>
      <c r="D35">
        <f>C35-actual!N35-actual!O35</f>
        <v>816354</v>
      </c>
      <c r="E35">
        <f>SUM(actual!P35:R35)</f>
        <v>193040</v>
      </c>
      <c r="F35">
        <f t="shared" ref="F35:F42" si="2">SUM(D35:E35)</f>
        <v>1009394</v>
      </c>
      <c r="G35">
        <f>SUM(actual!S35:T35)</f>
        <v>44071</v>
      </c>
      <c r="H35">
        <f t="shared" ref="H35:H42" si="3">SUM(F35:G35)</f>
        <v>1053465</v>
      </c>
      <c r="I35">
        <f>actual!U35-actual!V35-actual!W35-actual!X35-actual!Y35-actual!Z35</f>
        <v>299846</v>
      </c>
      <c r="J35">
        <f>actual!U35+actual!AB35</f>
        <v>1617657</v>
      </c>
      <c r="K35">
        <f>actual2!J35-actual2!H35</f>
        <v>564192</v>
      </c>
      <c r="L35">
        <f>actual!U35-actual2!F35</f>
        <v>404826</v>
      </c>
      <c r="M35">
        <f>L35-actual!AA35</f>
        <v>269763</v>
      </c>
      <c r="N35">
        <f>K35-actual!V35</f>
        <v>195600</v>
      </c>
    </row>
    <row r="36" spans="1:14" x14ac:dyDescent="0.35">
      <c r="A36" t="str">
        <f>actual!A36</f>
        <v>2016-17</v>
      </c>
      <c r="B36" t="str">
        <f>actual!B36</f>
        <v>Feb-17</v>
      </c>
      <c r="C36">
        <f>SUM(actual!C36:M36)</f>
        <v>1354942</v>
      </c>
      <c r="D36">
        <f>C36-actual!N36-actual!O36</f>
        <v>885272</v>
      </c>
      <c r="E36">
        <f>SUM(actual!P36:R36)</f>
        <v>208911</v>
      </c>
      <c r="F36">
        <f t="shared" si="2"/>
        <v>1094183</v>
      </c>
      <c r="G36">
        <f>SUM(actual!S36:T36)</f>
        <v>53223</v>
      </c>
      <c r="H36">
        <f t="shared" si="3"/>
        <v>1147406</v>
      </c>
      <c r="I36">
        <f>actual!U36-actual!V36-actual!W36-actual!X36-actual!Y36-actual!Z36</f>
        <v>334569</v>
      </c>
      <c r="J36">
        <f>actual!U36+actual!AB36</f>
        <v>1753020</v>
      </c>
      <c r="K36">
        <f>actual2!J36-actual2!H36</f>
        <v>605614</v>
      </c>
      <c r="L36">
        <f>actual!U36-actual2!F36</f>
        <v>444041</v>
      </c>
      <c r="M36">
        <f>L36-actual!AA36</f>
        <v>298664</v>
      </c>
      <c r="N36">
        <f>K36-actual!V36</f>
        <v>201630</v>
      </c>
    </row>
    <row r="37" spans="1:14" x14ac:dyDescent="0.35">
      <c r="A37" t="str">
        <f>actual!A37</f>
        <v>2016-17</v>
      </c>
      <c r="B37" t="str">
        <f>actual!B37</f>
        <v>Mar-17</v>
      </c>
      <c r="C37">
        <f>SUM(actual!C37:M37)</f>
        <v>1715822</v>
      </c>
      <c r="D37">
        <f>C37-actual!N37-actual!O37</f>
        <v>1101372</v>
      </c>
      <c r="E37">
        <f>SUM(actual!P37:R37)</f>
        <v>274584</v>
      </c>
      <c r="F37">
        <f t="shared" si="2"/>
        <v>1375956</v>
      </c>
      <c r="G37">
        <f>SUM(actual!S37:T37)</f>
        <v>65513</v>
      </c>
      <c r="H37">
        <f t="shared" si="3"/>
        <v>1441469</v>
      </c>
      <c r="I37">
        <f>actual!U37-actual!V37-actual!W37-actual!X37-actual!Y37-actual!Z37</f>
        <v>422919</v>
      </c>
      <c r="J37">
        <f>actual!U37+actual!AB37</f>
        <v>1979268</v>
      </c>
      <c r="K37">
        <f>actual2!J37-actual2!H37</f>
        <v>537799</v>
      </c>
      <c r="L37">
        <f>actual!U37-actual2!F37</f>
        <v>317030</v>
      </c>
      <c r="M37">
        <f>L37-actual!AA37</f>
        <v>150470</v>
      </c>
      <c r="N37">
        <f>K37-actual!V37</f>
        <v>57085</v>
      </c>
    </row>
    <row r="38" spans="1:14" x14ac:dyDescent="0.35">
      <c r="A38" t="str">
        <f>actual!A38</f>
        <v>2017-18</v>
      </c>
      <c r="B38" t="str">
        <f>actual!B38</f>
        <v>Apr-17</v>
      </c>
      <c r="C38">
        <f>SUM(actual!C38:M38)</f>
        <v>71397</v>
      </c>
      <c r="D38">
        <f>C38-actual!N38-actual!O38</f>
        <v>23032</v>
      </c>
      <c r="E38">
        <f>SUM(actual!P38:R38)</f>
        <v>12049</v>
      </c>
      <c r="F38">
        <f t="shared" si="2"/>
        <v>35081</v>
      </c>
      <c r="G38">
        <f>SUM(actual!S38:T38)</f>
        <v>1448</v>
      </c>
      <c r="H38">
        <f t="shared" si="3"/>
        <v>36529</v>
      </c>
      <c r="I38">
        <f>actual!U38-actual!V38-actual!W38-actual!X38-actual!Y38-actual!Z38</f>
        <v>43146</v>
      </c>
      <c r="J38">
        <f>actual!U38+actual!AB38</f>
        <v>242151</v>
      </c>
      <c r="K38">
        <f>actual2!J38-actual2!H38</f>
        <v>205622</v>
      </c>
      <c r="L38">
        <f>actual!U38-actual2!F38</f>
        <v>178383</v>
      </c>
      <c r="M38">
        <f>L38-actual!AA38</f>
        <v>153717</v>
      </c>
      <c r="N38">
        <f>K38-actual!V38</f>
        <v>186200</v>
      </c>
    </row>
    <row r="39" spans="1:14" x14ac:dyDescent="0.35">
      <c r="A39" t="str">
        <f>actual!A39</f>
        <v>2017-18</v>
      </c>
      <c r="B39" t="str">
        <f>actual!B39</f>
        <v>May-17</v>
      </c>
      <c r="C39">
        <f>SUM(actual!C39:M39)</f>
        <v>164833</v>
      </c>
      <c r="D39">
        <f>C39-actual!N39-actual!O39</f>
        <v>67668</v>
      </c>
      <c r="E39">
        <f>SUM(actual!P39:R39)</f>
        <v>15344</v>
      </c>
      <c r="F39">
        <f t="shared" si="2"/>
        <v>83012</v>
      </c>
      <c r="G39">
        <f>SUM(actual!S39:T39)</f>
        <v>2653</v>
      </c>
      <c r="H39">
        <f t="shared" si="3"/>
        <v>85665</v>
      </c>
      <c r="I39">
        <f>actual!U39-actual!V39-actual!W39-actual!X39-actual!Y39-actual!Z39</f>
        <v>81657</v>
      </c>
      <c r="J39">
        <f>actual!U39+actual!AB39</f>
        <v>459026</v>
      </c>
      <c r="K39">
        <f>actual2!J39-actual2!H39</f>
        <v>373361</v>
      </c>
      <c r="L39">
        <f>actual!U39-actual2!F39</f>
        <v>323478</v>
      </c>
      <c r="M39">
        <f>L39-actual!AA39</f>
        <v>280673</v>
      </c>
      <c r="N39">
        <f>K39-actual!V39</f>
        <v>304347</v>
      </c>
    </row>
    <row r="40" spans="1:14" x14ac:dyDescent="0.35">
      <c r="A40" t="str">
        <f>actual!A40</f>
        <v>2017-18</v>
      </c>
      <c r="B40" t="str">
        <f>actual!B40</f>
        <v>Jun-17</v>
      </c>
      <c r="C40">
        <f>SUM(actual!C40:M40)</f>
        <v>323420</v>
      </c>
      <c r="D40">
        <f>C40-actual!N40-actual!O40</f>
        <v>177337</v>
      </c>
      <c r="E40">
        <f>SUM(actual!P40:R40)</f>
        <v>21965</v>
      </c>
      <c r="F40">
        <f t="shared" si="2"/>
        <v>199302</v>
      </c>
      <c r="G40">
        <f>SUM(actual!S40:T40)</f>
        <v>9744</v>
      </c>
      <c r="H40">
        <f t="shared" si="3"/>
        <v>209046</v>
      </c>
      <c r="I40">
        <f>actual!U40-actual!V40-actual!W40-actual!X40-actual!Y40-actual!Z40</f>
        <v>113190</v>
      </c>
      <c r="J40">
        <f>actual!U40+actual!AB40</f>
        <v>650731</v>
      </c>
      <c r="K40">
        <f>actual2!J40-actual2!H40</f>
        <v>441685</v>
      </c>
      <c r="L40">
        <f>actual!U40-actual2!F40</f>
        <v>383101</v>
      </c>
      <c r="M40">
        <f>L40-actual!AA40</f>
        <v>327586</v>
      </c>
      <c r="N40">
        <f>K40-actual!V40</f>
        <v>308275</v>
      </c>
    </row>
    <row r="41" spans="1:14" x14ac:dyDescent="0.35">
      <c r="A41" t="str">
        <f>actual!A41</f>
        <v>2017-18</v>
      </c>
      <c r="B41" t="str">
        <f>actual!B41</f>
        <v>Jul-17</v>
      </c>
      <c r="C41">
        <f>SUM(actual!C41:M41)</f>
        <v>452527</v>
      </c>
      <c r="D41">
        <f>C41-actual!N41-actual!O41</f>
        <v>257883</v>
      </c>
      <c r="E41">
        <f>SUM(actual!P41:R41)</f>
        <v>33136</v>
      </c>
      <c r="F41">
        <f t="shared" si="2"/>
        <v>291019</v>
      </c>
      <c r="G41">
        <f>SUM(actual!S41:T41)</f>
        <v>12502</v>
      </c>
      <c r="H41">
        <f t="shared" si="3"/>
        <v>303521</v>
      </c>
      <c r="I41">
        <f>actual!U41-actual!V41-actual!W41-actual!X41-actual!Y41-actual!Z41</f>
        <v>141447</v>
      </c>
      <c r="J41">
        <f>actual!U41+actual!AB41</f>
        <v>808417</v>
      </c>
      <c r="K41">
        <f>actual2!J41-actual2!H41</f>
        <v>504896</v>
      </c>
      <c r="L41">
        <f>actual!U41-actual2!F41</f>
        <v>422272</v>
      </c>
      <c r="M41">
        <f>L41-actual!AA41</f>
        <v>348547</v>
      </c>
      <c r="N41">
        <f>K41-actual!V41</f>
        <v>344055</v>
      </c>
    </row>
    <row r="42" spans="1:14" x14ac:dyDescent="0.35">
      <c r="A42" t="str">
        <f>actual!A42</f>
        <v>2017-18</v>
      </c>
      <c r="B42" t="str">
        <f>actual!B42</f>
        <v>Aug-17</v>
      </c>
      <c r="C42">
        <f>SUM(actual!C42:M42)</f>
        <v>583626</v>
      </c>
      <c r="D42">
        <f>C42-actual!N42-actual!O42</f>
        <v>340612</v>
      </c>
      <c r="E42">
        <f>SUM(actual!P42:R42)</f>
        <v>69256</v>
      </c>
      <c r="F42">
        <f t="shared" si="2"/>
        <v>409868</v>
      </c>
      <c r="G42">
        <f>SUM(actual!S42:T42)</f>
        <v>15534</v>
      </c>
      <c r="H42">
        <f t="shared" si="3"/>
        <v>425402</v>
      </c>
      <c r="I42">
        <f>actual!U42-actual!V42-actual!W42-actual!X42-actual!Y42-actual!Z42</f>
        <v>171053</v>
      </c>
      <c r="J42">
        <f>actual!U42+actual!AB42</f>
        <v>950447</v>
      </c>
      <c r="K42">
        <f>actual2!J42-actual2!H42</f>
        <v>525045</v>
      </c>
      <c r="L42">
        <f>actual!U42-actual2!F42</f>
        <v>430931</v>
      </c>
      <c r="M42">
        <f>L42-actual!AA42</f>
        <v>346131</v>
      </c>
      <c r="N42">
        <f>K42-actual!V42</f>
        <v>328652</v>
      </c>
    </row>
    <row r="43" spans="1:14" x14ac:dyDescent="0.35">
      <c r="A43" t="str">
        <f>actual!A42</f>
        <v>2017-18</v>
      </c>
      <c r="B43" t="str">
        <f>actual!B42</f>
        <v>Aug-17</v>
      </c>
      <c r="C43">
        <f>SUM(actual!C42:M42)</f>
        <v>583626</v>
      </c>
      <c r="D43">
        <f>C43-actual!N42-actual!O42</f>
        <v>340612</v>
      </c>
      <c r="E43">
        <f>SUM(actual!P42:R42)</f>
        <v>69256</v>
      </c>
      <c r="F43">
        <f t="shared" ref="F43:F44" si="4">SUM(D43:E43)</f>
        <v>409868</v>
      </c>
      <c r="G43">
        <f>SUM(actual!S42:T42)</f>
        <v>15534</v>
      </c>
      <c r="H43">
        <f t="shared" ref="H43:H44" si="5">SUM(F43:G43)</f>
        <v>425402</v>
      </c>
      <c r="I43">
        <f>actual!U42-actual!V42-actual!W42-actual!X42-actual!Y42-actual!Z42</f>
        <v>171053</v>
      </c>
      <c r="J43">
        <f>actual!U42+actual!AB42</f>
        <v>950447</v>
      </c>
      <c r="K43">
        <f>actual2!J43-actual2!H43</f>
        <v>525045</v>
      </c>
      <c r="L43">
        <f>actual!U42-actual2!F43</f>
        <v>430931</v>
      </c>
      <c r="M43">
        <f>L43-actual!AA42</f>
        <v>346131</v>
      </c>
      <c r="N43">
        <f>K43-actual!V42</f>
        <v>328652</v>
      </c>
    </row>
    <row r="44" spans="1:14" x14ac:dyDescent="0.35">
      <c r="A44" t="str">
        <f>actual!A43</f>
        <v>2017-18</v>
      </c>
      <c r="B44" t="str">
        <f>actual!B43</f>
        <v>Sep-17</v>
      </c>
      <c r="C44">
        <f>SUM(actual!C43:M43)</f>
        <v>833840</v>
      </c>
      <c r="D44">
        <f>C44-actual!N43-actual!O43</f>
        <v>542358</v>
      </c>
      <c r="E44">
        <f>SUM(actual!P43:R43)</f>
        <v>80849</v>
      </c>
      <c r="F44">
        <f t="shared" si="4"/>
        <v>623207</v>
      </c>
      <c r="G44">
        <f>SUM(actual!S43:T43)</f>
        <v>27042</v>
      </c>
      <c r="H44">
        <f t="shared" si="5"/>
        <v>650249</v>
      </c>
      <c r="I44">
        <f>actual!U43-actual!V43-actual!W43-actual!X43-actual!Y43-actual!Z43</f>
        <v>222931</v>
      </c>
      <c r="J44">
        <f>actual!U43+actual!AB43</f>
        <v>1149187</v>
      </c>
      <c r="K44">
        <f>actual2!J44-actual2!H44</f>
        <v>498938</v>
      </c>
      <c r="L44">
        <f>actual!U43-actual2!F44</f>
        <v>379591</v>
      </c>
      <c r="M44">
        <f>L44-actual!AA43</f>
        <v>272999</v>
      </c>
      <c r="N44">
        <f>K44-actual!V43</f>
        <v>273172</v>
      </c>
    </row>
    <row r="45" spans="1:14" x14ac:dyDescent="0.35">
      <c r="A45" t="str">
        <f>actual!A44</f>
        <v>2017-18</v>
      </c>
      <c r="B45" t="str">
        <f>actual!B44</f>
        <v>Oct-17</v>
      </c>
      <c r="C45">
        <f>SUM(actual!C44:M44)</f>
        <v>973412</v>
      </c>
      <c r="D45">
        <f>C45-actual!N44-actual!O44</f>
        <v>633617</v>
      </c>
      <c r="E45">
        <f>SUM(actual!P44:R44)</f>
        <v>95151</v>
      </c>
      <c r="F45">
        <f t="shared" ref="F45:F96" si="6">SUM(D45:E45)</f>
        <v>728768</v>
      </c>
      <c r="G45">
        <f>SUM(actual!S44:T44)</f>
        <v>38559</v>
      </c>
      <c r="H45">
        <f t="shared" ref="H45:H96" si="7">SUM(F45:G45)</f>
        <v>767327</v>
      </c>
      <c r="I45">
        <f>actual!U44-actual!V44-actual!W44-actual!X44-actual!Y44-actual!Z44</f>
        <v>253998</v>
      </c>
      <c r="J45">
        <f>actual!U44+actual!AB44</f>
        <v>1292648</v>
      </c>
      <c r="K45">
        <f>actual2!J45-actual2!H45</f>
        <v>525321</v>
      </c>
      <c r="L45">
        <f>actual!U44-actual2!F45</f>
        <v>401085</v>
      </c>
      <c r="M45">
        <f>L45-actual!AA44</f>
        <v>285231</v>
      </c>
      <c r="N45">
        <f>K45-actual!V44</f>
        <v>267412</v>
      </c>
    </row>
    <row r="46" spans="1:14" x14ac:dyDescent="0.35">
      <c r="A46" t="str">
        <f>actual!A45</f>
        <v>2017-18</v>
      </c>
      <c r="B46" t="str">
        <f>actual!B45</f>
        <v>Nov-17</v>
      </c>
      <c r="C46">
        <f>SUM(actual!C45:M45)</f>
        <v>1087302</v>
      </c>
      <c r="D46">
        <f>C46-actual!N45-actual!O45</f>
        <v>699392</v>
      </c>
      <c r="E46">
        <f>SUM(actual!P45:R45)</f>
        <v>105469</v>
      </c>
      <c r="F46">
        <f t="shared" si="6"/>
        <v>804861</v>
      </c>
      <c r="G46">
        <f>SUM(actual!S45:T45)</f>
        <v>61849</v>
      </c>
      <c r="H46">
        <f t="shared" si="7"/>
        <v>866710</v>
      </c>
      <c r="I46">
        <f>actual!U45-actual!V45-actual!W45-actual!X45-actual!Y45-actual!Z45</f>
        <v>284672</v>
      </c>
      <c r="J46">
        <f>actual!U45+actual!AB45</f>
        <v>1478815</v>
      </c>
      <c r="K46">
        <f>actual2!J46-actual2!H46</f>
        <v>612105</v>
      </c>
      <c r="L46">
        <f>actual!U45-actual2!F46</f>
        <v>489839</v>
      </c>
      <c r="M46">
        <f>L46-actual!AA45</f>
        <v>361405</v>
      </c>
      <c r="N46">
        <f>K46-actual!V45</f>
        <v>302306</v>
      </c>
    </row>
    <row r="47" spans="1:14" x14ac:dyDescent="0.35">
      <c r="A47" t="str">
        <f>actual!A46</f>
        <v>2017-18</v>
      </c>
      <c r="B47" t="str">
        <f>actual!B46</f>
        <v>Dec-17</v>
      </c>
      <c r="C47">
        <f>SUM(actual!C46:M46)</f>
        <v>1336566</v>
      </c>
      <c r="D47">
        <f>C47-actual!N46-actual!O46</f>
        <v>900124</v>
      </c>
      <c r="E47">
        <f>SUM(actual!P46:R46)</f>
        <v>113498</v>
      </c>
      <c r="F47">
        <f t="shared" si="6"/>
        <v>1013622</v>
      </c>
      <c r="G47">
        <f>SUM(actual!S46:T46)</f>
        <v>64384</v>
      </c>
      <c r="H47">
        <f t="shared" si="7"/>
        <v>1078006</v>
      </c>
      <c r="I47">
        <f>actual!U46-actual!V46-actual!W46-actual!X46-actual!Y46-actual!Z46</f>
        <v>319994</v>
      </c>
      <c r="J47">
        <f>actual!U46+actual!AB46</f>
        <v>1698955</v>
      </c>
      <c r="K47">
        <f>actual2!J47-actual2!H47</f>
        <v>620949</v>
      </c>
      <c r="L47">
        <f>actual!U46-actual2!F47</f>
        <v>448737</v>
      </c>
      <c r="M47">
        <f>L47-actual!AA46</f>
        <v>302488</v>
      </c>
      <c r="N47">
        <f>K47-actual!V46</f>
        <v>246993</v>
      </c>
    </row>
    <row r="48" spans="1:14" x14ac:dyDescent="0.35">
      <c r="A48" t="str">
        <f>actual!A47</f>
        <v>2017-18</v>
      </c>
      <c r="B48" t="str">
        <f>actual!B47</f>
        <v>Jan-18</v>
      </c>
      <c r="C48">
        <f>SUM(actual!C47:M47)</f>
        <v>1455846</v>
      </c>
      <c r="D48">
        <f>C48-actual!N47-actual!O47</f>
        <v>971323</v>
      </c>
      <c r="E48">
        <f>SUM(actual!P47:R47)</f>
        <v>124364</v>
      </c>
      <c r="F48">
        <f t="shared" si="6"/>
        <v>1095687</v>
      </c>
      <c r="G48">
        <f>SUM(actual!S47:T47)</f>
        <v>67699</v>
      </c>
      <c r="H48">
        <f t="shared" si="7"/>
        <v>1163386</v>
      </c>
      <c r="I48">
        <f>actual!U47-actual!V47-actual!W47-actual!X47-actual!Y47-actual!Z47</f>
        <v>341735</v>
      </c>
      <c r="J48">
        <f>actual!U47+actual!AB47</f>
        <v>1839945</v>
      </c>
      <c r="K48">
        <f>actual2!J48-actual2!H48</f>
        <v>676559</v>
      </c>
      <c r="L48">
        <f>actual!U47-actual2!F48</f>
        <v>480093</v>
      </c>
      <c r="M48">
        <f>L48-actual!AA47</f>
        <v>326357</v>
      </c>
      <c r="N48">
        <f>K48-actual!V47</f>
        <v>262321</v>
      </c>
    </row>
    <row r="49" spans="1:14" x14ac:dyDescent="0.35">
      <c r="A49" t="str">
        <f>actual!A48</f>
        <v>2017-18</v>
      </c>
      <c r="B49" t="str">
        <f>actual!B48</f>
        <v>Feb-18</v>
      </c>
      <c r="C49">
        <f>SUM(actual!C48:M48)</f>
        <v>1568391</v>
      </c>
      <c r="D49">
        <f>C49-actual!N48-actual!O48</f>
        <v>1035546</v>
      </c>
      <c r="E49">
        <f>SUM(actual!P48:R48)</f>
        <v>142132</v>
      </c>
      <c r="F49">
        <f t="shared" si="6"/>
        <v>1177678</v>
      </c>
      <c r="G49">
        <f>SUM(actual!S48:T48)</f>
        <v>105794</v>
      </c>
      <c r="H49">
        <f t="shared" si="7"/>
        <v>1283472</v>
      </c>
      <c r="I49">
        <f>actual!U48-actual!V48-actual!W48-actual!X48-actual!Y48-actual!Z48</f>
        <v>375779</v>
      </c>
      <c r="J49">
        <f>actual!U48+actual!AB48</f>
        <v>1999171</v>
      </c>
      <c r="K49">
        <f>actual2!J49-actual2!H49</f>
        <v>715699</v>
      </c>
      <c r="L49">
        <f>actual!U48-actual2!F49</f>
        <v>524407</v>
      </c>
      <c r="M49">
        <f>L49-actual!AA48</f>
        <v>359758</v>
      </c>
      <c r="N49">
        <f>K49-actual!V48</f>
        <v>264970</v>
      </c>
    </row>
    <row r="50" spans="1:14" x14ac:dyDescent="0.35">
      <c r="A50" t="str">
        <f>actual!A49</f>
        <v>2017-18</v>
      </c>
      <c r="B50" t="str">
        <f>actual!B49</f>
        <v>Mar-18</v>
      </c>
      <c r="C50">
        <f>SUM(actual!C49:M49)</f>
        <v>1919009</v>
      </c>
      <c r="D50">
        <f>C50-actual!N49-actual!O49</f>
        <v>1242487</v>
      </c>
      <c r="E50">
        <f>SUM(actual!P49:R49)</f>
        <v>187917</v>
      </c>
      <c r="F50">
        <f t="shared" si="6"/>
        <v>1430404</v>
      </c>
      <c r="G50">
        <f>SUM(actual!S49:T49)</f>
        <v>120356</v>
      </c>
      <c r="H50">
        <f t="shared" si="7"/>
        <v>1550760</v>
      </c>
      <c r="I50">
        <f>actual!U49-actual!V49-actual!W49-actual!X49-actual!Y49-actual!Z49</f>
        <v>450910</v>
      </c>
      <c r="J50">
        <f>actual!U49+actual!AB49</f>
        <v>2141822</v>
      </c>
      <c r="K50">
        <f>actual2!J50-actual2!H50</f>
        <v>591062</v>
      </c>
      <c r="L50">
        <f>actual!U49-actual2!F50</f>
        <v>448942</v>
      </c>
      <c r="M50">
        <f>L50-actual!AA49</f>
        <v>256422</v>
      </c>
      <c r="N50">
        <f>K50-actual!V49</f>
        <v>62110</v>
      </c>
    </row>
    <row r="51" spans="1:14" x14ac:dyDescent="0.35">
      <c r="A51" t="str">
        <f>actual!A50</f>
        <v>2018-19</v>
      </c>
      <c r="B51" t="str">
        <f>actual!B50</f>
        <v>Apr-18</v>
      </c>
      <c r="C51">
        <f>SUM(actual!C50:M50)</f>
        <v>113330</v>
      </c>
      <c r="D51">
        <f>C51-actual!N50-actual!O50</f>
        <v>57533</v>
      </c>
      <c r="E51">
        <f>SUM(actual!P50:R50)</f>
        <v>13124</v>
      </c>
      <c r="F51">
        <f t="shared" si="6"/>
        <v>70657</v>
      </c>
      <c r="G51">
        <f>SUM(actual!S50:T50)</f>
        <v>793</v>
      </c>
      <c r="H51">
        <f t="shared" si="7"/>
        <v>71450</v>
      </c>
      <c r="I51">
        <f>actual!U50-actual!V50-actual!W50-actual!X50-actual!Y50-actual!Z50</f>
        <v>39385</v>
      </c>
      <c r="J51">
        <f>actual!U50+actual!AB50</f>
        <v>223417</v>
      </c>
      <c r="K51">
        <f>actual2!J51-actual2!H51</f>
        <v>151967</v>
      </c>
      <c r="L51">
        <f>actual!U50-actual2!F51</f>
        <v>106057</v>
      </c>
      <c r="M51">
        <f>L51-actual!AA50</f>
        <v>83402</v>
      </c>
      <c r="N51">
        <f>K51-actual!V50</f>
        <v>136349</v>
      </c>
    </row>
    <row r="52" spans="1:14" x14ac:dyDescent="0.35">
      <c r="A52" t="str">
        <f>actual!A51</f>
        <v>2018-19</v>
      </c>
      <c r="B52" t="str">
        <f>actual!B51</f>
        <v>May-18</v>
      </c>
      <c r="C52">
        <f>SUM(actual!C51:M51)</f>
        <v>214098</v>
      </c>
      <c r="D52">
        <f>C52-actual!N51-actual!O51</f>
        <v>102408</v>
      </c>
      <c r="E52">
        <f>SUM(actual!P51:R51)</f>
        <v>24049</v>
      </c>
      <c r="F52">
        <f t="shared" si="6"/>
        <v>126457</v>
      </c>
      <c r="G52">
        <f>SUM(actual!S51:T51)</f>
        <v>1004</v>
      </c>
      <c r="H52">
        <f t="shared" si="7"/>
        <v>127461</v>
      </c>
      <c r="I52">
        <f>actual!U51-actual!V51-actual!W51-actual!X51-actual!Y51-actual!Z51</f>
        <v>95116</v>
      </c>
      <c r="J52">
        <f>actual!U51+actual!AB51</f>
        <v>472954</v>
      </c>
      <c r="K52">
        <f>actual2!J52-actual2!H52</f>
        <v>345493</v>
      </c>
      <c r="L52">
        <f>actual!U51-actual2!F52</f>
        <v>282706</v>
      </c>
      <c r="M52">
        <f>L52-actual!AA51</f>
        <v>236898</v>
      </c>
      <c r="N52">
        <f>K52-actual!V51</f>
        <v>271887</v>
      </c>
    </row>
    <row r="53" spans="1:14" x14ac:dyDescent="0.35">
      <c r="A53" t="str">
        <f>actual!A52</f>
        <v>2018-19</v>
      </c>
      <c r="B53" t="str">
        <f>actual!B52</f>
        <v>Jun-18</v>
      </c>
      <c r="C53">
        <f>SUM(actual!C52:M52)</f>
        <v>395038</v>
      </c>
      <c r="D53">
        <f>C53-actual!N52-actual!O52</f>
        <v>237170</v>
      </c>
      <c r="E53">
        <f>SUM(actual!P52:R52)</f>
        <v>30601</v>
      </c>
      <c r="F53">
        <f t="shared" si="6"/>
        <v>267771</v>
      </c>
      <c r="G53">
        <f>SUM(actual!S52:T52)</f>
        <v>10843</v>
      </c>
      <c r="H53">
        <f t="shared" si="7"/>
        <v>278614</v>
      </c>
      <c r="I53">
        <f>actual!U52-actual!V52-actual!W52-actual!X52-actual!Y52-actual!Z52</f>
        <v>136566</v>
      </c>
      <c r="J53">
        <f>actual!U52+actual!AB52</f>
        <v>707647</v>
      </c>
      <c r="K53">
        <f>actual2!J53-actual2!H53</f>
        <v>429033</v>
      </c>
      <c r="L53">
        <f>actual!U52-actual2!F53</f>
        <v>352888</v>
      </c>
      <c r="M53">
        <f>L53-actual!AA52</f>
        <v>289828</v>
      </c>
      <c r="N53">
        <f>K53-actual!V52</f>
        <v>284118</v>
      </c>
    </row>
    <row r="54" spans="1:14" x14ac:dyDescent="0.35">
      <c r="A54" t="str">
        <f>actual!A53</f>
        <v>2018-19</v>
      </c>
      <c r="B54" t="str">
        <f>actual!B53</f>
        <v>Jul-18</v>
      </c>
      <c r="C54">
        <f>SUM(actual!C53:M53)</f>
        <v>505484</v>
      </c>
      <c r="D54">
        <f>C54-actual!N53-actual!O53</f>
        <v>292611</v>
      </c>
      <c r="E54">
        <f>SUM(actual!P53:R53)</f>
        <v>43125</v>
      </c>
      <c r="F54">
        <f t="shared" si="6"/>
        <v>335736</v>
      </c>
      <c r="G54">
        <f>SUM(actual!S53:T53)</f>
        <v>13731</v>
      </c>
      <c r="H54">
        <f t="shared" si="7"/>
        <v>349467</v>
      </c>
      <c r="I54">
        <f>actual!U53-actual!V53-actual!W53-actual!X53-actual!Y53-actual!Z53</f>
        <v>169396</v>
      </c>
      <c r="J54">
        <f>actual!U53+actual!AB53</f>
        <v>889724</v>
      </c>
      <c r="K54">
        <f>actual2!J54-actual2!H54</f>
        <v>540257</v>
      </c>
      <c r="L54">
        <f>actual!U53-actual2!F54</f>
        <v>442651</v>
      </c>
      <c r="M54">
        <f>L54-actual!AA53</f>
        <v>363006</v>
      </c>
      <c r="N54">
        <f>K54-actual!V53</f>
        <v>359413</v>
      </c>
    </row>
    <row r="55" spans="1:14" x14ac:dyDescent="0.35">
      <c r="A55" t="str">
        <f>actual!A54</f>
        <v>2018-19</v>
      </c>
      <c r="B55" t="str">
        <f>actual!B54</f>
        <v>Aug-18</v>
      </c>
      <c r="C55">
        <f>SUM(actual!C54:M54)</f>
        <v>634131</v>
      </c>
      <c r="D55">
        <f>C55-actual!N54-actual!O54</f>
        <v>366216</v>
      </c>
      <c r="E55">
        <f>SUM(actual!P54:R54)</f>
        <v>98332</v>
      </c>
      <c r="F55">
        <f t="shared" si="6"/>
        <v>464548</v>
      </c>
      <c r="G55">
        <f>SUM(actual!S54:T54)</f>
        <v>15020</v>
      </c>
      <c r="H55">
        <f t="shared" si="7"/>
        <v>479568</v>
      </c>
      <c r="I55">
        <f>actual!U54-actual!V54-actual!W54-actual!X54-actual!Y54-actual!Z54</f>
        <v>211251</v>
      </c>
      <c r="J55">
        <f>actual!U54+actual!AB54</f>
        <v>1070859</v>
      </c>
      <c r="K55">
        <f>actual2!J55-actual2!H55</f>
        <v>591291</v>
      </c>
      <c r="L55">
        <f>actual!U54-actual2!F55</f>
        <v>474093</v>
      </c>
      <c r="M55">
        <f>L55-actual!AA54</f>
        <v>379271</v>
      </c>
      <c r="N55">
        <f>K55-actual!V54</f>
        <v>372180</v>
      </c>
    </row>
    <row r="56" spans="1:14" x14ac:dyDescent="0.35">
      <c r="A56" t="str">
        <f>actual!A55</f>
        <v>2018-19</v>
      </c>
      <c r="B56" t="str">
        <f>actual!B55</f>
        <v>Sep-18</v>
      </c>
      <c r="C56">
        <f>SUM(actual!C55:M55)</f>
        <v>905799</v>
      </c>
      <c r="D56">
        <f>C56-actual!N55-actual!O55</f>
        <v>582783</v>
      </c>
      <c r="E56">
        <f>SUM(actual!P55:R55)</f>
        <v>108969</v>
      </c>
      <c r="F56">
        <f t="shared" si="6"/>
        <v>691752</v>
      </c>
      <c r="G56">
        <f>SUM(actual!S55:T55)</f>
        <v>17731</v>
      </c>
      <c r="H56">
        <f t="shared" si="7"/>
        <v>709483</v>
      </c>
      <c r="I56">
        <f>actual!U55-actual!V55-actual!W55-actual!X55-actual!Y55-actual!Z55</f>
        <v>263146</v>
      </c>
      <c r="J56">
        <f>actual!U55+actual!AB55</f>
        <v>1304215</v>
      </c>
      <c r="K56">
        <f>actual2!J56-actual2!H56</f>
        <v>594732</v>
      </c>
      <c r="L56">
        <f>actual!U55-actual2!F56</f>
        <v>449834</v>
      </c>
      <c r="M56">
        <f>L56-actual!AA55</f>
        <v>330617</v>
      </c>
      <c r="N56">
        <f>K56-actual!V55</f>
        <v>339300</v>
      </c>
    </row>
    <row r="57" spans="1:14" x14ac:dyDescent="0.35">
      <c r="A57" t="str">
        <f>actual!A56</f>
        <v>2018-19</v>
      </c>
      <c r="B57" t="str">
        <f>actual!B56</f>
        <v>Oct-18</v>
      </c>
      <c r="C57">
        <f>SUM(actual!C56:M56)</f>
        <v>1039090</v>
      </c>
      <c r="D57">
        <f>C57-actual!N56-actual!O56</f>
        <v>661113</v>
      </c>
      <c r="E57">
        <f>SUM(actual!P56:R56)</f>
        <v>127716</v>
      </c>
      <c r="F57">
        <f t="shared" si="6"/>
        <v>788829</v>
      </c>
      <c r="G57">
        <f>SUM(actual!S56:T56)</f>
        <v>19181</v>
      </c>
      <c r="H57">
        <f t="shared" si="7"/>
        <v>808010</v>
      </c>
      <c r="I57">
        <f>actual!U56-actual!V56-actual!W56-actual!X56-actual!Y56-actual!Z56</f>
        <v>297465</v>
      </c>
      <c r="J57">
        <f>actual!U56+actual!AB56</f>
        <v>1456593</v>
      </c>
      <c r="K57">
        <f>actual2!J57-actual2!H57</f>
        <v>648583</v>
      </c>
      <c r="L57">
        <f>actual!U56-actual2!F57</f>
        <v>490665</v>
      </c>
      <c r="M57">
        <f>L57-actual!AA56</f>
        <v>365925</v>
      </c>
      <c r="N57">
        <f>K57-actual!V56</f>
        <v>356490</v>
      </c>
    </row>
    <row r="58" spans="1:14" x14ac:dyDescent="0.35">
      <c r="A58" t="str">
        <f>actual!A57</f>
        <v>2018-19</v>
      </c>
      <c r="B58" t="str">
        <f>actual!B57</f>
        <v>Nov-18</v>
      </c>
      <c r="C58">
        <f>SUM(actual!C57:M57)</f>
        <v>1164685</v>
      </c>
      <c r="D58">
        <f>C58-actual!N57-actual!O57</f>
        <v>731669</v>
      </c>
      <c r="E58">
        <f>SUM(actual!P57:R57)</f>
        <v>138637</v>
      </c>
      <c r="F58">
        <f t="shared" si="6"/>
        <v>870306</v>
      </c>
      <c r="G58">
        <f>SUM(actual!S57:T57)</f>
        <v>26277</v>
      </c>
      <c r="H58">
        <f t="shared" si="7"/>
        <v>896583</v>
      </c>
      <c r="I58">
        <f>actual!U57-actual!V57-actual!W57-actual!X57-actual!Y57-actual!Z57</f>
        <v>325916</v>
      </c>
      <c r="J58">
        <f>actual!U57+actual!AB57</f>
        <v>1613208</v>
      </c>
      <c r="K58">
        <f>actual2!J58-actual2!H58</f>
        <v>716625</v>
      </c>
      <c r="L58">
        <f>actual!U57-actual2!F58</f>
        <v>551472</v>
      </c>
      <c r="M58">
        <f>L58-actual!AA57</f>
        <v>416685</v>
      </c>
      <c r="N58">
        <f>K58-actual!V57</f>
        <v>368392</v>
      </c>
    </row>
    <row r="59" spans="1:14" x14ac:dyDescent="0.35">
      <c r="A59" t="str">
        <f>actual!A58</f>
        <v>2018-19</v>
      </c>
      <c r="B59" t="str">
        <f>actual!B58</f>
        <v>Dec-18</v>
      </c>
      <c r="C59">
        <f>SUM(actual!C58:M58)</f>
        <v>1424451</v>
      </c>
      <c r="D59">
        <f>C59-actual!N58-actual!O58</f>
        <v>936333</v>
      </c>
      <c r="E59">
        <f>SUM(actual!P58:R58)</f>
        <v>147711</v>
      </c>
      <c r="F59">
        <f t="shared" si="6"/>
        <v>1084044</v>
      </c>
      <c r="G59">
        <f>SUM(actual!S58:T58)</f>
        <v>46532</v>
      </c>
      <c r="H59">
        <f t="shared" si="7"/>
        <v>1130576</v>
      </c>
      <c r="I59">
        <f>actual!U58-actual!V58-actual!W58-actual!X58-actual!Y58-actual!Z58</f>
        <v>368443</v>
      </c>
      <c r="J59">
        <f>actual!U58+actual!AB58</f>
        <v>1832033</v>
      </c>
      <c r="K59">
        <f>actual2!J59-actual2!H59</f>
        <v>701457</v>
      </c>
      <c r="L59">
        <f>actual!U58-actual2!F59</f>
        <v>536167</v>
      </c>
      <c r="M59">
        <f>L59-actual!AA58</f>
        <v>385149</v>
      </c>
      <c r="N59">
        <f>K59-actual!V58</f>
        <v>280264</v>
      </c>
    </row>
    <row r="60" spans="1:14" x14ac:dyDescent="0.35">
      <c r="A60" t="str">
        <f>actual!A59</f>
        <v>2018-19</v>
      </c>
      <c r="B60" t="str">
        <f>actual!B59</f>
        <v>Jan-19</v>
      </c>
      <c r="C60">
        <f>SUM(actual!C59:M59)</f>
        <v>1562383</v>
      </c>
      <c r="D60">
        <f>C60-actual!N59-actual!O59</f>
        <v>1019288</v>
      </c>
      <c r="E60">
        <f>SUM(actual!P59:R59)</f>
        <v>162126</v>
      </c>
      <c r="F60">
        <f t="shared" si="6"/>
        <v>1181414</v>
      </c>
      <c r="G60">
        <f>SUM(actual!S59:T59)</f>
        <v>49323</v>
      </c>
      <c r="H60">
        <f t="shared" si="7"/>
        <v>1230737</v>
      </c>
      <c r="I60">
        <f>actual!U59-actual!V59-actual!W59-actual!X59-actual!Y59-actual!Z59</f>
        <v>391568</v>
      </c>
      <c r="J60">
        <f>actual!U59+actual!AB59</f>
        <v>2001582</v>
      </c>
      <c r="K60">
        <f>actual2!J60-actual2!H60</f>
        <v>770845</v>
      </c>
      <c r="L60">
        <f>actual!U59-actual2!F60</f>
        <v>590437</v>
      </c>
      <c r="M60">
        <f>L60-actual!AA59</f>
        <v>432617</v>
      </c>
      <c r="N60">
        <f>K60-actual!V59</f>
        <v>307520</v>
      </c>
    </row>
    <row r="61" spans="1:14" x14ac:dyDescent="0.35">
      <c r="A61" t="str">
        <f>actual!A60</f>
        <v>2018-19</v>
      </c>
      <c r="B61" t="str">
        <f>actual!B60</f>
        <v>Feb-19</v>
      </c>
      <c r="C61">
        <f>SUM(actual!C60:M60)</f>
        <v>1692110</v>
      </c>
      <c r="D61">
        <f>C61-actual!N60-actual!O60</f>
        <v>1093923</v>
      </c>
      <c r="E61">
        <f>SUM(actual!P60:R60)</f>
        <v>171755</v>
      </c>
      <c r="F61">
        <f t="shared" si="6"/>
        <v>1265678</v>
      </c>
      <c r="G61">
        <f>SUM(actual!S60:T60)</f>
        <v>71662</v>
      </c>
      <c r="H61">
        <f t="shared" si="7"/>
        <v>1337340</v>
      </c>
      <c r="I61">
        <f>actual!U60-actual!V60-actual!W60-actual!X60-actual!Y60-actual!Z60</f>
        <v>432516</v>
      </c>
      <c r="J61">
        <f>actual!U60+actual!AB60</f>
        <v>2188839</v>
      </c>
      <c r="K61">
        <f>actual2!J61-actual2!H61</f>
        <v>851499</v>
      </c>
      <c r="L61">
        <f>actual!U60-actual2!F61</f>
        <v>649625</v>
      </c>
      <c r="M61">
        <f>L61-actual!AA60</f>
        <v>472629</v>
      </c>
      <c r="N61">
        <f>K61-actual!V60</f>
        <v>350339</v>
      </c>
    </row>
    <row r="62" spans="1:14" x14ac:dyDescent="0.35">
      <c r="A62" t="str">
        <f>actual!A61</f>
        <v>2018-19</v>
      </c>
      <c r="B62" t="str">
        <f>actual!B61</f>
        <v>Mar-19</v>
      </c>
      <c r="C62">
        <f>SUM(actual!C61:M61)</f>
        <v>2080465</v>
      </c>
      <c r="D62">
        <f>C62-actual!N61-actual!O61</f>
        <v>1317211</v>
      </c>
      <c r="E62">
        <f>SUM(actual!P61:R61)</f>
        <v>235800</v>
      </c>
      <c r="F62">
        <f t="shared" si="6"/>
        <v>1553011</v>
      </c>
      <c r="G62">
        <f>SUM(actual!S61:T61)</f>
        <v>112684</v>
      </c>
      <c r="H62">
        <f t="shared" si="7"/>
        <v>1665695</v>
      </c>
      <c r="I62">
        <f>actual!U61-actual!V61-actual!W61-actual!X61-actual!Y61-actual!Z61</f>
        <v>497099</v>
      </c>
      <c r="J62">
        <f>actual!U61+actual!AB61</f>
        <v>2315113</v>
      </c>
      <c r="K62">
        <f>actual2!J62-actual2!H62</f>
        <v>649418</v>
      </c>
      <c r="L62">
        <f>actual!U61-actual2!F62</f>
        <v>455013</v>
      </c>
      <c r="M62">
        <f>L62-actual!AA61</f>
        <v>263793</v>
      </c>
      <c r="N62">
        <f>K62-actual!V61</f>
        <v>66770</v>
      </c>
    </row>
    <row r="63" spans="1:14" x14ac:dyDescent="0.35">
      <c r="A63" t="str">
        <f>actual!A62</f>
        <v>2019-20</v>
      </c>
      <c r="B63" t="str">
        <f>actual!B62</f>
        <v>Apr-19</v>
      </c>
      <c r="C63">
        <f>SUM(actual!C62:M62)</f>
        <v>121190</v>
      </c>
      <c r="D63">
        <f>C63-actual!N62-actual!O62</f>
        <v>71637</v>
      </c>
      <c r="E63">
        <f>SUM(actual!P62:R62)</f>
        <v>23293</v>
      </c>
      <c r="F63">
        <f t="shared" si="6"/>
        <v>94930</v>
      </c>
      <c r="G63">
        <f>SUM(actual!S62:T62)</f>
        <v>2701</v>
      </c>
      <c r="H63">
        <f t="shared" si="7"/>
        <v>97631</v>
      </c>
      <c r="I63">
        <f>actual!U62-actual!V62-actual!W62-actual!X62-actual!Y62-actual!Z62</f>
        <v>51334</v>
      </c>
      <c r="J63">
        <f>actual!U62+actual!AB62</f>
        <v>254679</v>
      </c>
      <c r="K63">
        <f>actual2!J63-actual2!H63</f>
        <v>157048</v>
      </c>
      <c r="L63">
        <f>actual!U62-actual2!F63</f>
        <v>129161</v>
      </c>
      <c r="M63">
        <f>L63-actual!AA62</f>
        <v>111601</v>
      </c>
      <c r="N63">
        <f>K63-actual!V62</f>
        <v>137491</v>
      </c>
    </row>
    <row r="64" spans="1:14" x14ac:dyDescent="0.35">
      <c r="A64" t="str">
        <f>actual!A63</f>
        <v>2019-20</v>
      </c>
      <c r="B64" t="str">
        <f>actual!B63</f>
        <v>May-19</v>
      </c>
      <c r="C64">
        <f>SUM(actual!C63:M63)</f>
        <v>214579</v>
      </c>
      <c r="D64">
        <f>C64-actual!N63-actual!O63</f>
        <v>115340</v>
      </c>
      <c r="E64">
        <f>SUM(actual!P63:R63)</f>
        <v>28423</v>
      </c>
      <c r="F64">
        <f t="shared" si="6"/>
        <v>143763</v>
      </c>
      <c r="G64">
        <f>SUM(actual!S63:T63)</f>
        <v>3067</v>
      </c>
      <c r="H64">
        <f t="shared" si="7"/>
        <v>146830</v>
      </c>
      <c r="I64">
        <f>actual!U63-actual!V63-actual!W63-actual!X63-actual!Y63-actual!Z63</f>
        <v>111976</v>
      </c>
      <c r="J64">
        <f>actual!U63+actual!AB63</f>
        <v>512987</v>
      </c>
      <c r="K64">
        <f>actual2!J64-actual2!H64</f>
        <v>366157</v>
      </c>
      <c r="L64">
        <f>actual!U63-actual2!F64</f>
        <v>321521</v>
      </c>
      <c r="M64">
        <f>L64-actual!AA63</f>
        <v>291498</v>
      </c>
      <c r="N64">
        <f>K64-actual!V63</f>
        <v>291353</v>
      </c>
    </row>
    <row r="65" spans="1:14" x14ac:dyDescent="0.35">
      <c r="A65" t="str">
        <f>actual!A64</f>
        <v>2019-20</v>
      </c>
      <c r="B65" t="str">
        <f>actual!B64</f>
        <v>Jun-19</v>
      </c>
      <c r="C65">
        <f>SUM(actual!C64:M64)</f>
        <v>400421</v>
      </c>
      <c r="D65">
        <f>C65-actual!N64-actual!O64</f>
        <v>251411</v>
      </c>
      <c r="E65">
        <f>SUM(actual!P64:R64)</f>
        <v>33475</v>
      </c>
      <c r="F65">
        <f t="shared" si="6"/>
        <v>284886</v>
      </c>
      <c r="G65">
        <f>SUM(actual!S64:T64)</f>
        <v>4764</v>
      </c>
      <c r="H65">
        <f t="shared" si="7"/>
        <v>289650</v>
      </c>
      <c r="I65">
        <f>actual!U64-actual!V64-actual!W64-actual!X64-actual!Y64-actual!Z64</f>
        <v>151220</v>
      </c>
      <c r="J65">
        <f>actual!U64+actual!AB64</f>
        <v>721705</v>
      </c>
      <c r="K65">
        <f>actual2!J65-actual2!H65</f>
        <v>432055</v>
      </c>
      <c r="L65">
        <f>actual!U64-actual2!F65</f>
        <v>373819</v>
      </c>
      <c r="M65">
        <f>L65-actual!AA64</f>
        <v>328066</v>
      </c>
      <c r="N65">
        <f>K65-actual!V64</f>
        <v>290300</v>
      </c>
    </row>
    <row r="66" spans="1:14" x14ac:dyDescent="0.35">
      <c r="A66" t="str">
        <f>actual!A65</f>
        <v>2019-20</v>
      </c>
      <c r="B66" t="str">
        <f>actual!B65</f>
        <v>Jul-19</v>
      </c>
      <c r="C66">
        <f>SUM(actual!C65:M65)</f>
        <v>539068</v>
      </c>
      <c r="D66">
        <f>C66-actual!N65-actual!O65</f>
        <v>338705</v>
      </c>
      <c r="E66">
        <f>SUM(actual!P65:R65)</f>
        <v>43905</v>
      </c>
      <c r="F66">
        <f t="shared" si="6"/>
        <v>382610</v>
      </c>
      <c r="G66">
        <f>SUM(actual!S65:T65)</f>
        <v>17063</v>
      </c>
      <c r="H66">
        <f t="shared" si="7"/>
        <v>399673</v>
      </c>
      <c r="I66">
        <f>actual!U65-actual!V65-actual!W65-actual!X65-actual!Y65-actual!Z65</f>
        <v>201519</v>
      </c>
      <c r="J66">
        <f>actual!U65+actual!AB65</f>
        <v>947278</v>
      </c>
      <c r="K66">
        <f>actual2!J66-actual2!H66</f>
        <v>547605</v>
      </c>
      <c r="L66">
        <f>actual!U65-actual2!F66</f>
        <v>457063</v>
      </c>
      <c r="M66">
        <f>L66-actual!AA65</f>
        <v>398872</v>
      </c>
      <c r="N66">
        <f>K66-actual!V65</f>
        <v>364081</v>
      </c>
    </row>
    <row r="67" spans="1:14" x14ac:dyDescent="0.35">
      <c r="A67" t="str">
        <f>actual!A66</f>
        <v>2019-20</v>
      </c>
      <c r="B67" t="str">
        <f>actual!B66</f>
        <v>Aug-19</v>
      </c>
      <c r="C67">
        <f>SUM(actual!C66:M66)</f>
        <v>660774</v>
      </c>
      <c r="D67">
        <f>C67-actual!N66-actual!O66</f>
        <v>404580</v>
      </c>
      <c r="E67">
        <f>SUM(actual!P66:R66)</f>
        <v>198621</v>
      </c>
      <c r="F67">
        <f t="shared" si="6"/>
        <v>603201</v>
      </c>
      <c r="G67">
        <f>SUM(actual!S66:T66)</f>
        <v>18260</v>
      </c>
      <c r="H67">
        <f t="shared" si="7"/>
        <v>621461</v>
      </c>
      <c r="I67">
        <f>actual!U66-actual!V66-actual!W66-actual!X66-actual!Y66-actual!Z66</f>
        <v>247331</v>
      </c>
      <c r="J67">
        <f>actual!U66+actual!AB66</f>
        <v>1175301</v>
      </c>
      <c r="K67">
        <f>actual2!J67-actual2!H67</f>
        <v>553840</v>
      </c>
      <c r="L67">
        <f>actual!U66-actual2!F67</f>
        <v>435924</v>
      </c>
      <c r="M67">
        <f>L67-actual!AA66</f>
        <v>353525</v>
      </c>
      <c r="N67">
        <f>K67-actual!V66</f>
        <v>334814</v>
      </c>
    </row>
    <row r="68" spans="1:14" x14ac:dyDescent="0.35">
      <c r="A68" t="str">
        <f>actual!A67</f>
        <v>2019-20</v>
      </c>
      <c r="B68" t="str">
        <f>actual!B67</f>
        <v>Sep-19</v>
      </c>
      <c r="C68">
        <f>SUM(actual!C67:M67)</f>
        <v>919470</v>
      </c>
      <c r="D68">
        <f>C68-actual!N67-actual!O67</f>
        <v>607429</v>
      </c>
      <c r="E68">
        <f>SUM(actual!P67:R67)</f>
        <v>209038</v>
      </c>
      <c r="F68">
        <f t="shared" si="6"/>
        <v>816467</v>
      </c>
      <c r="G68">
        <f>SUM(actual!S67:T67)</f>
        <v>20598</v>
      </c>
      <c r="H68">
        <f t="shared" si="7"/>
        <v>837065</v>
      </c>
      <c r="I68">
        <f>actual!U67-actual!V67-actual!W67-actual!X67-actual!Y67-actual!Z67</f>
        <v>319531</v>
      </c>
      <c r="J68">
        <f>actual!U67+actual!AB67</f>
        <v>1488619</v>
      </c>
      <c r="K68">
        <f>actual2!J68-actual2!H68</f>
        <v>651554</v>
      </c>
      <c r="L68">
        <f>actual!U67-actual2!F68</f>
        <v>484615</v>
      </c>
      <c r="M68">
        <f>L68-actual!AA67</f>
        <v>379241</v>
      </c>
      <c r="N68">
        <f>K68-actual!V67</f>
        <v>380858</v>
      </c>
    </row>
    <row r="69" spans="1:14" x14ac:dyDescent="0.35">
      <c r="A69" t="str">
        <f>actual!A68</f>
        <v>2019-20</v>
      </c>
      <c r="B69" t="str">
        <f>actual!B68</f>
        <v>Oct-19</v>
      </c>
      <c r="C69">
        <f>SUM(actual!C68:M68)</f>
        <v>1051804</v>
      </c>
      <c r="D69">
        <f>C69-actual!N68-actual!O68</f>
        <v>683486</v>
      </c>
      <c r="E69">
        <f>SUM(actual!P68:R68)</f>
        <v>224148</v>
      </c>
      <c r="F69">
        <f t="shared" si="6"/>
        <v>907634</v>
      </c>
      <c r="G69">
        <f>SUM(actual!S68:T68)</f>
        <v>26826</v>
      </c>
      <c r="H69">
        <f t="shared" si="7"/>
        <v>934460</v>
      </c>
      <c r="I69">
        <f>actual!U68-actual!V68-actual!W68-actual!X68-actual!Y68-actual!Z68</f>
        <v>363942</v>
      </c>
      <c r="J69">
        <f>actual!U68+actual!AB68</f>
        <v>1654905</v>
      </c>
      <c r="K69">
        <f>actual2!J69-actual2!H69</f>
        <v>720445</v>
      </c>
      <c r="L69">
        <f>actual!U68-actual2!F69</f>
        <v>545998</v>
      </c>
      <c r="M69">
        <f>L69-actual!AA68</f>
        <v>428228</v>
      </c>
      <c r="N69">
        <f>K69-actual!V68</f>
        <v>430880</v>
      </c>
    </row>
    <row r="70" spans="1:14" x14ac:dyDescent="0.35">
      <c r="A70" t="str">
        <f>actual!A69</f>
        <v>2019-20</v>
      </c>
      <c r="B70" t="str">
        <f>actual!B69</f>
        <v>Nov-19</v>
      </c>
      <c r="C70">
        <f>SUM(actual!C69:M69)</f>
        <v>1174143</v>
      </c>
      <c r="D70">
        <f>C70-actual!N69-actual!O69</f>
        <v>750614</v>
      </c>
      <c r="E70">
        <f>SUM(actual!P69:R69)</f>
        <v>232600</v>
      </c>
      <c r="F70">
        <f t="shared" si="6"/>
        <v>983214</v>
      </c>
      <c r="G70">
        <f>SUM(actual!S69:T69)</f>
        <v>29009</v>
      </c>
      <c r="H70">
        <f t="shared" si="7"/>
        <v>1012223</v>
      </c>
      <c r="I70">
        <f>actual!U69-actual!V69-actual!W69-actual!X69-actual!Y69-actual!Z69</f>
        <v>401014</v>
      </c>
      <c r="J70">
        <f>actual!U69+actual!AB69</f>
        <v>1820057</v>
      </c>
      <c r="K70">
        <f>actual2!J70-actual2!H70</f>
        <v>807834</v>
      </c>
      <c r="L70">
        <f>actual!U69-actual2!F70</f>
        <v>623001</v>
      </c>
      <c r="M70">
        <f>L70-actual!AA69</f>
        <v>493783</v>
      </c>
      <c r="N70">
        <f>K70-actual!V69</f>
        <v>466022</v>
      </c>
    </row>
    <row r="71" spans="1:14" x14ac:dyDescent="0.35">
      <c r="A71" t="str">
        <f>actual!A70</f>
        <v>2019-20</v>
      </c>
      <c r="B71" t="str">
        <f>actual!B70</f>
        <v>Dec-19</v>
      </c>
      <c r="C71">
        <f>SUM(actual!C70:M70)</f>
        <v>1383035</v>
      </c>
      <c r="D71">
        <f>C71-actual!N70-actual!O70</f>
        <v>904944</v>
      </c>
      <c r="E71">
        <f>SUM(actual!P70:R70)</f>
        <v>241953</v>
      </c>
      <c r="F71">
        <f t="shared" si="6"/>
        <v>1146897</v>
      </c>
      <c r="G71">
        <f>SUM(actual!S70:T70)</f>
        <v>31025</v>
      </c>
      <c r="H71">
        <f t="shared" si="7"/>
        <v>1177922</v>
      </c>
      <c r="I71">
        <f>actual!U70-actual!V70-actual!W70-actual!X70-actual!Y70-actual!Z70</f>
        <v>453426</v>
      </c>
      <c r="J71">
        <f>actual!U70+actual!AB70</f>
        <v>2109647</v>
      </c>
      <c r="K71">
        <f>actual2!J71-actual2!H71</f>
        <v>931725</v>
      </c>
      <c r="L71">
        <f>actual!U70-actual2!F71</f>
        <v>707228</v>
      </c>
      <c r="M71">
        <f>L71-actual!AA70</f>
        <v>564283</v>
      </c>
      <c r="N71">
        <f>K71-actual!V70</f>
        <v>507411</v>
      </c>
    </row>
    <row r="72" spans="1:14" x14ac:dyDescent="0.35">
      <c r="A72" t="str">
        <f>actual!A71</f>
        <v>2019-20</v>
      </c>
      <c r="B72" t="str">
        <f>actual!B71</f>
        <v>Jan-20</v>
      </c>
      <c r="C72">
        <f>SUM(actual!C71:M71)</f>
        <v>1530941</v>
      </c>
      <c r="D72">
        <f>C72-actual!N71-actual!O71</f>
        <v>998037</v>
      </c>
      <c r="E72">
        <f>SUM(actual!P71:R71)</f>
        <v>252083</v>
      </c>
      <c r="F72">
        <f t="shared" si="6"/>
        <v>1250120</v>
      </c>
      <c r="G72">
        <f>SUM(actual!S71:T71)</f>
        <v>32737</v>
      </c>
      <c r="H72">
        <f t="shared" si="7"/>
        <v>1282857</v>
      </c>
      <c r="I72">
        <f>actual!U71-actual!V71-actual!W71-actual!X71-actual!Y71-actual!Z71</f>
        <v>494877</v>
      </c>
      <c r="J72">
        <f>actual!U71+actual!AB71</f>
        <v>2268329</v>
      </c>
      <c r="K72">
        <f>actual2!J72-actual2!H72</f>
        <v>985472</v>
      </c>
      <c r="L72">
        <f>actual!U71-actual2!F72</f>
        <v>750475</v>
      </c>
      <c r="M72">
        <f>L72-actual!AA71</f>
        <v>597970</v>
      </c>
      <c r="N72">
        <f>K72-actual!V71</f>
        <v>513556</v>
      </c>
    </row>
    <row r="73" spans="1:14" x14ac:dyDescent="0.35">
      <c r="A73" t="str">
        <f>actual!A72</f>
        <v>2019-20</v>
      </c>
      <c r="B73" t="str">
        <f>actual!B72</f>
        <v>Feb-20</v>
      </c>
      <c r="C73">
        <f>SUM(actual!C72:M72)</f>
        <v>1677787</v>
      </c>
      <c r="D73">
        <f>C73-actual!N72-actual!O72</f>
        <v>1114636</v>
      </c>
      <c r="E73">
        <f>SUM(actual!P72:R72)</f>
        <v>263141</v>
      </c>
      <c r="F73">
        <f t="shared" si="6"/>
        <v>1377777</v>
      </c>
      <c r="G73">
        <f>SUM(actual!S72:T72)</f>
        <v>51092</v>
      </c>
      <c r="H73">
        <f t="shared" si="7"/>
        <v>1428869</v>
      </c>
      <c r="I73">
        <f>actual!U72-actual!V72-actual!W72-actual!X72-actual!Y72-actual!Z72</f>
        <v>532851</v>
      </c>
      <c r="J73">
        <f>actual!U72+actual!AB72</f>
        <v>2465354</v>
      </c>
      <c r="K73">
        <f>actual2!J73-actual2!H73</f>
        <v>1036485</v>
      </c>
      <c r="L73">
        <f>actual!U72-actual2!F73</f>
        <v>782924</v>
      </c>
      <c r="M73">
        <f>L73-actual!AA72</f>
        <v>614097</v>
      </c>
      <c r="N73">
        <f>K73-actual!V72</f>
        <v>523501</v>
      </c>
    </row>
    <row r="74" spans="1:14" x14ac:dyDescent="0.35">
      <c r="A74" t="str">
        <f>actual!A73</f>
        <v>2019-20</v>
      </c>
      <c r="B74" t="str">
        <f>actual!B73</f>
        <v>Mar-20</v>
      </c>
      <c r="C74">
        <f>SUM(actual!C73:M73)</f>
        <v>2009882</v>
      </c>
      <c r="D74">
        <f>C74-actual!N73-actual!O73</f>
        <v>1355886</v>
      </c>
      <c r="E74">
        <f>SUM(actual!P73:R73)</f>
        <v>326221</v>
      </c>
      <c r="F74">
        <f t="shared" si="6"/>
        <v>1682107</v>
      </c>
      <c r="G74">
        <f>SUM(actual!S73:T73)</f>
        <v>68620</v>
      </c>
      <c r="H74">
        <f t="shared" si="7"/>
        <v>1750727</v>
      </c>
      <c r="I74">
        <f>actual!U73-actual!V73-actual!W73-actual!X73-actual!Y73-actual!Z73</f>
        <v>612140</v>
      </c>
      <c r="J74">
        <f>actual!U73+actual!AB73</f>
        <v>2686362</v>
      </c>
      <c r="K74">
        <f>actual2!J74-actual2!H74</f>
        <v>935635</v>
      </c>
      <c r="L74">
        <f>actual!U73-actual2!F74</f>
        <v>667511</v>
      </c>
      <c r="M74">
        <f>L74-actual!AA73</f>
        <v>480139</v>
      </c>
      <c r="N74">
        <f>K74-actual!V73</f>
        <v>324599</v>
      </c>
    </row>
    <row r="75" spans="1:14" x14ac:dyDescent="0.35">
      <c r="A75" t="str">
        <f>actual!A74</f>
        <v>2020-21</v>
      </c>
      <c r="B75" t="str">
        <f>actual!B74</f>
        <v>Apr-20</v>
      </c>
      <c r="C75">
        <f>SUM(actual!C74:M74)</f>
        <v>67557</v>
      </c>
      <c r="D75">
        <f>C75-actual!N74-actual!O74</f>
        <v>21412</v>
      </c>
      <c r="E75">
        <f>SUM(actual!P74:R74)</f>
        <v>5771</v>
      </c>
      <c r="F75">
        <f t="shared" si="6"/>
        <v>27183</v>
      </c>
      <c r="G75">
        <f>SUM(actual!S74:T74)</f>
        <v>365</v>
      </c>
      <c r="H75">
        <f t="shared" si="7"/>
        <v>27548</v>
      </c>
      <c r="I75">
        <f>actual!U74-actual!V74-actual!W74-actual!X74-actual!Y74-actual!Z74</f>
        <v>86466</v>
      </c>
      <c r="J75">
        <f>actual!U74+actual!AB74</f>
        <v>307060</v>
      </c>
      <c r="K75">
        <f>actual2!J75-actual2!H75</f>
        <v>279512</v>
      </c>
      <c r="L75">
        <f>actual!U74-actual2!F75</f>
        <v>251571</v>
      </c>
      <c r="M75">
        <f>L75-actual!AA74</f>
        <v>225952</v>
      </c>
      <c r="N75">
        <f>K75-actual!V74</f>
        <v>252816</v>
      </c>
    </row>
    <row r="76" spans="1:14" x14ac:dyDescent="0.35">
      <c r="A76" t="str">
        <f>actual!A75</f>
        <v>2020-21</v>
      </c>
      <c r="B76" t="str">
        <f>actual!B75</f>
        <v>May-20</v>
      </c>
      <c r="C76">
        <f>SUM(actual!C75:M75)</f>
        <v>126110</v>
      </c>
      <c r="D76">
        <f>C76-actual!N75-actual!O75</f>
        <v>33850</v>
      </c>
      <c r="E76">
        <f>SUM(actual!P75:R75)</f>
        <v>10817</v>
      </c>
      <c r="F76">
        <f t="shared" si="6"/>
        <v>44667</v>
      </c>
      <c r="G76">
        <f>SUM(actual!S75:T75)</f>
        <v>831</v>
      </c>
      <c r="H76">
        <f t="shared" si="7"/>
        <v>45498</v>
      </c>
      <c r="I76">
        <f>actual!U75-actual!V75-actual!W75-actual!X75-actual!Y75-actual!Z75</f>
        <v>135368</v>
      </c>
      <c r="J76">
        <f>actual!U75+actual!AB75</f>
        <v>511841</v>
      </c>
      <c r="K76">
        <f>actual2!J76-actual2!H76</f>
        <v>466343</v>
      </c>
      <c r="L76">
        <f>actual!U75-actual2!F76</f>
        <v>411968</v>
      </c>
      <c r="M76">
        <f>L76-actual!AA75</f>
        <v>375123</v>
      </c>
      <c r="N76">
        <f>K76-actual!V75</f>
        <v>388078</v>
      </c>
    </row>
    <row r="77" spans="1:14" x14ac:dyDescent="0.35">
      <c r="A77" t="str">
        <f>actual!A76</f>
        <v>2020-21</v>
      </c>
      <c r="B77" t="str">
        <f>actual!B76</f>
        <v>Jun-20</v>
      </c>
      <c r="C77">
        <f>SUM(actual!C76:M76)</f>
        <v>269686</v>
      </c>
      <c r="D77">
        <f>C77-actual!N76-actual!O76</f>
        <v>134822</v>
      </c>
      <c r="E77">
        <f>SUM(actual!P76:R76)</f>
        <v>15186</v>
      </c>
      <c r="F77">
        <f t="shared" si="6"/>
        <v>150008</v>
      </c>
      <c r="G77">
        <f>SUM(actual!S76:T76)</f>
        <v>3573</v>
      </c>
      <c r="H77">
        <f t="shared" si="7"/>
        <v>153581</v>
      </c>
      <c r="I77">
        <f>actual!U76-actual!V76-actual!W76-actual!X76-actual!Y76-actual!Z76</f>
        <v>196859</v>
      </c>
      <c r="J77">
        <f>actual!U76+actual!AB76</f>
        <v>815944</v>
      </c>
      <c r="K77">
        <f>actual2!J77-actual2!H77</f>
        <v>662363</v>
      </c>
      <c r="L77">
        <f>actual!U76-actual2!F77</f>
        <v>577663</v>
      </c>
      <c r="M77">
        <f>L77-actual!AA76</f>
        <v>517898</v>
      </c>
      <c r="N77">
        <f>K77-actual!V76</f>
        <v>501870</v>
      </c>
    </row>
    <row r="78" spans="1:14" x14ac:dyDescent="0.35">
      <c r="A78" t="str">
        <f>actual!A77</f>
        <v>2020-21</v>
      </c>
      <c r="B78" t="str">
        <f>actual!B77</f>
        <v>Jul-20</v>
      </c>
      <c r="C78">
        <f>SUM(actual!C77:M77)</f>
        <v>380000</v>
      </c>
      <c r="D78">
        <f>C78-actual!N77-actual!O77</f>
        <v>202788</v>
      </c>
      <c r="E78">
        <f>SUM(actual!P77:R77)</f>
        <v>24614</v>
      </c>
      <c r="F78">
        <f t="shared" si="6"/>
        <v>227402</v>
      </c>
      <c r="G78">
        <f>SUM(actual!S77:T77)</f>
        <v>5458</v>
      </c>
      <c r="H78">
        <f t="shared" si="7"/>
        <v>232860</v>
      </c>
      <c r="I78">
        <f>actual!U77-actual!V77-actual!W77-actual!X77-actual!Y77-actual!Z77</f>
        <v>256487</v>
      </c>
      <c r="J78">
        <f>actual!U77+actual!AB77</f>
        <v>1054209</v>
      </c>
      <c r="K78">
        <f>actual2!J78-actual2!H78</f>
        <v>821349</v>
      </c>
      <c r="L78">
        <f>actual!U77-actual2!F78</f>
        <v>714958</v>
      </c>
      <c r="M78">
        <f>L78-actual!AA77</f>
        <v>636297</v>
      </c>
      <c r="N78">
        <f>K78-actual!V77</f>
        <v>622765</v>
      </c>
    </row>
    <row r="79" spans="1:14" x14ac:dyDescent="0.35">
      <c r="A79" t="str">
        <f>actual!A78</f>
        <v>2020-21</v>
      </c>
      <c r="B79" t="str">
        <f>actual!B78</f>
        <v>Aug-20</v>
      </c>
      <c r="C79">
        <f>SUM(actual!C78:M78)</f>
        <v>504200</v>
      </c>
      <c r="D79">
        <f>C79-actual!N78-actual!O78</f>
        <v>284495</v>
      </c>
      <c r="E79">
        <f>SUM(actual!P78:R78)</f>
        <v>86147</v>
      </c>
      <c r="F79">
        <f t="shared" si="6"/>
        <v>370642</v>
      </c>
      <c r="G79">
        <f>SUM(actual!S78:T78)</f>
        <v>6664</v>
      </c>
      <c r="H79">
        <f t="shared" si="7"/>
        <v>377306</v>
      </c>
      <c r="I79">
        <f>actual!U78-actual!V78-actual!W78-actual!X78-actual!Y78-actual!Z78</f>
        <v>305183</v>
      </c>
      <c r="J79">
        <f>actual!U78+actual!AB78</f>
        <v>1247653</v>
      </c>
      <c r="K79">
        <f>actual2!J79-actual2!H79</f>
        <v>870347</v>
      </c>
      <c r="L79">
        <f>actual!U78-actual2!F79</f>
        <v>742564</v>
      </c>
      <c r="M79">
        <f>L79-actual!AA78</f>
        <v>648424</v>
      </c>
      <c r="N79">
        <f>K79-actual!V78</f>
        <v>632685</v>
      </c>
    </row>
    <row r="80" spans="1:14" x14ac:dyDescent="0.35">
      <c r="A80" t="str">
        <f>actual!A79</f>
        <v>2020-21</v>
      </c>
      <c r="B80" t="str">
        <f>actual!B79</f>
        <v>Sep-20</v>
      </c>
      <c r="C80">
        <f>SUM(actual!C79:M79)</f>
        <v>720896</v>
      </c>
      <c r="D80">
        <f>C80-actual!N79-actual!O79</f>
        <v>458508</v>
      </c>
      <c r="E80">
        <f>SUM(actual!P79:R79)</f>
        <v>92274</v>
      </c>
      <c r="F80">
        <f t="shared" si="6"/>
        <v>550782</v>
      </c>
      <c r="G80">
        <f>SUM(actual!S79:T79)</f>
        <v>14635</v>
      </c>
      <c r="H80">
        <f t="shared" si="7"/>
        <v>565417</v>
      </c>
      <c r="I80">
        <f>actual!U79-actual!V79-actual!W79-actual!X79-actual!Y79-actual!Z79</f>
        <v>355925</v>
      </c>
      <c r="J80">
        <f>actual!U79+actual!AB79</f>
        <v>1479410</v>
      </c>
      <c r="K80">
        <f>actual2!J80-actual2!H80</f>
        <v>913993</v>
      </c>
      <c r="L80">
        <f>actual!U79-actual2!F80</f>
        <v>762792</v>
      </c>
      <c r="M80">
        <f>L80-actual!AA79</f>
        <v>656510</v>
      </c>
      <c r="N80">
        <f>K80-actual!V79</f>
        <v>608341</v>
      </c>
    </row>
    <row r="81" spans="1:14" x14ac:dyDescent="0.35">
      <c r="A81" t="str">
        <f>actual!A80</f>
        <v>2020-21</v>
      </c>
      <c r="B81" t="str">
        <f>actual!B80</f>
        <v>Oct-20</v>
      </c>
      <c r="C81">
        <f>SUM(actual!C80:M80)</f>
        <v>875591</v>
      </c>
      <c r="D81">
        <f>C81-actual!N80-actual!O80</f>
        <v>575697</v>
      </c>
      <c r="E81">
        <f>SUM(actual!P80:R80)</f>
        <v>116206</v>
      </c>
      <c r="F81">
        <f t="shared" si="6"/>
        <v>691903</v>
      </c>
      <c r="G81">
        <f>SUM(actual!S80:T80)</f>
        <v>16397</v>
      </c>
      <c r="H81">
        <f t="shared" si="7"/>
        <v>708300</v>
      </c>
      <c r="I81">
        <f>actual!U80-actual!V80-actual!W80-actual!X80-actual!Y80-actual!Z80</f>
        <v>399715</v>
      </c>
      <c r="J81">
        <f>actual!U80+actual!AB80</f>
        <v>1661454</v>
      </c>
      <c r="K81">
        <f>actual2!J81-actual2!H81</f>
        <v>953154</v>
      </c>
      <c r="L81">
        <f>actual!U80-actual2!F81</f>
        <v>772196</v>
      </c>
      <c r="M81">
        <f>L81-actual!AA80</f>
        <v>651319</v>
      </c>
      <c r="N81">
        <f>K81-actual!V80</f>
        <v>619698</v>
      </c>
    </row>
    <row r="82" spans="1:14" x14ac:dyDescent="0.35">
      <c r="A82" t="str">
        <f>actual!A81</f>
        <v>2020-21</v>
      </c>
      <c r="B82" t="str">
        <f>actual!B81</f>
        <v>Nov-20</v>
      </c>
      <c r="C82">
        <f>SUM(actual!C81:M81)</f>
        <v>1026055</v>
      </c>
      <c r="D82">
        <f>C82-actual!N81-actual!O81</f>
        <v>688430</v>
      </c>
      <c r="E82">
        <f>SUM(actual!P81:R81)</f>
        <v>124280</v>
      </c>
      <c r="F82">
        <f t="shared" si="6"/>
        <v>812710</v>
      </c>
      <c r="G82">
        <f>SUM(actual!S81:T81)</f>
        <v>18141</v>
      </c>
      <c r="H82">
        <f t="shared" si="7"/>
        <v>830851</v>
      </c>
      <c r="I82">
        <f>actual!U81-actual!V81-actual!W81-actual!X81-actual!Y81-actual!Z81</f>
        <v>445507</v>
      </c>
      <c r="J82">
        <f>actual!U81+actual!AB81</f>
        <v>1906358</v>
      </c>
      <c r="K82">
        <f>actual2!J82-actual2!H82</f>
        <v>1075507</v>
      </c>
      <c r="L82">
        <f>actual!U81-actual2!F82</f>
        <v>852490</v>
      </c>
      <c r="M82">
        <f>L82-actual!AA81</f>
        <v>716078</v>
      </c>
      <c r="N82">
        <f>K82-actual!V81</f>
        <v>692082</v>
      </c>
    </row>
    <row r="83" spans="1:14" x14ac:dyDescent="0.35">
      <c r="A83" t="str">
        <f>actual!A82</f>
        <v>2020-21</v>
      </c>
      <c r="B83" t="str">
        <f>actual!B82</f>
        <v>Dec-20</v>
      </c>
      <c r="C83">
        <f>SUM(actual!C82:M82)</f>
        <v>1338126</v>
      </c>
      <c r="D83">
        <f>C83-actual!N82-actual!O82</f>
        <v>962399</v>
      </c>
      <c r="E83">
        <f>SUM(actual!P82:R82)</f>
        <v>126181</v>
      </c>
      <c r="F83">
        <f t="shared" si="6"/>
        <v>1088580</v>
      </c>
      <c r="G83">
        <f>SUM(actual!S82:T82)</f>
        <v>33098</v>
      </c>
      <c r="H83">
        <f t="shared" si="7"/>
        <v>1121678</v>
      </c>
      <c r="I83">
        <f>actual!U82-actual!V82-actual!W82-actual!X82-actual!Y82-actual!Z82</f>
        <v>518862</v>
      </c>
      <c r="J83">
        <f>actual!U82+actual!AB82</f>
        <v>2280147</v>
      </c>
      <c r="K83">
        <f>actual2!J83-actual2!H83</f>
        <v>1158469</v>
      </c>
      <c r="L83">
        <f>actual!U82-actual2!F83</f>
        <v>882593</v>
      </c>
      <c r="M83">
        <f>L83-actual!AA82</f>
        <v>726886</v>
      </c>
      <c r="N83">
        <f>K83-actual!V82</f>
        <v>686298</v>
      </c>
    </row>
    <row r="84" spans="1:14" x14ac:dyDescent="0.35">
      <c r="A84" t="str">
        <f>actual!A83</f>
        <v>2020-21</v>
      </c>
      <c r="B84" t="str">
        <f>actual!B83</f>
        <v>Jan-21</v>
      </c>
      <c r="C84">
        <f>SUM(actual!C83:M83)</f>
        <v>1515100</v>
      </c>
      <c r="D84">
        <f>C84-actual!N83-actual!O83</f>
        <v>1101855</v>
      </c>
      <c r="E84">
        <f>SUM(actual!P83:R83)</f>
        <v>141104</v>
      </c>
      <c r="F84">
        <f t="shared" si="6"/>
        <v>1242959</v>
      </c>
      <c r="G84">
        <f>SUM(actual!S83:T83)</f>
        <v>40355</v>
      </c>
      <c r="H84">
        <f t="shared" si="7"/>
        <v>1283314</v>
      </c>
      <c r="I84">
        <f>actual!U83-actual!V83-actual!W83-actual!X83-actual!Y83-actual!Z83</f>
        <v>559142</v>
      </c>
      <c r="J84">
        <f>actual!U83+actual!AB83</f>
        <v>2517318</v>
      </c>
      <c r="K84">
        <f>actual2!J84-actual2!H84</f>
        <v>1234004</v>
      </c>
      <c r="L84">
        <f>actual!U83-actual2!F84</f>
        <v>912251</v>
      </c>
      <c r="M84">
        <f>L84-actual!AA83</f>
        <v>742851</v>
      </c>
      <c r="N84">
        <f>K84-actual!V83</f>
        <v>714407</v>
      </c>
    </row>
    <row r="85" spans="1:14" x14ac:dyDescent="0.35">
      <c r="A85" t="str">
        <f>actual!A84</f>
        <v>2020-21</v>
      </c>
      <c r="B85" t="str">
        <f>actual!B84</f>
        <v>Feb-21</v>
      </c>
      <c r="C85">
        <f>SUM(actual!C84:M84)</f>
        <v>1665303</v>
      </c>
      <c r="D85">
        <f>C85-actual!N84-actual!O84</f>
        <v>1216086</v>
      </c>
      <c r="E85">
        <f>SUM(actual!P84:R84)</f>
        <v>154186</v>
      </c>
      <c r="F85">
        <f t="shared" si="6"/>
        <v>1370272</v>
      </c>
      <c r="G85">
        <f>SUM(actual!S84:T84)</f>
        <v>42824</v>
      </c>
      <c r="H85">
        <f t="shared" si="7"/>
        <v>1413096</v>
      </c>
      <c r="I85">
        <f>actual!U84-actual!V84-actual!W84-actual!X84-actual!Y84-actual!Z84</f>
        <v>595813</v>
      </c>
      <c r="J85">
        <f>actual!U84+actual!AB84</f>
        <v>2818643</v>
      </c>
      <c r="K85">
        <f>actual2!J85-actual2!H85</f>
        <v>1405547</v>
      </c>
      <c r="L85">
        <f>actual!U84-actual2!F85</f>
        <v>1043103</v>
      </c>
      <c r="M85">
        <f>L85-actual!AA84</f>
        <v>859177</v>
      </c>
      <c r="N85">
        <f>K85-actual!V84</f>
        <v>846064</v>
      </c>
    </row>
    <row r="86" spans="1:14" x14ac:dyDescent="0.35">
      <c r="A86" t="str">
        <f>actual!A85</f>
        <v>2020-21</v>
      </c>
      <c r="B86" t="str">
        <f>actual!B85</f>
        <v>Mar-21</v>
      </c>
      <c r="C86">
        <f>SUM(actual!C85:M85)</f>
        <v>2027104</v>
      </c>
      <c r="D86">
        <f>C86-actual!N85-actual!O85</f>
        <v>1426287</v>
      </c>
      <c r="E86">
        <f>SUM(actual!P85:R85)</f>
        <v>207632</v>
      </c>
      <c r="F86">
        <f t="shared" si="6"/>
        <v>1633919</v>
      </c>
      <c r="G86">
        <f>SUM(actual!S85:T85)</f>
        <v>57626</v>
      </c>
      <c r="H86">
        <f t="shared" si="7"/>
        <v>1691545</v>
      </c>
      <c r="I86">
        <f>actual!U85-actual!V85-actual!W85-actual!X85-actual!Y85-actual!Z85</f>
        <v>706116</v>
      </c>
      <c r="J86">
        <f>actual!U85+actual!AB85</f>
        <v>3509836</v>
      </c>
      <c r="K86">
        <f>actual2!J86-actual2!H86</f>
        <v>1818291</v>
      </c>
      <c r="L86">
        <f>actual!U85-actual2!F86</f>
        <v>1450339</v>
      </c>
      <c r="M86">
        <f>L86-actual!AA85</f>
        <v>1227948</v>
      </c>
      <c r="N86">
        <f>K86-actual!V85</f>
        <v>1138422</v>
      </c>
    </row>
    <row r="87" spans="1:14" x14ac:dyDescent="0.35">
      <c r="A87" t="str">
        <f>actual!A86</f>
        <v>2021-22</v>
      </c>
      <c r="B87" t="str">
        <f>actual!B86</f>
        <v>Apr-21</v>
      </c>
      <c r="C87">
        <f>SUM(actual!C86:M86)</f>
        <v>170122</v>
      </c>
      <c r="D87">
        <f>C87-actual!N86-actual!O86</f>
        <v>130811</v>
      </c>
      <c r="E87">
        <f>SUM(actual!P86:R86)</f>
        <v>16808</v>
      </c>
      <c r="F87">
        <f t="shared" si="6"/>
        <v>147619</v>
      </c>
      <c r="G87">
        <f>SUM(actual!S86:T86)</f>
        <v>372</v>
      </c>
      <c r="H87">
        <f t="shared" si="7"/>
        <v>147991</v>
      </c>
      <c r="I87">
        <f>actual!U86-actual!V86-actual!W86-actual!X86-actual!Y86-actual!Z86</f>
        <v>50829</v>
      </c>
      <c r="J87">
        <f>actual!U86+actual!AB86</f>
        <v>226690</v>
      </c>
      <c r="K87">
        <f>actual2!J87-actual2!H87</f>
        <v>78699</v>
      </c>
      <c r="L87">
        <f>actual!U86-actual2!F87</f>
        <v>31945</v>
      </c>
      <c r="M87">
        <f>L87-actual!AA86</f>
        <v>26301</v>
      </c>
      <c r="N87">
        <f>K87-actual!V86</f>
        <v>49028</v>
      </c>
    </row>
    <row r="88" spans="1:14" x14ac:dyDescent="0.35">
      <c r="A88" t="str">
        <f>actual!A87</f>
        <v>2021-22</v>
      </c>
      <c r="B88" t="str">
        <f>actual!B87</f>
        <v>May-21</v>
      </c>
      <c r="C88">
        <f>SUM(actual!C87:M87)</f>
        <v>312679</v>
      </c>
      <c r="D88">
        <f>C88-actual!N87-actual!O87</f>
        <v>233565</v>
      </c>
      <c r="E88">
        <f>SUM(actual!P87:R87)</f>
        <v>116412</v>
      </c>
      <c r="F88">
        <f t="shared" si="6"/>
        <v>349977</v>
      </c>
      <c r="G88">
        <f>SUM(actual!S87:T87)</f>
        <v>4810</v>
      </c>
      <c r="H88">
        <f t="shared" si="7"/>
        <v>354787</v>
      </c>
      <c r="I88">
        <f>actual!U87-actual!V87-actual!W87-actual!X87-actual!Y87-actual!Z87</f>
        <v>113542</v>
      </c>
      <c r="J88">
        <f>actual!U87+actual!AB87</f>
        <v>477961</v>
      </c>
      <c r="K88">
        <f>actual2!J88-actual2!H88</f>
        <v>123174</v>
      </c>
      <c r="L88">
        <f>actual!U87-actual2!F88</f>
        <v>65023</v>
      </c>
      <c r="M88">
        <f>L88-actual!AA87</f>
        <v>39904</v>
      </c>
      <c r="N88">
        <f>K88-actual!V87</f>
        <v>34601</v>
      </c>
    </row>
    <row r="89" spans="1:14" x14ac:dyDescent="0.35">
      <c r="A89" t="str">
        <f>actual!A88</f>
        <v>2021-22</v>
      </c>
      <c r="B89" t="str">
        <f>actual!B88</f>
        <v>Jun-21</v>
      </c>
      <c r="C89">
        <f>SUM(actual!C88:M88)</f>
        <v>531606</v>
      </c>
      <c r="D89">
        <f>C89-actual!N88-actual!O88</f>
        <v>412680</v>
      </c>
      <c r="E89">
        <f>SUM(actual!P88:R88)</f>
        <v>127317</v>
      </c>
      <c r="F89">
        <f t="shared" si="6"/>
        <v>539997</v>
      </c>
      <c r="G89">
        <f>SUM(actual!S88:T88)</f>
        <v>7402</v>
      </c>
      <c r="H89">
        <f t="shared" si="7"/>
        <v>547399</v>
      </c>
      <c r="I89">
        <f>actual!U88-actual!V88-actual!W88-actual!X88-actual!Y88-actual!Z88</f>
        <v>169718</v>
      </c>
      <c r="J89">
        <f>actual!U88+actual!AB88</f>
        <v>821644</v>
      </c>
      <c r="K89">
        <f>actual2!J89-actual2!H89</f>
        <v>274245</v>
      </c>
      <c r="L89">
        <f>actual!U88-actual2!F89</f>
        <v>170151</v>
      </c>
      <c r="M89">
        <f>L89-actual!AA88</f>
        <v>115378</v>
      </c>
      <c r="N89">
        <f>K89-actual!V88</f>
        <v>89950</v>
      </c>
    </row>
    <row r="90" spans="1:14" x14ac:dyDescent="0.35">
      <c r="A90" t="str">
        <f>actual!A89</f>
        <v>2021-22</v>
      </c>
      <c r="B90" t="str">
        <f>actual!B89</f>
        <v>Jul-21</v>
      </c>
      <c r="C90">
        <f>SUM(actual!C89:M89)</f>
        <v>695888</v>
      </c>
      <c r="D90">
        <f>C90-actual!N89-actual!O89</f>
        <v>529189</v>
      </c>
      <c r="E90">
        <f>SUM(actual!P89:R89)</f>
        <v>139960</v>
      </c>
      <c r="F90">
        <f t="shared" si="6"/>
        <v>669149</v>
      </c>
      <c r="G90">
        <f>SUM(actual!S89:T89)</f>
        <v>14148</v>
      </c>
      <c r="H90">
        <f t="shared" si="7"/>
        <v>683297</v>
      </c>
      <c r="I90">
        <f>actual!U89-actual!V89-actual!W89-actual!X89-actual!Y89-actual!Z89</f>
        <v>219512</v>
      </c>
      <c r="J90">
        <f>actual!U89+actual!AB89</f>
        <v>1004440</v>
      </c>
      <c r="K90">
        <f>actual2!J90-actual2!H90</f>
        <v>321143</v>
      </c>
      <c r="L90">
        <f>actual!U89-actual2!F90</f>
        <v>206863</v>
      </c>
      <c r="M90">
        <f>L90-actual!AA89</f>
        <v>138762</v>
      </c>
      <c r="N90">
        <f>K90-actual!V89</f>
        <v>95326</v>
      </c>
    </row>
    <row r="91" spans="1:14" x14ac:dyDescent="0.35">
      <c r="A91" t="str">
        <f>actual!A90</f>
        <v>2021-22</v>
      </c>
      <c r="B91" t="str">
        <f>actual!B90</f>
        <v>Aug-21</v>
      </c>
      <c r="C91">
        <f>SUM(actual!C90:M90)</f>
        <v>859580</v>
      </c>
      <c r="D91">
        <f>C91-actual!N90-actual!O90</f>
        <v>644843</v>
      </c>
      <c r="E91">
        <f>SUM(actual!P90:R90)</f>
        <v>148650</v>
      </c>
      <c r="F91">
        <f t="shared" si="6"/>
        <v>793493</v>
      </c>
      <c r="G91">
        <f>SUM(actual!S90:T90)</f>
        <v>15179</v>
      </c>
      <c r="H91">
        <f t="shared" si="7"/>
        <v>808672</v>
      </c>
      <c r="I91">
        <f>actual!U90-actual!V90-actual!W90-actual!X90-actual!Y90-actual!Z90</f>
        <v>280125</v>
      </c>
      <c r="J91">
        <f>actual!U90+actual!AB90</f>
        <v>1276681</v>
      </c>
      <c r="K91">
        <f>actual2!J91-actual2!H91</f>
        <v>468009</v>
      </c>
      <c r="L91">
        <f>actual!U90-actual2!F91</f>
        <v>311320</v>
      </c>
      <c r="M91">
        <f>L91-actual!AA90</f>
        <v>224128</v>
      </c>
      <c r="N91">
        <f>K91-actual!V90</f>
        <v>189638</v>
      </c>
    </row>
    <row r="92" spans="1:14" x14ac:dyDescent="0.35">
      <c r="A92" t="str">
        <f>actual!A91</f>
        <v>2021-22</v>
      </c>
      <c r="B92" t="str">
        <f>actual!B91</f>
        <v>Sep-21</v>
      </c>
      <c r="C92">
        <f>SUM(actual!C91:M91)</f>
        <v>1183808</v>
      </c>
      <c r="D92">
        <f>C92-actual!N91-actual!O91</f>
        <v>920692</v>
      </c>
      <c r="E92">
        <f>SUM(actual!P91:R91)</f>
        <v>160356</v>
      </c>
      <c r="F92">
        <f t="shared" si="6"/>
        <v>1081048</v>
      </c>
      <c r="G92">
        <f>SUM(actual!S91:T91)</f>
        <v>18118</v>
      </c>
      <c r="H92">
        <f t="shared" si="7"/>
        <v>1099166</v>
      </c>
      <c r="I92">
        <f>actual!U91-actual!V91-actual!W91-actual!X91-actual!Y91-actual!Z91</f>
        <v>350656</v>
      </c>
      <c r="J92">
        <f>actual!U91+actual!AB91</f>
        <v>1626017</v>
      </c>
      <c r="K92">
        <f>actual2!J92-actual2!H92</f>
        <v>526851</v>
      </c>
      <c r="L92">
        <f>actual!U91-actual2!F92</f>
        <v>315618</v>
      </c>
      <c r="M92">
        <f>L92-actual!AA91</f>
        <v>205375</v>
      </c>
      <c r="N92">
        <f>K92-actual!V91</f>
        <v>161644</v>
      </c>
    </row>
    <row r="93" spans="1:14" x14ac:dyDescent="0.35">
      <c r="A93" t="str">
        <f>actual!A92</f>
        <v>2021-22</v>
      </c>
      <c r="B93" t="str">
        <f>actual!B92</f>
        <v>Oct-21</v>
      </c>
      <c r="C93">
        <f>SUM(actual!C92:M92)</f>
        <v>1364101</v>
      </c>
      <c r="D93">
        <f>C93-actual!N92-actual!O92</f>
        <v>1053135</v>
      </c>
      <c r="E93">
        <f>SUM(actual!P92:R92)</f>
        <v>206842</v>
      </c>
      <c r="F93">
        <f t="shared" si="6"/>
        <v>1259977</v>
      </c>
      <c r="G93">
        <f>SUM(actual!S92:T92)</f>
        <v>19722</v>
      </c>
      <c r="H93">
        <f t="shared" si="7"/>
        <v>1279699</v>
      </c>
      <c r="I93">
        <f>actual!U92-actual!V92-actual!W92-actual!X92-actual!Y92-actual!Z92</f>
        <v>394650</v>
      </c>
      <c r="J93">
        <f>actual!U92+actual!AB92</f>
        <v>1826725</v>
      </c>
      <c r="K93">
        <f>actual2!J93-actual2!H93</f>
        <v>547026</v>
      </c>
      <c r="L93">
        <f>actual!U92-actual2!F93</f>
        <v>313478</v>
      </c>
      <c r="M93">
        <f>L93-actual!AA92</f>
        <v>193563</v>
      </c>
      <c r="N93">
        <f>K93-actual!V92</f>
        <v>145839</v>
      </c>
    </row>
    <row r="94" spans="1:14" x14ac:dyDescent="0.35">
      <c r="A94" t="str">
        <f>actual!A93</f>
        <v>2021-22</v>
      </c>
      <c r="B94" t="str">
        <f>actual!B93</f>
        <v>Nov-21</v>
      </c>
      <c r="C94">
        <f>SUM(actual!C93:M93)</f>
        <v>1541920</v>
      </c>
      <c r="D94">
        <f>C94-actual!N93-actual!O93</f>
        <v>1135264</v>
      </c>
      <c r="E94">
        <f>SUM(actual!P93:R93)</f>
        <v>223026</v>
      </c>
      <c r="F94">
        <f t="shared" si="6"/>
        <v>1358290</v>
      </c>
      <c r="G94">
        <f>SUM(actual!S93:T93)</f>
        <v>20703</v>
      </c>
      <c r="H94">
        <f t="shared" si="7"/>
        <v>1378993</v>
      </c>
      <c r="I94">
        <f>actual!U93-actual!V93-actual!W93-actual!X93-actual!Y93-actual!Z93</f>
        <v>446815</v>
      </c>
      <c r="J94">
        <f>actual!U93+actual!AB93</f>
        <v>2074607</v>
      </c>
      <c r="K94">
        <f>actual2!J94-actual2!H94</f>
        <v>695614</v>
      </c>
      <c r="L94">
        <f>actual!U93-actual2!F94</f>
        <v>442687</v>
      </c>
      <c r="M94">
        <f>L94-actual!AA93</f>
        <v>310675</v>
      </c>
      <c r="N94">
        <f>K94-actual!V93</f>
        <v>233841</v>
      </c>
    </row>
    <row r="95" spans="1:14" x14ac:dyDescent="0.35">
      <c r="A95" t="str">
        <f>actual!A94</f>
        <v>2021-22</v>
      </c>
      <c r="B95" t="str">
        <f>actual!B94</f>
        <v>Dec-21</v>
      </c>
      <c r="C95">
        <f>SUM(actual!C94:M94)</f>
        <v>1928995</v>
      </c>
      <c r="D95">
        <f>C95-actual!N94-actual!O94</f>
        <v>1473809</v>
      </c>
      <c r="E95">
        <f>SUM(actual!P94:R94)</f>
        <v>259414</v>
      </c>
      <c r="F95">
        <f t="shared" si="6"/>
        <v>1733223</v>
      </c>
      <c r="G95">
        <f>SUM(actual!S94:T94)</f>
        <v>28469</v>
      </c>
      <c r="H95">
        <f t="shared" si="7"/>
        <v>1761692</v>
      </c>
      <c r="I95">
        <f>actual!U94-actual!V94-actual!W94-actual!X94-actual!Y94-actual!Z94</f>
        <v>539258</v>
      </c>
      <c r="J95">
        <f>actual!U94+actual!AB94</f>
        <v>2521058</v>
      </c>
      <c r="K95">
        <f>actual2!J95-actual2!H95</f>
        <v>759366</v>
      </c>
      <c r="L95">
        <f>actual!U94-actual2!F95</f>
        <v>396191</v>
      </c>
      <c r="M95">
        <f>L95-actual!AA94</f>
        <v>238241</v>
      </c>
      <c r="N95">
        <f>K95-actual!V94</f>
        <v>193502</v>
      </c>
    </row>
    <row r="96" spans="1:14" x14ac:dyDescent="0.35">
      <c r="A96" t="str">
        <f>actual!A95</f>
        <v>2021-22</v>
      </c>
      <c r="B96" t="str">
        <f>actual!B95</f>
        <v>Jan-22</v>
      </c>
      <c r="C96">
        <f>SUM(actual!C95:M95)</f>
        <v>2098180</v>
      </c>
      <c r="D96">
        <f>C96-actual!N95-actual!O95</f>
        <v>1547436</v>
      </c>
      <c r="E96">
        <f>SUM(actual!P95:R95)</f>
        <v>291485</v>
      </c>
      <c r="F96">
        <f t="shared" si="6"/>
        <v>1838921</v>
      </c>
      <c r="G96">
        <f>SUM(actual!S95:T95)</f>
        <v>32595</v>
      </c>
      <c r="H96">
        <f t="shared" si="7"/>
        <v>1871516</v>
      </c>
      <c r="I96">
        <f>actual!U95-actual!V95-actual!W95-actual!X95-actual!Y95-actual!Z95</f>
        <v>590442</v>
      </c>
      <c r="J96">
        <f>actual!U95+actual!AB95</f>
        <v>2809384</v>
      </c>
      <c r="K96">
        <f>actual2!J96-actual2!H96</f>
        <v>937868</v>
      </c>
      <c r="L96">
        <f>actual!U95-actual2!F96</f>
        <v>528777</v>
      </c>
      <c r="M96">
        <f>L96-actual!AA95</f>
        <v>361102</v>
      </c>
      <c r="N96">
        <f>K96-actual!V95</f>
        <v>321792</v>
      </c>
    </row>
    <row r="97" spans="1:14" x14ac:dyDescent="0.35">
      <c r="A97" t="str">
        <f>actual!A96</f>
        <v>2021-22</v>
      </c>
      <c r="B97" t="str">
        <f>actual!B96</f>
        <v>Feb-22</v>
      </c>
      <c r="C97">
        <f>SUM(actual!C96:M96)</f>
        <v>2274793</v>
      </c>
      <c r="D97">
        <f>C97-actual!N96-actual!O96</f>
        <v>1480886</v>
      </c>
      <c r="E97">
        <f>SUM(actual!P96:R96)</f>
        <v>310131</v>
      </c>
      <c r="F97">
        <f t="shared" ref="F97:F155" si="8">SUM(D97:E97)</f>
        <v>1791017</v>
      </c>
      <c r="G97">
        <f>SUM(actual!S96:T96)</f>
        <v>36263</v>
      </c>
      <c r="H97">
        <f t="shared" ref="H97:H155" si="9">SUM(F97:G97)</f>
        <v>1827280</v>
      </c>
      <c r="I97">
        <f>actual!U96-actual!V96-actual!W96-actual!X96-actual!Y96-actual!Z96</f>
        <v>706020</v>
      </c>
      <c r="J97">
        <f>actual!U96+actual!AB96</f>
        <v>3143875</v>
      </c>
      <c r="K97">
        <f>actual2!J97-actual2!H97</f>
        <v>1316595</v>
      </c>
      <c r="L97">
        <f>actual!U96-actual2!F97</f>
        <v>867677</v>
      </c>
      <c r="M97">
        <f>L97-actual!AA96</f>
        <v>680723</v>
      </c>
      <c r="N97">
        <f>K97-actual!V96</f>
        <v>644644</v>
      </c>
    </row>
    <row r="98" spans="1:14" x14ac:dyDescent="0.35">
      <c r="A98" t="str">
        <f>actual!A97</f>
        <v>2021-22</v>
      </c>
      <c r="B98" t="str">
        <f>actual!B97</f>
        <v>Mar-22</v>
      </c>
      <c r="C98">
        <f>SUM(actual!C97:M97)</f>
        <v>2709315</v>
      </c>
      <c r="D98">
        <f>C98-actual!N97-actual!O97</f>
        <v>1804794</v>
      </c>
      <c r="E98">
        <f>SUM(actual!P97:R97)</f>
        <v>365112</v>
      </c>
      <c r="F98">
        <f t="shared" si="8"/>
        <v>2169906</v>
      </c>
      <c r="G98">
        <f>SUM(actual!S97:T97)</f>
        <v>39375</v>
      </c>
      <c r="H98">
        <f t="shared" si="9"/>
        <v>2209281</v>
      </c>
      <c r="I98">
        <f>actual!U97-actual!V97-actual!W97-actual!X97-actual!Y97-actual!Z97</f>
        <v>906380</v>
      </c>
      <c r="J98">
        <f>actual!U97+actual!AB97</f>
        <v>3793800</v>
      </c>
      <c r="K98">
        <f>actual2!J98-actual2!H98</f>
        <v>1584519</v>
      </c>
      <c r="L98">
        <f>actual!U97-actual2!F98</f>
        <v>1031766</v>
      </c>
      <c r="M98">
        <f>L98-actual!AA97</f>
        <v>789120</v>
      </c>
      <c r="N98">
        <f>K98-actual!V97</f>
        <v>779020</v>
      </c>
    </row>
    <row r="99" spans="1:14" x14ac:dyDescent="0.35">
      <c r="A99" t="str">
        <f>actual!A98</f>
        <v>2022-23</v>
      </c>
      <c r="B99" t="str">
        <f>actual!B98</f>
        <v>Apr-22</v>
      </c>
      <c r="C99">
        <f>SUM(actual!C98:M98)</f>
        <v>232266</v>
      </c>
      <c r="D99">
        <f>C99-actual!N98-actual!O98</f>
        <v>184557</v>
      </c>
      <c r="E99">
        <f>SUM(actual!P98:R98)</f>
        <v>11938</v>
      </c>
      <c r="F99">
        <f t="shared" si="8"/>
        <v>196495</v>
      </c>
      <c r="G99">
        <f>SUM(actual!S98:T98)</f>
        <v>3488</v>
      </c>
      <c r="H99">
        <f t="shared" si="9"/>
        <v>199983</v>
      </c>
      <c r="I99">
        <f>actual!U98-actual!V98-actual!W98-actual!X98-actual!Y98-actual!Z98</f>
        <v>80822</v>
      </c>
      <c r="J99">
        <f>actual!U98+actual!AB98</f>
        <v>274829</v>
      </c>
      <c r="K99">
        <f>actual2!J99-actual2!H99</f>
        <v>74846</v>
      </c>
      <c r="L99">
        <f>actual!U98-actual2!F99</f>
        <v>-591</v>
      </c>
      <c r="M99">
        <f>L99-actual!AA98</f>
        <v>-5520</v>
      </c>
      <c r="N99">
        <f>K99-actual!V98</f>
        <v>33558</v>
      </c>
    </row>
    <row r="100" spans="1:14" x14ac:dyDescent="0.35">
      <c r="A100" t="str">
        <f>actual!A99</f>
        <v>2022-23</v>
      </c>
      <c r="B100" t="str">
        <f>actual!B99</f>
        <v>May-22</v>
      </c>
      <c r="C100">
        <f>SUM(actual!C99:M99)</f>
        <v>403522</v>
      </c>
      <c r="D100">
        <f>C100-actual!N99-actual!O99</f>
        <v>307589</v>
      </c>
      <c r="E100">
        <f>SUM(actual!P99:R99)</f>
        <v>49251</v>
      </c>
      <c r="F100">
        <f t="shared" si="8"/>
        <v>356840</v>
      </c>
      <c r="G100">
        <f>SUM(actual!S99:T99)</f>
        <v>25013</v>
      </c>
      <c r="H100">
        <f t="shared" si="9"/>
        <v>381853</v>
      </c>
      <c r="I100">
        <f>actual!U99-actual!V99-actual!W99-actual!X99-actual!Y99-actual!Z99</f>
        <v>127604</v>
      </c>
      <c r="J100">
        <f>actual!U99+actual!AB99</f>
        <v>585774</v>
      </c>
      <c r="K100">
        <f>actual2!J100-actual2!H100</f>
        <v>203921</v>
      </c>
      <c r="L100">
        <f>actual!U99-actual2!F100</f>
        <v>121860</v>
      </c>
      <c r="M100">
        <f>L100-actual!AA99</f>
        <v>103093</v>
      </c>
      <c r="N100">
        <f>K100-actual!V99</f>
        <v>98499</v>
      </c>
    </row>
    <row r="101" spans="1:14" x14ac:dyDescent="0.35">
      <c r="A101" t="str">
        <f>actual!A100</f>
        <v>2022-23</v>
      </c>
      <c r="B101" t="str">
        <f>actual!B100</f>
        <v>Jun-22</v>
      </c>
      <c r="C101">
        <f>SUM(actual!C100:M100)</f>
        <v>650489</v>
      </c>
      <c r="D101">
        <f>C101-actual!N100-actual!O100</f>
        <v>505898</v>
      </c>
      <c r="E101">
        <f>SUM(actual!P100:R100)</f>
        <v>62160</v>
      </c>
      <c r="F101">
        <f t="shared" si="8"/>
        <v>568058</v>
      </c>
      <c r="G101">
        <f>SUM(actual!S100:T100)</f>
        <v>27982</v>
      </c>
      <c r="H101">
        <f t="shared" si="9"/>
        <v>596040</v>
      </c>
      <c r="I101">
        <f>actual!U100-actual!V100-actual!W100-actual!X100-actual!Y100-actual!Z100</f>
        <v>181307</v>
      </c>
      <c r="J101">
        <f>actual!U100+actual!AB100</f>
        <v>947911</v>
      </c>
      <c r="K101">
        <f>actual2!J101-actual2!H101</f>
        <v>351871</v>
      </c>
      <c r="L101">
        <f>actual!U100-actual2!F101</f>
        <v>204789</v>
      </c>
      <c r="M101">
        <f>L101-actual!AA100</f>
        <v>152748</v>
      </c>
      <c r="N101">
        <f>K101-actual!V100</f>
        <v>123276</v>
      </c>
    </row>
    <row r="102" spans="1:14" x14ac:dyDescent="0.35">
      <c r="A102" t="str">
        <f>actual!A101</f>
        <v>2022-23</v>
      </c>
      <c r="B102" t="str">
        <f>actual!B101</f>
        <v>Jul-22</v>
      </c>
      <c r="C102">
        <f>SUM(actual!C101:M101)</f>
        <v>869461</v>
      </c>
      <c r="D102">
        <f>C102-actual!N101-actual!O101</f>
        <v>666212</v>
      </c>
      <c r="E102">
        <f>SUM(actual!P101:R101)</f>
        <v>89583</v>
      </c>
      <c r="F102">
        <f t="shared" si="8"/>
        <v>755795</v>
      </c>
      <c r="G102">
        <f>SUM(actual!S101:T101)</f>
        <v>30119</v>
      </c>
      <c r="H102">
        <f t="shared" si="9"/>
        <v>785914</v>
      </c>
      <c r="I102">
        <f>actual!U101-actual!V101-actual!W101-actual!X101-actual!Y101-actual!Z101</f>
        <v>229561</v>
      </c>
      <c r="J102">
        <f>actual!U101+actual!AB101</f>
        <v>1126745</v>
      </c>
      <c r="K102">
        <f>actual2!J102-actual2!H102</f>
        <v>340831</v>
      </c>
      <c r="L102">
        <f>actual!U101-actual2!F102</f>
        <v>162280</v>
      </c>
      <c r="M102">
        <f>L102-actual!AA101</f>
        <v>93370</v>
      </c>
      <c r="N102">
        <f>K102-actual!V101</f>
        <v>56961</v>
      </c>
    </row>
    <row r="103" spans="1:14" x14ac:dyDescent="0.35">
      <c r="A103" t="str">
        <f>actual!A102</f>
        <v>2022-23</v>
      </c>
      <c r="B103" t="str">
        <f>actual!B102</f>
        <v>Aug-22</v>
      </c>
      <c r="C103">
        <f>SUM(actual!C102:M102)</f>
        <v>1020589</v>
      </c>
      <c r="D103">
        <f>C103-actual!N102-actual!O102</f>
        <v>700094</v>
      </c>
      <c r="E103">
        <f>SUM(actual!P102:R102)</f>
        <v>116804</v>
      </c>
      <c r="F103">
        <f t="shared" si="8"/>
        <v>816898</v>
      </c>
      <c r="G103">
        <f>SUM(actual!S102:T102)</f>
        <v>31527</v>
      </c>
      <c r="H103">
        <f t="shared" si="9"/>
        <v>848425</v>
      </c>
      <c r="I103">
        <f>actual!U102-actual!V102-actual!W102-actual!X102-actual!Y102-actual!Z102</f>
        <v>297333</v>
      </c>
      <c r="J103">
        <f>actual!U102+actual!AB102</f>
        <v>1390026</v>
      </c>
      <c r="K103">
        <f>actual2!J103-actual2!H103</f>
        <v>541601</v>
      </c>
      <c r="L103">
        <f>actual!U102-actual2!F103</f>
        <v>320800</v>
      </c>
      <c r="M103">
        <f>L103-actual!AA102</f>
        <v>227195</v>
      </c>
      <c r="N103">
        <f>K103-actual!V102</f>
        <v>202964</v>
      </c>
    </row>
    <row r="104" spans="1:14" x14ac:dyDescent="0.35">
      <c r="A104" t="str">
        <f>actual!A103</f>
        <v>2022-23</v>
      </c>
      <c r="B104" t="str">
        <f>actual!B103</f>
        <v>Sep-22</v>
      </c>
      <c r="C104">
        <f>SUM(actual!C103:M103)</f>
        <v>1391806</v>
      </c>
      <c r="D104">
        <f>C104-actual!N103-actual!O103</f>
        <v>1011961</v>
      </c>
      <c r="E104">
        <f>SUM(actual!P103:R103)</f>
        <v>157600</v>
      </c>
      <c r="F104">
        <f t="shared" si="8"/>
        <v>1169561</v>
      </c>
      <c r="G104">
        <f>SUM(actual!S103:T103)</f>
        <v>34187</v>
      </c>
      <c r="H104">
        <f t="shared" si="9"/>
        <v>1203748</v>
      </c>
      <c r="I104">
        <f>actual!U103-actual!V103-actual!W103-actual!X103-actual!Y103-actual!Z103</f>
        <v>380354</v>
      </c>
      <c r="J104">
        <f>actual!U103+actual!AB103</f>
        <v>1823597</v>
      </c>
      <c r="K104">
        <f>actual2!J104-actual2!H104</f>
        <v>619849</v>
      </c>
      <c r="L104">
        <f>actual!U103-actual2!F104</f>
        <v>311147</v>
      </c>
      <c r="M104">
        <f>L104-actual!AA103</f>
        <v>180576</v>
      </c>
      <c r="N104">
        <f>K104-actual!V103</f>
        <v>183167</v>
      </c>
    </row>
    <row r="105" spans="1:14" x14ac:dyDescent="0.35">
      <c r="A105" t="str">
        <f>actual!A104</f>
        <v>2022-23</v>
      </c>
      <c r="B105" t="str">
        <f>actual!B104</f>
        <v>Oct-22</v>
      </c>
      <c r="C105">
        <f>SUM(actual!C104:M104)</f>
        <v>1609605</v>
      </c>
      <c r="D105">
        <f>C105-actual!N104-actual!O104</f>
        <v>1171103</v>
      </c>
      <c r="E105">
        <f>SUM(actual!P104:R104)</f>
        <v>178779</v>
      </c>
      <c r="F105">
        <f t="shared" si="8"/>
        <v>1349882</v>
      </c>
      <c r="G105">
        <f>SUM(actual!S104:T104)</f>
        <v>35692</v>
      </c>
      <c r="H105">
        <f t="shared" si="9"/>
        <v>1385574</v>
      </c>
      <c r="I105">
        <f>actual!U104-actual!V104-actual!W104-actual!X104-actual!Y104-actual!Z104</f>
        <v>443188</v>
      </c>
      <c r="J105">
        <f>actual!U104+actual!AB104</f>
        <v>2143711</v>
      </c>
      <c r="K105">
        <f>actual2!J105-actual2!H105</f>
        <v>758137</v>
      </c>
      <c r="L105">
        <f>actual!U104-actual2!F105</f>
        <v>384815</v>
      </c>
      <c r="M105">
        <f>L105-actual!AA104</f>
        <v>239194</v>
      </c>
      <c r="N105">
        <f>K105-actual!V104</f>
        <v>276965</v>
      </c>
    </row>
    <row r="106" spans="1:14" x14ac:dyDescent="0.35">
      <c r="A106" t="str">
        <f>actual!A105</f>
        <v>2022-23</v>
      </c>
      <c r="B106" t="str">
        <f>actual!B105</f>
        <v>Nov-22</v>
      </c>
      <c r="C106">
        <f>SUM(actual!C105:M105)</f>
        <v>1780654</v>
      </c>
      <c r="D106">
        <f>C106-actual!N105-actual!O105</f>
        <v>1224833</v>
      </c>
      <c r="E106">
        <f>SUM(actual!P105:R105)</f>
        <v>198319</v>
      </c>
      <c r="F106">
        <f t="shared" si="8"/>
        <v>1423152</v>
      </c>
      <c r="G106">
        <f>SUM(actual!S105:T105)</f>
        <v>41481</v>
      </c>
      <c r="H106">
        <f t="shared" si="9"/>
        <v>1464633</v>
      </c>
      <c r="I106">
        <f>actual!U105-actual!V105-actual!W105-actual!X105-actual!Y105-actual!Z105</f>
        <v>495756</v>
      </c>
      <c r="J106">
        <f>actual!U105+actual!AB105</f>
        <v>2442787</v>
      </c>
      <c r="K106">
        <f>actual2!J106-actual2!H106</f>
        <v>978154</v>
      </c>
      <c r="L106">
        <f>actual!U105-actual2!F106</f>
        <v>572522</v>
      </c>
      <c r="M106">
        <f>L106-actual!AA105</f>
        <v>413245</v>
      </c>
      <c r="N106">
        <f>K106-actual!V105</f>
        <v>432955</v>
      </c>
    </row>
    <row r="107" spans="1:14" x14ac:dyDescent="0.35">
      <c r="A107" t="str">
        <f>actual!A106</f>
        <v>2022-23</v>
      </c>
      <c r="B107" t="str">
        <f>actual!B106</f>
        <v>Dec-22</v>
      </c>
      <c r="C107">
        <f>SUM(actual!C106:M106)</f>
        <v>2170698</v>
      </c>
      <c r="D107">
        <f>C107-actual!N106-actual!O106</f>
        <v>1555692</v>
      </c>
      <c r="E107">
        <f>SUM(actual!P106:R106)</f>
        <v>214302</v>
      </c>
      <c r="F107">
        <f t="shared" si="8"/>
        <v>1769994</v>
      </c>
      <c r="G107">
        <f>SUM(actual!S106:T106)</f>
        <v>55106</v>
      </c>
      <c r="H107">
        <f t="shared" si="9"/>
        <v>1825100</v>
      </c>
      <c r="I107">
        <f>actual!U106-actual!V106-actual!W106-actual!X106-actual!Y106-actual!Z106</f>
        <v>555436</v>
      </c>
      <c r="J107">
        <f>actual!U106+actual!AB106</f>
        <v>2818076</v>
      </c>
      <c r="K107">
        <f>actual2!J107-actual2!H107</f>
        <v>992976</v>
      </c>
      <c r="L107">
        <f>actual!U106-actual2!F107</f>
        <v>558138</v>
      </c>
      <c r="M107">
        <f>L107-actual!AA106</f>
        <v>372605</v>
      </c>
      <c r="N107">
        <f>K107-actual!V106</f>
        <v>312123</v>
      </c>
    </row>
    <row r="108" spans="1:14" x14ac:dyDescent="0.35">
      <c r="A108" t="str">
        <f>actual!A107</f>
        <v>2022-23</v>
      </c>
      <c r="B108" t="str">
        <f>actual!B107</f>
        <v>Jan-23</v>
      </c>
      <c r="C108">
        <f>SUM(actual!C107:M107)</f>
        <v>2362677</v>
      </c>
      <c r="D108">
        <f>C108-actual!N107-actual!O107</f>
        <v>1688710</v>
      </c>
      <c r="E108">
        <f>SUM(actual!P107:R107)</f>
        <v>230939</v>
      </c>
      <c r="F108">
        <f t="shared" si="8"/>
        <v>1919649</v>
      </c>
      <c r="G108">
        <f>SUM(actual!S107:T107)</f>
        <v>57194</v>
      </c>
      <c r="H108">
        <f t="shared" si="9"/>
        <v>1976843</v>
      </c>
      <c r="I108">
        <f>actual!U107-actual!V107-actual!W107-actual!X107-actual!Y107-actual!Z107</f>
        <v>635204</v>
      </c>
      <c r="J108">
        <f>actual!U107+actual!AB107</f>
        <v>3167648</v>
      </c>
      <c r="K108">
        <f>actual2!J108-actual2!H108</f>
        <v>1190805</v>
      </c>
      <c r="L108">
        <f>actual!U107-actual2!F108</f>
        <v>678107</v>
      </c>
      <c r="M108">
        <f>L108-actual!AA107</f>
        <v>473689</v>
      </c>
      <c r="N108">
        <f>K108-actual!V107</f>
        <v>452147</v>
      </c>
    </row>
    <row r="109" spans="1:14" x14ac:dyDescent="0.35">
      <c r="A109" t="str">
        <f>actual!A108</f>
        <v>2022-23</v>
      </c>
      <c r="B109" t="str">
        <f>actual!B108</f>
        <v>Feb-23</v>
      </c>
      <c r="C109">
        <f>SUM(actual!C108:M108)</f>
        <v>2547301</v>
      </c>
      <c r="D109">
        <f>C109-actual!N108-actual!O108</f>
        <v>1732193</v>
      </c>
      <c r="E109">
        <f>SUM(actual!P108:R108)</f>
        <v>248635</v>
      </c>
      <c r="F109">
        <f t="shared" si="8"/>
        <v>1980828</v>
      </c>
      <c r="G109">
        <f>SUM(actual!S108:T108)</f>
        <v>58900</v>
      </c>
      <c r="H109">
        <f t="shared" si="9"/>
        <v>2039728</v>
      </c>
      <c r="I109">
        <f>actual!U108-actual!V108-actual!W108-actual!X108-actual!Y108-actual!Z108</f>
        <v>713481</v>
      </c>
      <c r="J109">
        <f>actual!U108+actual!AB108</f>
        <v>3493590</v>
      </c>
      <c r="K109">
        <f>actual2!J109-actual2!H109</f>
        <v>1453862</v>
      </c>
      <c r="L109">
        <f>actual!U108-actual2!F109</f>
        <v>922535</v>
      </c>
      <c r="M109">
        <f>L109-actual!AA108</f>
        <v>687505</v>
      </c>
      <c r="N109">
        <f>K109-actual!V108</f>
        <v>654905</v>
      </c>
    </row>
    <row r="110" spans="1:14" x14ac:dyDescent="0.35">
      <c r="A110" t="str">
        <f>actual!A109</f>
        <v>2022-23</v>
      </c>
      <c r="B110" t="str">
        <f>actual!B109</f>
        <v>Mar-23</v>
      </c>
      <c r="C110">
        <f>SUM(actual!C109:M109)</f>
        <v>3054191</v>
      </c>
      <c r="D110">
        <f>C110-actual!N109-actual!O109</f>
        <v>2097785</v>
      </c>
      <c r="E110">
        <f>SUM(actual!P109:R109)</f>
        <v>285421</v>
      </c>
      <c r="F110">
        <f t="shared" si="8"/>
        <v>2383206</v>
      </c>
      <c r="G110">
        <f>SUM(actual!S109:T109)</f>
        <v>72196</v>
      </c>
      <c r="H110">
        <f t="shared" si="9"/>
        <v>2455402</v>
      </c>
      <c r="I110">
        <f>actual!U109-actual!V109-actual!W109-actual!X109-actual!Y109-actual!Z109</f>
        <v>844732</v>
      </c>
      <c r="J110">
        <f>actual!U109+actual!AB109</f>
        <v>4193157</v>
      </c>
      <c r="K110">
        <f>actual2!J110-actual2!H110</f>
        <v>1737755</v>
      </c>
      <c r="L110">
        <f>actual!U109-actual2!F110</f>
        <v>1070432</v>
      </c>
      <c r="M110">
        <f>L110-actual!AA109</f>
        <v>764168</v>
      </c>
      <c r="N110">
        <f>K110-actual!V109</f>
        <v>809238</v>
      </c>
    </row>
    <row r="111" spans="1:14" x14ac:dyDescent="0.35">
      <c r="A111" t="str">
        <f>actual!A110</f>
        <v>2023-24</v>
      </c>
      <c r="B111" t="str">
        <f>actual!B110</f>
        <v>Apr-23</v>
      </c>
      <c r="C111">
        <f>SUM(actual!C110:M110)</f>
        <v>218145</v>
      </c>
      <c r="D111">
        <f>C111-actual!N110-actual!O110</f>
        <v>158901</v>
      </c>
      <c r="E111">
        <f>SUM(actual!P110:R110)</f>
        <v>10958</v>
      </c>
      <c r="F111">
        <f t="shared" si="8"/>
        <v>169859</v>
      </c>
      <c r="G111">
        <f>SUM(actual!S110:T110)</f>
        <v>642</v>
      </c>
      <c r="H111">
        <f t="shared" si="9"/>
        <v>170501</v>
      </c>
      <c r="I111">
        <f>actual!U110-actual!V110-actual!W110-actual!X110-actual!Y110-actual!Z110</f>
        <v>78013</v>
      </c>
      <c r="J111">
        <f>actual!U110+actual!AB110</f>
        <v>304096</v>
      </c>
      <c r="K111">
        <f>actual2!J111-actual2!H111</f>
        <v>133595</v>
      </c>
      <c r="L111">
        <f>actual!U110-actual2!F111</f>
        <v>55780</v>
      </c>
      <c r="M111">
        <f>L111-actual!AA110</f>
        <v>49725</v>
      </c>
      <c r="N111">
        <f>K111-actual!V110</f>
        <v>85666</v>
      </c>
    </row>
    <row r="112" spans="1:14" x14ac:dyDescent="0.35">
      <c r="A112" t="str">
        <f>actual!A111</f>
        <v>2023-24</v>
      </c>
      <c r="B112" t="str">
        <f>actual!B111</f>
        <v>May-23</v>
      </c>
      <c r="C112">
        <f>SUM(actual!C111:M111)</f>
        <v>396954</v>
      </c>
      <c r="D112">
        <f>C112-actual!N111-actual!O111</f>
        <v>278045</v>
      </c>
      <c r="E112">
        <f>SUM(actual!P111:R111)</f>
        <v>134655</v>
      </c>
      <c r="F112">
        <f t="shared" si="8"/>
        <v>412700</v>
      </c>
      <c r="G112">
        <f>SUM(actual!S111:T111)</f>
        <v>2991</v>
      </c>
      <c r="H112">
        <f t="shared" si="9"/>
        <v>415691</v>
      </c>
      <c r="I112">
        <f>actual!U111-actual!V111-actual!W111-actual!X111-actual!Y111-actual!Z111</f>
        <v>130880</v>
      </c>
      <c r="J112">
        <f>actual!U111+actual!AB111</f>
        <v>625978</v>
      </c>
      <c r="K112">
        <f>actual2!J112-actual2!H112</f>
        <v>210287</v>
      </c>
      <c r="L112">
        <f>actual!U111-actual2!F112</f>
        <v>45489</v>
      </c>
      <c r="M112">
        <f>L112-actual!AA111</f>
        <v>14631</v>
      </c>
      <c r="N112">
        <f>K112-actual!V111</f>
        <v>99624</v>
      </c>
    </row>
    <row r="113" spans="1:14" x14ac:dyDescent="0.35">
      <c r="A113" t="str">
        <f>actual!A112</f>
        <v>2023-24</v>
      </c>
      <c r="B113" t="str">
        <f>actual!B112</f>
        <v>Jun-23</v>
      </c>
      <c r="C113">
        <f>SUM(actual!C112:M112)</f>
        <v>671883</v>
      </c>
      <c r="D113">
        <f>C113-actual!N112-actual!O112</f>
        <v>433620</v>
      </c>
      <c r="E113">
        <f>SUM(actual!P112:R112)</f>
        <v>154968</v>
      </c>
      <c r="F113">
        <f t="shared" si="8"/>
        <v>588588</v>
      </c>
      <c r="G113">
        <f>SUM(actual!S112:T112)</f>
        <v>10703</v>
      </c>
      <c r="H113">
        <f t="shared" si="9"/>
        <v>599291</v>
      </c>
      <c r="I113">
        <f>actual!U112-actual!V112-actual!W112-actual!X112-actual!Y112-actual!Z112</f>
        <v>198004</v>
      </c>
      <c r="J113">
        <f>actual!U112+actual!AB112</f>
        <v>1050661</v>
      </c>
      <c r="K113">
        <f>actual2!J113-actual2!H113</f>
        <v>451370</v>
      </c>
      <c r="L113">
        <f>actual!U112-actual2!F113</f>
        <v>183593</v>
      </c>
      <c r="M113">
        <f>L113-actual!AA112</f>
        <v>120864</v>
      </c>
      <c r="N113">
        <f>K113-actual!V112</f>
        <v>207665</v>
      </c>
    </row>
    <row r="114" spans="1:14" x14ac:dyDescent="0.35">
      <c r="A114" t="str">
        <f>actual!A113</f>
        <v>2023-24</v>
      </c>
      <c r="B114" t="str">
        <f>actual!B113</f>
        <v>Jul-23</v>
      </c>
      <c r="C114">
        <f>SUM(actual!C113:M113)</f>
        <v>894150</v>
      </c>
      <c r="D114">
        <f>C114-actual!N113-actual!O113</f>
        <v>582585</v>
      </c>
      <c r="E114">
        <f>SUM(actual!P113:R113)</f>
        <v>178804</v>
      </c>
      <c r="F114">
        <f t="shared" si="8"/>
        <v>761389</v>
      </c>
      <c r="G114">
        <f>SUM(actual!S113:T113)</f>
        <v>13718</v>
      </c>
      <c r="H114">
        <f t="shared" si="9"/>
        <v>775107</v>
      </c>
      <c r="I114">
        <f>actual!U113-actual!V113-actual!W113-actual!X113-actual!Y113-actual!Z113</f>
        <v>280369</v>
      </c>
      <c r="J114">
        <f>actual!U113+actual!AB113</f>
        <v>1380700</v>
      </c>
      <c r="K114">
        <f>actual2!J114-actual2!H114</f>
        <v>605593</v>
      </c>
      <c r="L114">
        <f>actual!U113-actual2!F114</f>
        <v>302232</v>
      </c>
      <c r="M114">
        <f>L114-actual!AA113</f>
        <v>210584</v>
      </c>
      <c r="N114">
        <f>K114-actual!V113</f>
        <v>305704</v>
      </c>
    </row>
    <row r="115" spans="1:14" x14ac:dyDescent="0.35">
      <c r="A115" t="str">
        <f>actual!A114</f>
        <v>2023-24</v>
      </c>
      <c r="B115" t="str">
        <f>actual!B114</f>
        <v>Aug-23</v>
      </c>
      <c r="C115">
        <f>SUM(actual!C114:M114)</f>
        <v>1189180</v>
      </c>
      <c r="D115">
        <f>C115-actual!N114-actual!O114</f>
        <v>803944</v>
      </c>
      <c r="E115">
        <f>SUM(actual!P114:R114)</f>
        <v>209582</v>
      </c>
      <c r="F115">
        <f t="shared" si="8"/>
        <v>1013526</v>
      </c>
      <c r="G115">
        <f>SUM(actual!S114:T114)</f>
        <v>15405</v>
      </c>
      <c r="H115">
        <f t="shared" si="9"/>
        <v>1028931</v>
      </c>
      <c r="I115">
        <f>actual!U114-actual!V114-actual!W114-actual!X114-actual!Y114-actual!Z114</f>
        <v>334953</v>
      </c>
      <c r="J115">
        <f>actual!U114+actual!AB114</f>
        <v>1671757</v>
      </c>
      <c r="K115">
        <f>actual2!J115-actual2!H115</f>
        <v>642826</v>
      </c>
      <c r="L115">
        <f>actual!U114-actual2!F115</f>
        <v>284432</v>
      </c>
      <c r="M115">
        <f>L115-actual!AA114</f>
        <v>165333</v>
      </c>
      <c r="N115">
        <f>K115-actual!V114</f>
        <v>275287</v>
      </c>
    </row>
    <row r="116" spans="1:14" x14ac:dyDescent="0.35">
      <c r="A116" t="str">
        <f>actual!A115</f>
        <v>2023-24</v>
      </c>
      <c r="B116" t="str">
        <f>actual!B115</f>
        <v>Sep-23</v>
      </c>
      <c r="C116">
        <f>SUM(actual!C115:M115)</f>
        <v>1619271</v>
      </c>
      <c r="D116">
        <f>C116-actual!N115-actual!O115</f>
        <v>1160340</v>
      </c>
      <c r="E116">
        <f>SUM(actual!P115:R115)</f>
        <v>236772</v>
      </c>
      <c r="F116">
        <f t="shared" si="8"/>
        <v>1397112</v>
      </c>
      <c r="G116">
        <f>SUM(actual!S115:T115)</f>
        <v>20166</v>
      </c>
      <c r="H116">
        <f t="shared" si="9"/>
        <v>1417278</v>
      </c>
      <c r="I116">
        <f>actual!U115-actual!V115-actual!W115-actual!X115-actual!Y115-actual!Z115</f>
        <v>405535</v>
      </c>
      <c r="J116">
        <f>actual!U115+actual!AB115</f>
        <v>2119139</v>
      </c>
      <c r="K116">
        <f>actual2!J116-actual2!H116</f>
        <v>701861</v>
      </c>
      <c r="L116">
        <f>actual!U115-actual2!F116</f>
        <v>231399</v>
      </c>
      <c r="M116">
        <f>L116-actual!AA115</f>
        <v>86121</v>
      </c>
      <c r="N116">
        <f>K116-actual!V115</f>
        <v>217532</v>
      </c>
    </row>
    <row r="117" spans="1:14" x14ac:dyDescent="0.35">
      <c r="A117" t="str">
        <f>actual!A116</f>
        <v>2023-24</v>
      </c>
      <c r="B117" t="str">
        <f>actual!B116</f>
        <v>Oct-23</v>
      </c>
      <c r="C117">
        <f>SUM(actual!C116:M116)</f>
        <v>1834518</v>
      </c>
      <c r="D117">
        <f>C117-actual!N116-actual!O116</f>
        <v>1301957</v>
      </c>
      <c r="E117">
        <f>SUM(actual!P116:R116)</f>
        <v>265765</v>
      </c>
      <c r="F117">
        <f t="shared" si="8"/>
        <v>1567722</v>
      </c>
      <c r="G117">
        <f>SUM(actual!S116:T116)</f>
        <v>22990</v>
      </c>
      <c r="H117">
        <f t="shared" si="9"/>
        <v>1590712</v>
      </c>
      <c r="I117">
        <f>actual!U116-actual!V116-actual!W116-actual!X116-actual!Y116-actual!Z116</f>
        <v>464467</v>
      </c>
      <c r="J117">
        <f>actual!U116+actual!AB116</f>
        <v>2394412</v>
      </c>
      <c r="K117">
        <f>actual2!J117-actual2!H117</f>
        <v>803700</v>
      </c>
      <c r="L117">
        <f>actual!U116-actual2!F117</f>
        <v>279766</v>
      </c>
      <c r="M117">
        <f>L117-actual!AA116</f>
        <v>117522</v>
      </c>
      <c r="N117">
        <f>K117-actual!V116</f>
        <v>258614</v>
      </c>
    </row>
    <row r="118" spans="1:14" x14ac:dyDescent="0.35">
      <c r="A118" t="str">
        <f>actual!A117</f>
        <v>2023-24</v>
      </c>
      <c r="B118" t="str">
        <f>actual!B117</f>
        <v>Nov-23</v>
      </c>
      <c r="C118">
        <f>SUM(actual!C117:M117)</f>
        <v>2042027</v>
      </c>
      <c r="D118">
        <f>C118-actual!N117-actual!O117</f>
        <v>1435755</v>
      </c>
      <c r="E118">
        <f>SUM(actual!P117:R117)</f>
        <v>284365</v>
      </c>
      <c r="F118">
        <f t="shared" si="8"/>
        <v>1720120</v>
      </c>
      <c r="G118">
        <f>SUM(actual!S117:T117)</f>
        <v>25463</v>
      </c>
      <c r="H118">
        <f t="shared" si="9"/>
        <v>1745583</v>
      </c>
      <c r="I118">
        <f>actual!U117-actual!V117-actual!W117-actual!X117-actual!Y117-actual!Z117</f>
        <v>543178</v>
      </c>
      <c r="J118">
        <f>actual!U117+actual!AB117</f>
        <v>2652167</v>
      </c>
      <c r="K118">
        <f>actual2!J118-actual2!H118</f>
        <v>906584</v>
      </c>
      <c r="L118">
        <f>actual!U117-actual2!F118</f>
        <v>346402</v>
      </c>
      <c r="M118">
        <f>L118-actual!AA117</f>
        <v>171424</v>
      </c>
      <c r="N118">
        <f>K118-actual!V117</f>
        <v>298621</v>
      </c>
    </row>
    <row r="119" spans="1:14" x14ac:dyDescent="0.35">
      <c r="A119" t="str">
        <f>actual!A118</f>
        <v>2023-24</v>
      </c>
      <c r="B119" t="str">
        <f>actual!B118</f>
        <v>Dec-23</v>
      </c>
      <c r="C119">
        <f>SUM(actual!C118:M118)</f>
        <v>2482499</v>
      </c>
      <c r="D119">
        <f>C119-actual!N118-actual!O118</f>
        <v>1729931</v>
      </c>
      <c r="E119">
        <f>SUM(actual!P118:R118)</f>
        <v>312358</v>
      </c>
      <c r="F119">
        <f t="shared" si="8"/>
        <v>2042289</v>
      </c>
      <c r="G119">
        <f>SUM(actual!S118:T118)</f>
        <v>29650</v>
      </c>
      <c r="H119">
        <f t="shared" si="9"/>
        <v>2071939</v>
      </c>
      <c r="I119">
        <f>actual!U118-actual!V118-actual!W118-actual!X118-actual!Y118-actual!Z118</f>
        <v>598544</v>
      </c>
      <c r="J119">
        <f>actual!U118+actual!AB118</f>
        <v>3054217</v>
      </c>
      <c r="K119">
        <f>actual2!J119-actual2!H119</f>
        <v>982278</v>
      </c>
      <c r="L119">
        <f>actual!U118-actual2!F119</f>
        <v>338298</v>
      </c>
      <c r="M119">
        <f>L119-actual!AA118</f>
        <v>124975</v>
      </c>
      <c r="N119">
        <f>K119-actual!V118</f>
        <v>234071</v>
      </c>
    </row>
    <row r="120" spans="1:14" x14ac:dyDescent="0.35">
      <c r="A120" t="str">
        <f>actual!A119</f>
        <v>2023-24</v>
      </c>
      <c r="B120" t="str">
        <f>actual!B119</f>
        <v>Jan-24</v>
      </c>
      <c r="C120">
        <f>SUM(actual!C119:M119)</f>
        <v>2706197</v>
      </c>
      <c r="D120">
        <f>C120-actual!N119-actual!O119</f>
        <v>1879840</v>
      </c>
      <c r="E120">
        <f>SUM(actual!P119:R119)</f>
        <v>338069</v>
      </c>
      <c r="F120">
        <f t="shared" si="8"/>
        <v>2217909</v>
      </c>
      <c r="G120">
        <f>SUM(actual!S119:T119)</f>
        <v>34219</v>
      </c>
      <c r="H120">
        <f t="shared" si="9"/>
        <v>2252128</v>
      </c>
      <c r="I120">
        <f>actual!U119-actual!V119-actual!W119-actual!X119-actual!Y119-actual!Z119</f>
        <v>642893</v>
      </c>
      <c r="J120">
        <f>actual!U119+actual!AB119</f>
        <v>3354730</v>
      </c>
      <c r="K120">
        <f>actual2!J120-actual2!H120</f>
        <v>1102602</v>
      </c>
      <c r="L120">
        <f>actual!U119-actual2!F120</f>
        <v>415634</v>
      </c>
      <c r="M120">
        <f>L120-actual!AA119</f>
        <v>187379</v>
      </c>
      <c r="N120">
        <f>K120-actual!V119</f>
        <v>280871</v>
      </c>
    </row>
    <row r="121" spans="1:14" x14ac:dyDescent="0.35">
      <c r="A121" t="str">
        <f>actual!A120</f>
        <v>2023-24</v>
      </c>
      <c r="B121" t="str">
        <f>actual!B120</f>
        <v>Feb-24</v>
      </c>
      <c r="C121">
        <f>SUM(actual!C120:M120)</f>
        <v>2889851</v>
      </c>
      <c r="D121">
        <f>C121-actual!N120-actual!O120</f>
        <v>1849452</v>
      </c>
      <c r="E121">
        <f>SUM(actual!P120:R120)</f>
        <v>360330</v>
      </c>
      <c r="F121">
        <f t="shared" si="8"/>
        <v>2209782</v>
      </c>
      <c r="G121">
        <f>SUM(actual!S120:T120)</f>
        <v>36140</v>
      </c>
      <c r="H121">
        <f t="shared" si="9"/>
        <v>2245922</v>
      </c>
      <c r="I121">
        <f>actual!U120-actual!V120-actual!W120-actual!X120-actual!Y120-actual!Z120</f>
        <v>733356</v>
      </c>
      <c r="J121">
        <f>actual!U120+actual!AB120</f>
        <v>3747287</v>
      </c>
      <c r="K121">
        <f>actual2!J121-actual2!H121</f>
        <v>1501365</v>
      </c>
      <c r="L121">
        <f>actual!U120-actual2!F121</f>
        <v>731892</v>
      </c>
      <c r="M121">
        <f>L121-actual!AA120</f>
        <v>477537</v>
      </c>
      <c r="N121">
        <f>K121-actual!V120</f>
        <v>620577</v>
      </c>
    </row>
    <row r="122" spans="1:14" x14ac:dyDescent="0.35">
      <c r="A122" t="str">
        <f>actual!A121</f>
        <v>2023-24</v>
      </c>
      <c r="B122" t="str">
        <f>actual!B121</f>
        <v>Mar-24</v>
      </c>
      <c r="C122">
        <f>SUM(actual!C121:M121)</f>
        <v>3465519</v>
      </c>
      <c r="D122">
        <f>C122-actual!N121-actual!O121</f>
        <v>2327251</v>
      </c>
      <c r="E122">
        <f>SUM(actual!P121:R121)</f>
        <v>401785</v>
      </c>
      <c r="F122">
        <f t="shared" si="8"/>
        <v>2729036</v>
      </c>
      <c r="G122">
        <f>SUM(actual!S121:T121)</f>
        <v>59768</v>
      </c>
      <c r="H122">
        <f t="shared" si="9"/>
        <v>2788804</v>
      </c>
      <c r="I122">
        <f>actual!U121-actual!V121-actual!W121-actual!X121-actual!Y121-actual!Z121</f>
        <v>878390</v>
      </c>
      <c r="J122">
        <f>actual!U121+actual!AB121</f>
        <v>4443447</v>
      </c>
      <c r="K122">
        <f>actual2!J122-actual2!H122</f>
        <v>1654643</v>
      </c>
      <c r="L122">
        <f>actual!U121-actual2!F122</f>
        <v>765216</v>
      </c>
      <c r="M122">
        <f>L122-actual!AA121</f>
        <v>461300</v>
      </c>
      <c r="N122">
        <f>K122-actual!V121</f>
        <v>590771</v>
      </c>
    </row>
    <row r="123" spans="1:14" x14ac:dyDescent="0.35">
      <c r="A123" t="str">
        <f>actual!A122</f>
        <v>2024-25</v>
      </c>
      <c r="B123" t="str">
        <f>actual!B122</f>
        <v>Apr-24</v>
      </c>
      <c r="C123">
        <f>SUM(actual!C122:M122)</f>
        <v>255006</v>
      </c>
      <c r="D123">
        <f>C123-actual!N122-actual!O122</f>
        <v>184998</v>
      </c>
      <c r="E123">
        <f>SUM(actual!P122:R122)</f>
        <v>27295</v>
      </c>
      <c r="F123">
        <f t="shared" si="8"/>
        <v>212293</v>
      </c>
      <c r="G123">
        <f>SUM(actual!S122:T122)</f>
        <v>1041</v>
      </c>
      <c r="H123">
        <f t="shared" si="9"/>
        <v>213334</v>
      </c>
      <c r="I123">
        <f>actual!U122-actual!V122-actual!W122-actual!X122-actual!Y122-actual!Z122</f>
        <v>98653</v>
      </c>
      <c r="J123">
        <f>actual!U122+actual!AB122</f>
        <v>423470</v>
      </c>
      <c r="K123">
        <f>actual2!J123-actual2!H123</f>
        <v>210136</v>
      </c>
      <c r="L123">
        <f>actual!U122-actual2!F123</f>
        <v>111942</v>
      </c>
      <c r="M123">
        <f>L123-actual!AA122</f>
        <v>93736</v>
      </c>
      <c r="N123">
        <f>K123-actual!V122</f>
        <v>81873</v>
      </c>
    </row>
    <row r="124" spans="1:14" x14ac:dyDescent="0.35">
      <c r="A124" t="str">
        <f>actual!A123</f>
        <v>2024-25</v>
      </c>
      <c r="B124" t="str">
        <f>actual!B123</f>
        <v>May-24</v>
      </c>
      <c r="C124">
        <f>SUM(actual!C123:M123)</f>
        <v>459629</v>
      </c>
      <c r="D124">
        <f>C124-actual!N123-actual!O123</f>
        <v>319036</v>
      </c>
      <c r="E124">
        <f>SUM(actual!P123:R123)</f>
        <v>251722</v>
      </c>
      <c r="F124">
        <f t="shared" si="8"/>
        <v>570758</v>
      </c>
      <c r="G124">
        <f>SUM(actual!S123:T123)</f>
        <v>2087</v>
      </c>
      <c r="H124">
        <f t="shared" si="9"/>
        <v>572845</v>
      </c>
      <c r="I124">
        <f>actual!U123-actual!V123-actual!W123-actual!X123-actual!Y123-actual!Z123</f>
        <v>149817</v>
      </c>
      <c r="J124">
        <f>actual!U123+actual!AB123</f>
        <v>623460</v>
      </c>
      <c r="K124">
        <f>actual2!J124-actual2!H124</f>
        <v>50615</v>
      </c>
      <c r="L124">
        <f>actual!U123-actual2!F124</f>
        <v>-90923</v>
      </c>
      <c r="M124">
        <f>L124-actual!AA123</f>
        <v>-137158</v>
      </c>
      <c r="N124">
        <f>K124-actual!V123</f>
        <v>-73195</v>
      </c>
    </row>
    <row r="125" spans="1:14" x14ac:dyDescent="0.35">
      <c r="A125" t="str">
        <f>actual!A124</f>
        <v>2024-25</v>
      </c>
      <c r="B125" t="str">
        <f>actual!B124</f>
        <v>Jun-24</v>
      </c>
      <c r="C125">
        <f>SUM(actual!C124:M124)</f>
        <v>830797</v>
      </c>
      <c r="D125">
        <f>C125-actual!N124-actual!O124</f>
        <v>549633</v>
      </c>
      <c r="E125">
        <f>SUM(actual!P124:R124)</f>
        <v>280044</v>
      </c>
      <c r="F125">
        <f t="shared" si="8"/>
        <v>829677</v>
      </c>
      <c r="G125">
        <f>SUM(actual!S124:T124)</f>
        <v>4520</v>
      </c>
      <c r="H125">
        <f t="shared" si="9"/>
        <v>834197</v>
      </c>
      <c r="I125">
        <f>actual!U124-actual!V124-actual!W124-actual!X124-actual!Y124-actual!Z124</f>
        <v>215524</v>
      </c>
      <c r="J125">
        <f>actual!U124+actual!AB124</f>
        <v>969909</v>
      </c>
      <c r="K125">
        <f>actual2!J125-actual2!H125</f>
        <v>135712</v>
      </c>
      <c r="L125">
        <f>actual!U124-actual2!F125</f>
        <v>-40819</v>
      </c>
      <c r="M125">
        <f>L125-actual!AA124</f>
        <v>-99780</v>
      </c>
      <c r="N125">
        <f>K125-actual!V124</f>
        <v>-128340</v>
      </c>
    </row>
    <row r="126" spans="1:14" x14ac:dyDescent="0.35">
      <c r="A126" t="str">
        <f>actual!A125</f>
        <v>2024-25</v>
      </c>
      <c r="B126" t="str">
        <f>actual!B125</f>
        <v>Jul-24</v>
      </c>
      <c r="C126">
        <f>SUM(actual!C125:M125)</f>
        <v>1084229</v>
      </c>
      <c r="D126">
        <f>C126-actual!N125-actual!O125</f>
        <v>715224</v>
      </c>
      <c r="E126">
        <f>SUM(actual!P125:R125)</f>
        <v>301796</v>
      </c>
      <c r="F126">
        <f t="shared" si="8"/>
        <v>1017020</v>
      </c>
      <c r="G126">
        <f>SUM(actual!S125:T125)</f>
        <v>6386</v>
      </c>
      <c r="H126">
        <f t="shared" si="9"/>
        <v>1023406</v>
      </c>
      <c r="I126">
        <f>actual!U125-actual!V125-actual!W125-actual!X125-actual!Y125-actual!Z125</f>
        <v>292884</v>
      </c>
      <c r="J126">
        <f>actual!U125+actual!AB125</f>
        <v>1300351</v>
      </c>
      <c r="K126">
        <f>actual2!J126-actual2!H126</f>
        <v>276945</v>
      </c>
      <c r="L126">
        <f>actual!U125-actual2!F126</f>
        <v>22071</v>
      </c>
      <c r="M126">
        <f>L126-actual!AA125</f>
        <v>-62886</v>
      </c>
      <c r="N126">
        <f>K126-actual!V125</f>
        <v>-50942</v>
      </c>
    </row>
    <row r="127" spans="1:14" x14ac:dyDescent="0.35">
      <c r="A127" t="str">
        <f>actual!A126</f>
        <v>2024-25</v>
      </c>
      <c r="B127" t="str">
        <f>actual!B126</f>
        <v>Aug-24</v>
      </c>
      <c r="C127">
        <f>SUM(actual!C126:M126)</f>
        <v>1332722</v>
      </c>
      <c r="D127">
        <f>C127-actual!N126-actual!O126</f>
        <v>873845</v>
      </c>
      <c r="E127">
        <f>SUM(actual!P126:R126)</f>
        <v>334467</v>
      </c>
      <c r="F127">
        <f t="shared" si="8"/>
        <v>1208312</v>
      </c>
      <c r="G127">
        <f>SUM(actual!S126:T126)</f>
        <v>8866</v>
      </c>
      <c r="H127">
        <f t="shared" si="9"/>
        <v>1217178</v>
      </c>
      <c r="I127">
        <f>actual!U126-actual!V126-actual!W126-actual!X126-actual!Y126-actual!Z126</f>
        <v>343618</v>
      </c>
      <c r="J127">
        <f>actual!U126+actual!AB126</f>
        <v>1652354</v>
      </c>
      <c r="K127">
        <f>actual2!J127-actual2!H127</f>
        <v>435176</v>
      </c>
      <c r="L127">
        <f>actual!U126-actual2!F127</f>
        <v>143055</v>
      </c>
      <c r="M127">
        <f>L127-actual!AA126</f>
        <v>31989</v>
      </c>
      <c r="N127">
        <f>K127-actual!V126</f>
        <v>35016</v>
      </c>
    </row>
    <row r="128" spans="1:14" x14ac:dyDescent="0.35">
      <c r="A128" t="str">
        <f>actual!A127</f>
        <v>2024-25</v>
      </c>
      <c r="B128" t="str">
        <f>actual!B127</f>
        <v>Sep-24</v>
      </c>
      <c r="C128">
        <f>SUM(actual!C127:M127)</f>
        <v>1813842</v>
      </c>
      <c r="D128">
        <f>C128-actual!N127-actual!O127</f>
        <v>1265159</v>
      </c>
      <c r="E128">
        <f>SUM(actual!P127:R127)</f>
        <v>357214</v>
      </c>
      <c r="F128">
        <f t="shared" si="8"/>
        <v>1622373</v>
      </c>
      <c r="G128">
        <f>SUM(actual!S127:T127)</f>
        <v>14601</v>
      </c>
      <c r="H128">
        <f t="shared" si="9"/>
        <v>1636974</v>
      </c>
      <c r="I128">
        <f>actual!U127-actual!V127-actual!W127-actual!X127-actual!Y127-actual!Z127</f>
        <v>433394</v>
      </c>
      <c r="J128">
        <f>actual!U127+actual!AB127</f>
        <v>2111494</v>
      </c>
      <c r="K128">
        <f>actual2!J128-actual2!H128</f>
        <v>474520</v>
      </c>
      <c r="L128">
        <f>actual!U127-actual2!F128</f>
        <v>74155</v>
      </c>
      <c r="M128">
        <f>L128-actual!AA127</f>
        <v>-71053</v>
      </c>
      <c r="N128">
        <f>K128-actual!V127</f>
        <v>-40490</v>
      </c>
    </row>
    <row r="129" spans="1:14" x14ac:dyDescent="0.35">
      <c r="A129" t="str">
        <f>actual!A128</f>
        <v>2024-25</v>
      </c>
      <c r="B129" t="str">
        <f>actual!B128</f>
        <v>Oct-24</v>
      </c>
      <c r="C129">
        <f>SUM(actual!C128:M128)</f>
        <v>2032634</v>
      </c>
      <c r="D129">
        <f>C129-actual!N128-actual!O128</f>
        <v>1304973</v>
      </c>
      <c r="E129">
        <f>SUM(actual!P128:R128)</f>
        <v>399294</v>
      </c>
      <c r="F129">
        <f t="shared" si="8"/>
        <v>1704267</v>
      </c>
      <c r="G129">
        <f>SUM(actual!S128:T128)</f>
        <v>18807</v>
      </c>
      <c r="H129">
        <f t="shared" si="9"/>
        <v>1723074</v>
      </c>
      <c r="I129">
        <f>actual!U128-actual!V128-actual!W128-actual!X128-actual!Y128-actual!Z128</f>
        <v>535188</v>
      </c>
      <c r="J129">
        <f>actual!U128+actual!AB128</f>
        <v>2473898</v>
      </c>
      <c r="K129">
        <f>actual2!J129-actual2!H129</f>
        <v>750824</v>
      </c>
      <c r="L129">
        <f>actual!U128-actual2!F129</f>
        <v>303086</v>
      </c>
      <c r="M129">
        <f>L129-actual!AA128</f>
        <v>139396</v>
      </c>
      <c r="N129">
        <f>K129-actual!V128</f>
        <v>154477</v>
      </c>
    </row>
    <row r="130" spans="1:14" x14ac:dyDescent="0.35">
      <c r="A130" t="str">
        <f>actual!A129</f>
        <v>2024-25</v>
      </c>
      <c r="B130" t="str">
        <f>actual!B129</f>
        <v>Nov-24</v>
      </c>
      <c r="C130">
        <f>SUM(actual!C129:M129)</f>
        <v>2260975</v>
      </c>
      <c r="D130">
        <f>C130-actual!N129-actual!O129</f>
        <v>1443435</v>
      </c>
      <c r="E130">
        <f>SUM(actual!P129:R129)</f>
        <v>427020</v>
      </c>
      <c r="F130">
        <f t="shared" si="8"/>
        <v>1870455</v>
      </c>
      <c r="G130">
        <f>SUM(actual!S129:T129)</f>
        <v>23953</v>
      </c>
      <c r="H130">
        <f t="shared" si="9"/>
        <v>1894408</v>
      </c>
      <c r="I130">
        <f>actual!U129-actual!V129-actual!W129-actual!X129-actual!Y129-actual!Z129</f>
        <v>596257</v>
      </c>
      <c r="J130">
        <f>actual!U129+actual!AB129</f>
        <v>2741002</v>
      </c>
      <c r="K130">
        <f>actual2!J130-actual2!H130</f>
        <v>846594</v>
      </c>
      <c r="L130">
        <f>actual!U129-actual2!F130</f>
        <v>357047</v>
      </c>
      <c r="M130">
        <f>L130-actual!AA129</f>
        <v>178433</v>
      </c>
      <c r="N130">
        <f>K130-actual!V129</f>
        <v>188100</v>
      </c>
    </row>
    <row r="131" spans="1:14" x14ac:dyDescent="0.35">
      <c r="A131" t="str">
        <f>actual!A130</f>
        <v>2024-25</v>
      </c>
      <c r="B131" t="str">
        <f>actual!B130</f>
        <v>Dec-24</v>
      </c>
      <c r="C131">
        <f>SUM(actual!C130:M130)</f>
        <v>2750428</v>
      </c>
      <c r="D131">
        <f>C131-actual!N130-actual!O130</f>
        <v>1843053</v>
      </c>
      <c r="E131">
        <f>SUM(actual!P130:R130)</f>
        <v>447657</v>
      </c>
      <c r="F131">
        <f t="shared" si="8"/>
        <v>2290710</v>
      </c>
      <c r="G131">
        <f>SUM(actual!S130:T130)</f>
        <v>27295</v>
      </c>
      <c r="H131">
        <f t="shared" si="9"/>
        <v>2318005</v>
      </c>
      <c r="I131">
        <f>actual!U130-actual!V130-actual!W130-actual!X130-actual!Y130-actual!Z130</f>
        <v>652422</v>
      </c>
      <c r="J131">
        <f>actual!U130+actual!AB130</f>
        <v>3232094</v>
      </c>
      <c r="K131">
        <f>actual2!J131-actual2!H131</f>
        <v>914089</v>
      </c>
      <c r="L131">
        <f>actual!U130-actual2!F131</f>
        <v>256047</v>
      </c>
      <c r="M131">
        <f>L131-actual!AA130</f>
        <v>56517</v>
      </c>
      <c r="N131">
        <f>K131-actual!V130</f>
        <v>105776</v>
      </c>
    </row>
    <row r="132" spans="1:14" x14ac:dyDescent="0.35">
      <c r="A132" t="str">
        <f>actual!A131</f>
        <v>2024-25</v>
      </c>
      <c r="B132" t="str">
        <f>actual!B131</f>
        <v>Jan-25</v>
      </c>
      <c r="C132">
        <f>SUM(actual!C131:M131)</f>
        <v>2984356</v>
      </c>
      <c r="D132">
        <f>C132-actual!N131-actual!O131</f>
        <v>1903558</v>
      </c>
      <c r="E132">
        <f>SUM(actual!P131:R131)</f>
        <v>467630</v>
      </c>
      <c r="F132">
        <f t="shared" si="8"/>
        <v>2371188</v>
      </c>
      <c r="G132">
        <f>SUM(actual!S131:T131)</f>
        <v>29224</v>
      </c>
      <c r="H132">
        <f t="shared" si="9"/>
        <v>2400412</v>
      </c>
      <c r="I132">
        <f>actual!U131-actual!V131-actual!W131-actual!X131-actual!Y131-actual!Z131</f>
        <v>708252</v>
      </c>
      <c r="J132">
        <f>actual!U131+actual!AB131</f>
        <v>3569954</v>
      </c>
      <c r="K132">
        <f>actual2!J132-actual2!H132</f>
        <v>1169542</v>
      </c>
      <c r="L132">
        <f>actual!U131-actual2!F132</f>
        <v>441407</v>
      </c>
      <c r="M132">
        <f>L132-actual!AA131</f>
        <v>223011</v>
      </c>
      <c r="N132">
        <f>K132-actual!V131</f>
        <v>294081</v>
      </c>
    </row>
    <row r="133" spans="1:14" x14ac:dyDescent="0.35">
      <c r="A133" t="str">
        <f>actual!A132</f>
        <v>2024-25</v>
      </c>
      <c r="B133" t="str">
        <f>actual!B132</f>
        <v>Feb-25</v>
      </c>
      <c r="C133">
        <f>SUM(actual!C132:M132)</f>
        <v>3204226</v>
      </c>
      <c r="D133">
        <f>C133-actual!N132-actual!O132</f>
        <v>2015634</v>
      </c>
      <c r="E133">
        <f>SUM(actual!P132:R132)</f>
        <v>493319</v>
      </c>
      <c r="F133">
        <f t="shared" si="8"/>
        <v>2508953</v>
      </c>
      <c r="G133">
        <f>SUM(actual!S132:T132)</f>
        <v>37364</v>
      </c>
      <c r="H133">
        <f t="shared" si="9"/>
        <v>2546317</v>
      </c>
      <c r="I133">
        <f>actual!U132-actual!V132-actual!W132-actual!X132-actual!Y132-actual!Z132</f>
        <v>791119</v>
      </c>
      <c r="J133">
        <f>actual!U132+actual!AB132</f>
        <v>3893169</v>
      </c>
      <c r="K133">
        <f>actual2!J133-actual2!H133</f>
        <v>1346852</v>
      </c>
      <c r="L133">
        <f>actual!U132-actual2!F133</f>
        <v>572329</v>
      </c>
      <c r="M133">
        <f>L133-actual!AA132</f>
        <v>338408</v>
      </c>
      <c r="N133">
        <f>K133-actual!V132</f>
        <v>394008</v>
      </c>
    </row>
    <row r="134" spans="1:14" x14ac:dyDescent="0.35">
      <c r="A134" t="str">
        <f>actual!A133</f>
        <v>2024-25</v>
      </c>
      <c r="B134" t="str">
        <f>actual!B133</f>
        <v>Mar-25</v>
      </c>
      <c r="C134">
        <f>SUM(actual!C133:M133)</f>
        <v>3795225</v>
      </c>
      <c r="D134">
        <f>C134-actual!N133-actual!O133</f>
        <v>2498885</v>
      </c>
      <c r="E134">
        <f>SUM(actual!P133:R133)</f>
        <v>537544</v>
      </c>
      <c r="F134">
        <f t="shared" si="8"/>
        <v>3036429</v>
      </c>
      <c r="G134">
        <f>SUM(actual!S133:T133)</f>
        <v>41818</v>
      </c>
      <c r="H134">
        <f t="shared" si="9"/>
        <v>3078247</v>
      </c>
      <c r="I134">
        <f>actual!U133-actual!V133-actual!W133-actual!X133-actual!Y133-actual!Z133</f>
        <v>945351</v>
      </c>
      <c r="J134">
        <f>actual!U133+actual!AB133</f>
        <v>4655517</v>
      </c>
      <c r="K134">
        <f>actual2!J134-actual2!H134</f>
        <v>1577270</v>
      </c>
      <c r="L134">
        <f>actual!U133-actual2!F134</f>
        <v>567081</v>
      </c>
      <c r="M134">
        <f>L134-actual!AA133</f>
        <v>294306</v>
      </c>
      <c r="N134">
        <f>K134-actual!V133</f>
        <v>460927</v>
      </c>
    </row>
    <row r="135" spans="1:14" x14ac:dyDescent="0.35">
      <c r="A135" t="str">
        <f>actual!A134</f>
        <v>2025-26</v>
      </c>
      <c r="B135" t="str">
        <f>actual!B134</f>
        <v>Apr-25</v>
      </c>
      <c r="C135">
        <f>SUM(actual!C134:M134)</f>
        <v>271478</v>
      </c>
      <c r="D135">
        <f>C135-actual!N134-actual!O134</f>
        <v>189669</v>
      </c>
      <c r="E135">
        <f>SUM(actual!P134:R134)</f>
        <v>67160</v>
      </c>
      <c r="F135">
        <f t="shared" si="8"/>
        <v>256829</v>
      </c>
      <c r="G135">
        <f>SUM(actual!S134:T134)</f>
        <v>22459</v>
      </c>
      <c r="H135">
        <f t="shared" si="9"/>
        <v>279288</v>
      </c>
      <c r="I135">
        <f>actual!U134-actual!V134-actual!W134-actual!X134-actual!Y134-actual!Z134</f>
        <v>96580</v>
      </c>
      <c r="J135">
        <f>actual!U134+actual!AB134</f>
        <v>465620</v>
      </c>
      <c r="K135">
        <f>actual2!J135-actual2!H135</f>
        <v>186332</v>
      </c>
      <c r="L135">
        <f>actual!U134-actual2!F135</f>
        <v>49001</v>
      </c>
      <c r="M135">
        <f>L135-actual!AA134</f>
        <v>30423</v>
      </c>
      <c r="N135">
        <f>K135-actual!V134</f>
        <v>92872</v>
      </c>
    </row>
    <row r="136" spans="1:14" x14ac:dyDescent="0.35">
      <c r="A136" t="str">
        <f>actual!A135</f>
        <v>2025-26</v>
      </c>
      <c r="B136" t="str">
        <f>actual!B135</f>
        <v>May-25</v>
      </c>
      <c r="C136">
        <f>SUM(actual!C135:M135)</f>
        <v>515231</v>
      </c>
      <c r="D136">
        <f>C136-actual!N135-actual!O135</f>
        <v>350862</v>
      </c>
      <c r="E136">
        <f>SUM(actual!P135:R135)</f>
        <v>356877</v>
      </c>
      <c r="F136">
        <f t="shared" si="8"/>
        <v>707739</v>
      </c>
      <c r="G136">
        <f>SUM(actual!S135:T135)</f>
        <v>25224</v>
      </c>
      <c r="H136">
        <f t="shared" si="9"/>
        <v>732963</v>
      </c>
      <c r="I136">
        <f>actual!U135-actual!V135-actual!W135-actual!X135-actual!Y135-actual!Z135</f>
        <v>169847</v>
      </c>
      <c r="J136">
        <f>actual!U135+actual!AB135</f>
        <v>746126</v>
      </c>
      <c r="K136">
        <f>actual2!J136-actual2!H136</f>
        <v>13163</v>
      </c>
      <c r="L136">
        <f>actual!U135-actual2!F136</f>
        <v>-182967</v>
      </c>
      <c r="M136">
        <f>L136-actual!AA135</f>
        <v>-222051</v>
      </c>
      <c r="N136">
        <f>K136-actual!V135</f>
        <v>-134625</v>
      </c>
    </row>
    <row r="137" spans="1:14" x14ac:dyDescent="0.35">
      <c r="A137" t="str">
        <f>actual!A136</f>
        <v>2025-26</v>
      </c>
      <c r="B137" t="str">
        <f>actual!B136</f>
        <v>Jun-25</v>
      </c>
      <c r="C137">
        <f>SUM(actual!C136:M136)</f>
        <v>869009</v>
      </c>
      <c r="D137">
        <f>C137-actual!N136-actual!O136</f>
        <v>540316</v>
      </c>
      <c r="E137">
        <f>SUM(actual!P136:R136)</f>
        <v>373061</v>
      </c>
      <c r="F137">
        <f t="shared" si="8"/>
        <v>913377</v>
      </c>
      <c r="G137">
        <f>SUM(actual!S136:T136)</f>
        <v>28018</v>
      </c>
      <c r="H137">
        <f t="shared" si="9"/>
        <v>941395</v>
      </c>
      <c r="I137">
        <f>actual!U136-actual!V136-actual!W136-actual!X136-actual!Y136-actual!Z136</f>
        <v>235727</v>
      </c>
      <c r="J137">
        <f>actual!U136+actual!AB136</f>
        <v>1222127</v>
      </c>
      <c r="K137">
        <f>actual2!J137-actual2!H137</f>
        <v>280732</v>
      </c>
      <c r="L137">
        <f>actual!U136-actual2!F137</f>
        <v>33618</v>
      </c>
      <c r="M137">
        <f>L137-actual!AA136</f>
        <v>-41774</v>
      </c>
      <c r="N137">
        <f>K137-actual!V136</f>
        <v>-105305</v>
      </c>
    </row>
    <row r="138" spans="1:14" x14ac:dyDescent="0.35">
      <c r="A138" t="str">
        <f>actual!A137</f>
        <v>2025-26</v>
      </c>
      <c r="B138" t="str">
        <f>actual!B137</f>
        <v>Jul-25</v>
      </c>
      <c r="C138">
        <f>SUM(actual!C137:M137)</f>
        <v>1092910</v>
      </c>
      <c r="D138">
        <f>C138-actual!N137-actual!O137</f>
        <v>661812</v>
      </c>
      <c r="E138">
        <f>SUM(actual!P137:R137)</f>
        <v>403608</v>
      </c>
      <c r="F138">
        <f t="shared" si="8"/>
        <v>1065420</v>
      </c>
      <c r="G138">
        <f>SUM(actual!S137:T137)</f>
        <v>29789</v>
      </c>
      <c r="H138">
        <f t="shared" si="9"/>
        <v>1095209</v>
      </c>
      <c r="I138">
        <f>actual!U137-actual!V137-actual!W137-actual!X137-actual!Y137-actual!Z137</f>
        <v>330207</v>
      </c>
      <c r="J138">
        <f>actual!U137+actual!AB137</f>
        <v>1563625</v>
      </c>
      <c r="K138">
        <f>actual2!J138-actual2!H138</f>
        <v>468416</v>
      </c>
      <c r="L138">
        <f>actual!U137-actual2!F138</f>
        <v>151279</v>
      </c>
      <c r="M138">
        <f>L138-actual!AA137</f>
        <v>52029</v>
      </c>
      <c r="N138">
        <f>K138-actual!V137</f>
        <v>21726</v>
      </c>
    </row>
    <row r="139" spans="1:14" x14ac:dyDescent="0.35">
      <c r="A139" t="str">
        <f>actual!A138</f>
        <v>2025-26</v>
      </c>
      <c r="B139" t="str">
        <f>actual!B138</f>
        <v>Aug-25</v>
      </c>
      <c r="C139">
        <f>SUM(actual!C138:M138)</f>
        <v>1343963</v>
      </c>
      <c r="D139">
        <f>C139-actual!N138-actual!O138</f>
        <v>810407</v>
      </c>
      <c r="E139">
        <f>SUM(actual!P138:R138)</f>
        <v>440332</v>
      </c>
      <c r="F139">
        <f t="shared" si="8"/>
        <v>1250739</v>
      </c>
      <c r="G139">
        <f>SUM(actual!S138:T138)</f>
        <v>31970</v>
      </c>
      <c r="H139">
        <f t="shared" si="9"/>
        <v>1282709</v>
      </c>
      <c r="I139">
        <f>actual!U138-actual!V138-actual!W138-actual!X138-actual!Y138-actual!Z138</f>
        <v>377982</v>
      </c>
      <c r="J139">
        <f>actual!U138+actual!AB138</f>
        <v>1880862</v>
      </c>
      <c r="K139">
        <f>actual2!J139-actual2!H139</f>
        <v>598153</v>
      </c>
      <c r="L139">
        <f>actual!U138-actual2!F139</f>
        <v>198544</v>
      </c>
      <c r="M139">
        <f>L139-actual!AA138</f>
        <v>87908</v>
      </c>
      <c r="N139">
        <f>K139-actual!V138</f>
        <v>69485</v>
      </c>
    </row>
    <row r="140" spans="1:14" x14ac:dyDescent="0.35">
      <c r="A140" t="str">
        <f>actual!A139</f>
        <v>2025-26</v>
      </c>
      <c r="B140" t="str">
        <f>actual!B139</f>
        <v>Sep-25</v>
      </c>
      <c r="C140">
        <f>SUM(actual!C139:M139)</f>
        <v>1865354</v>
      </c>
      <c r="D140">
        <f>C140-actual!N139-actual!O139</f>
        <v>1229370</v>
      </c>
      <c r="E140">
        <f>SUM(actual!P139:R139)</f>
        <v>466076</v>
      </c>
      <c r="F140">
        <f t="shared" si="8"/>
        <v>1695446</v>
      </c>
      <c r="G140">
        <f>SUM(actual!S139:T139)</f>
        <v>34770</v>
      </c>
      <c r="H140">
        <f t="shared" si="9"/>
        <v>1730216</v>
      </c>
      <c r="I140">
        <f>actual!U139-actual!V139-actual!W139-actual!X139-actual!Y139-actual!Z139</f>
        <v>468114</v>
      </c>
      <c r="J140">
        <f>actual!U139+actual!AB139</f>
        <v>2303339</v>
      </c>
      <c r="K140">
        <f>actual2!J140-actual2!H140</f>
        <v>573123</v>
      </c>
      <c r="L140">
        <f>actual!U139-actual2!F140</f>
        <v>27147</v>
      </c>
      <c r="M140">
        <f>L140-actual!AA139</f>
        <v>-102767</v>
      </c>
      <c r="N140">
        <f>K140-actual!V139</f>
        <v>-5059</v>
      </c>
    </row>
    <row r="141" spans="1:14" x14ac:dyDescent="0.35">
      <c r="A141" t="str">
        <f>actual!A140</f>
        <v>2025-26</v>
      </c>
      <c r="B141" t="str">
        <f>actual!B140</f>
        <v>Oct-25</v>
      </c>
      <c r="C141">
        <f>SUM(actual!C140:M140)</f>
        <v>2114390</v>
      </c>
      <c r="D141">
        <f>C141-actual!N140-actual!O140</f>
        <v>1274301</v>
      </c>
      <c r="E141">
        <f>SUM(actual!P140:R140)</f>
        <v>489079</v>
      </c>
      <c r="F141">
        <f t="shared" si="8"/>
        <v>1763380</v>
      </c>
      <c r="G141">
        <f>SUM(actual!S140:T140)</f>
        <v>37095</v>
      </c>
      <c r="H141">
        <f t="shared" si="9"/>
        <v>1800475</v>
      </c>
      <c r="I141">
        <f>actual!U140-actual!V140-actual!W140-actual!X140-actual!Y140-actual!Z140</f>
        <v>533268</v>
      </c>
      <c r="J141">
        <f>actual!U140+actual!AB140</f>
        <v>2625619</v>
      </c>
      <c r="K141">
        <f>actual2!J141-actual2!H141</f>
        <v>825144</v>
      </c>
      <c r="L141">
        <f>actual!U140-actual2!F141</f>
        <v>244496</v>
      </c>
      <c r="M141">
        <f>L141-actual!AA140</f>
        <v>97547</v>
      </c>
      <c r="N141">
        <f>K141-actual!V140</f>
        <v>151429</v>
      </c>
    </row>
    <row r="142" spans="1:14" x14ac:dyDescent="0.35">
      <c r="A142" t="str">
        <f>actual!A141</f>
        <v>2025-26</v>
      </c>
      <c r="B142" t="str">
        <f>actual!B141</f>
        <v>Nov-25</v>
      </c>
      <c r="C142">
        <f>SUM(actual!C141:M141)</f>
        <v>2336430</v>
      </c>
      <c r="D142">
        <f>C142-actual!N141-actual!O141</f>
        <v>1393946</v>
      </c>
      <c r="E142">
        <f>SUM(actual!P141:R141)</f>
        <v>516366</v>
      </c>
      <c r="F142">
        <f t="shared" si="8"/>
        <v>1910312</v>
      </c>
      <c r="G142">
        <f>SUM(actual!S141:T141)</f>
        <v>38927</v>
      </c>
      <c r="H142">
        <f t="shared" si="9"/>
        <v>1949239</v>
      </c>
      <c r="I142">
        <f>actual!U141-actual!V141-actual!W141-actual!X141-actual!Y141-actual!Z141</f>
        <v>607906</v>
      </c>
      <c r="J142">
        <f>actual!U141+actual!AB141</f>
        <v>2925910</v>
      </c>
      <c r="K142">
        <f>actual2!J142-actual2!H142</f>
        <v>976671</v>
      </c>
      <c r="L142">
        <f>actual!U141-actual2!F142</f>
        <v>357388</v>
      </c>
      <c r="M142">
        <f>L142-actual!AA141</f>
        <v>196035</v>
      </c>
      <c r="N142">
        <f>K142-actual!V141</f>
        <v>230906</v>
      </c>
    </row>
    <row r="143" spans="1:14" x14ac:dyDescent="0.35">
      <c r="A143" t="str">
        <f>actual!A142</f>
        <v>2025-26</v>
      </c>
      <c r="B143" t="str">
        <f>actual!B142</f>
        <v>Dec-25</v>
      </c>
      <c r="C143">
        <f>SUM(actual!C142:M142)</f>
        <v>2984267</v>
      </c>
      <c r="D143">
        <f>C143-actual!N142-actual!O142</f>
        <v>1939254</v>
      </c>
      <c r="E143">
        <f>SUM(actual!P142:R142)</f>
        <v>539855</v>
      </c>
      <c r="F143">
        <f t="shared" si="8"/>
        <v>2479109</v>
      </c>
      <c r="G143">
        <f>SUM(actual!S142:T142)</f>
        <v>46047</v>
      </c>
      <c r="H143">
        <f t="shared" si="9"/>
        <v>2525156</v>
      </c>
      <c r="I143">
        <f>actual!U142-actual!V142-actual!W142-actual!X142-actual!Y142-actual!Z142</f>
        <v>658188</v>
      </c>
      <c r="J143">
        <f>actual!U142+actual!AB142</f>
        <v>3380998</v>
      </c>
      <c r="K143">
        <f>actual2!J143-actual2!H143</f>
        <v>855842</v>
      </c>
      <c r="L143">
        <f>actual!U142-actual2!F143</f>
        <v>113954</v>
      </c>
      <c r="M143">
        <f>L143-actual!AA142</f>
        <v>-63645</v>
      </c>
      <c r="N143">
        <f>K143-actual!V142</f>
        <v>-55217</v>
      </c>
    </row>
    <row r="144" spans="1:14" x14ac:dyDescent="0.35">
      <c r="A144">
        <f>actual!A143</f>
        <v>0</v>
      </c>
      <c r="B144">
        <f>actual!B143</f>
        <v>0</v>
      </c>
      <c r="C144">
        <f>SUM(actual!C143:M143)</f>
        <v>0</v>
      </c>
      <c r="D144">
        <f>C144-actual!N143-actual!O143</f>
        <v>0</v>
      </c>
      <c r="E144">
        <f>SUM(actual!P143:R143)</f>
        <v>0</v>
      </c>
      <c r="F144">
        <f t="shared" si="8"/>
        <v>0</v>
      </c>
      <c r="G144">
        <f>SUM(actual!S143:T143)</f>
        <v>0</v>
      </c>
      <c r="H144">
        <f t="shared" si="9"/>
        <v>0</v>
      </c>
      <c r="I144">
        <f>actual!U143-actual!V143-actual!W143-actual!X143-actual!Y143-actual!Z143</f>
        <v>0</v>
      </c>
      <c r="J144">
        <f>actual!U143+actual!AB143</f>
        <v>0</v>
      </c>
      <c r="K144">
        <f>actual2!J144-actual2!H144</f>
        <v>0</v>
      </c>
      <c r="L144">
        <f>actual!U143-actual2!F144</f>
        <v>0</v>
      </c>
      <c r="M144">
        <f>L144-actual!AA143</f>
        <v>0</v>
      </c>
      <c r="N144">
        <f>K144-actual!V143</f>
        <v>0</v>
      </c>
    </row>
    <row r="145" spans="1:14" x14ac:dyDescent="0.35">
      <c r="A145">
        <f>actual!A144</f>
        <v>0</v>
      </c>
      <c r="B145">
        <f>actual!B144</f>
        <v>0</v>
      </c>
      <c r="C145">
        <f>SUM(actual!C144:M144)</f>
        <v>0</v>
      </c>
      <c r="D145">
        <f>C145-actual!N144-actual!O144</f>
        <v>0</v>
      </c>
      <c r="E145">
        <f>SUM(actual!P144:R144)</f>
        <v>0</v>
      </c>
      <c r="F145">
        <f t="shared" si="8"/>
        <v>0</v>
      </c>
      <c r="G145">
        <f>SUM(actual!S144:T144)</f>
        <v>0</v>
      </c>
      <c r="H145">
        <f t="shared" si="9"/>
        <v>0</v>
      </c>
      <c r="I145">
        <f>actual!U144-actual!V144-actual!W144-actual!X144-actual!Y144-actual!Z144</f>
        <v>0</v>
      </c>
      <c r="J145">
        <f>actual!U144+actual!AB144</f>
        <v>0</v>
      </c>
      <c r="K145">
        <f>actual2!J145-actual2!H145</f>
        <v>0</v>
      </c>
      <c r="L145">
        <f>actual!U144-actual2!F145</f>
        <v>0</v>
      </c>
      <c r="M145">
        <f>L145-actual!AA144</f>
        <v>0</v>
      </c>
      <c r="N145">
        <f>K145-actual!V144</f>
        <v>0</v>
      </c>
    </row>
    <row r="146" spans="1:14" x14ac:dyDescent="0.35">
      <c r="A146">
        <f>actual!A145</f>
        <v>0</v>
      </c>
      <c r="B146">
        <f>actual!B145</f>
        <v>0</v>
      </c>
      <c r="C146">
        <f>SUM(actual!C145:M145)</f>
        <v>0</v>
      </c>
      <c r="D146">
        <f>C146-actual!N145-actual!O145</f>
        <v>0</v>
      </c>
      <c r="E146">
        <f>SUM(actual!P145:R145)</f>
        <v>0</v>
      </c>
      <c r="F146">
        <f t="shared" si="8"/>
        <v>0</v>
      </c>
      <c r="G146">
        <f>SUM(actual!S145:T145)</f>
        <v>0</v>
      </c>
      <c r="H146">
        <f t="shared" si="9"/>
        <v>0</v>
      </c>
      <c r="I146">
        <f>actual!U145-actual!V145-actual!W145-actual!X145-actual!Y145-actual!Z145</f>
        <v>0</v>
      </c>
      <c r="J146">
        <f>actual!U145+actual!AB145</f>
        <v>0</v>
      </c>
      <c r="K146">
        <f>actual2!J146-actual2!H146</f>
        <v>0</v>
      </c>
      <c r="L146">
        <f>actual!U145-actual2!F146</f>
        <v>0</v>
      </c>
      <c r="M146">
        <f>L146-actual!AA145</f>
        <v>0</v>
      </c>
      <c r="N146">
        <f>K146-actual!V145</f>
        <v>0</v>
      </c>
    </row>
    <row r="147" spans="1:14" x14ac:dyDescent="0.35">
      <c r="A147">
        <f>actual!A146</f>
        <v>0</v>
      </c>
      <c r="B147">
        <f>actual!B146</f>
        <v>0</v>
      </c>
      <c r="C147">
        <f>SUM(actual!C146:M146)</f>
        <v>0</v>
      </c>
      <c r="D147">
        <f>C147-actual!N146-actual!O146</f>
        <v>0</v>
      </c>
      <c r="E147">
        <f>SUM(actual!P146:R146)</f>
        <v>0</v>
      </c>
      <c r="F147">
        <f t="shared" si="8"/>
        <v>0</v>
      </c>
      <c r="G147">
        <f>SUM(actual!S146:T146)</f>
        <v>0</v>
      </c>
      <c r="H147">
        <f t="shared" si="9"/>
        <v>0</v>
      </c>
      <c r="I147">
        <f>actual!U146-actual!V146-actual!W146-actual!X146-actual!Y146-actual!Z146</f>
        <v>0</v>
      </c>
      <c r="J147">
        <f>actual!U146+actual!AB146</f>
        <v>0</v>
      </c>
      <c r="K147">
        <f>actual2!J147-actual2!H147</f>
        <v>0</v>
      </c>
      <c r="L147">
        <f>actual!U146-actual2!F147</f>
        <v>0</v>
      </c>
      <c r="M147">
        <f>L147-actual!AA146</f>
        <v>0</v>
      </c>
      <c r="N147">
        <f>K147-actual!V146</f>
        <v>0</v>
      </c>
    </row>
    <row r="148" spans="1:14" x14ac:dyDescent="0.35">
      <c r="A148">
        <f>actual!A147</f>
        <v>0</v>
      </c>
      <c r="B148">
        <f>actual!B147</f>
        <v>0</v>
      </c>
      <c r="C148">
        <f>SUM(actual!C147:M147)</f>
        <v>0</v>
      </c>
      <c r="D148">
        <f>C148-actual!N147-actual!O147</f>
        <v>0</v>
      </c>
      <c r="E148">
        <f>SUM(actual!P147:R147)</f>
        <v>0</v>
      </c>
      <c r="F148">
        <f t="shared" si="8"/>
        <v>0</v>
      </c>
      <c r="G148">
        <f>SUM(actual!S147:T147)</f>
        <v>0</v>
      </c>
      <c r="H148">
        <f t="shared" si="9"/>
        <v>0</v>
      </c>
      <c r="I148">
        <f>actual!U147-actual!V147-actual!W147-actual!X147-actual!Y147-actual!Z147</f>
        <v>0</v>
      </c>
      <c r="J148">
        <f>actual!U147+actual!AB147</f>
        <v>0</v>
      </c>
      <c r="K148">
        <f>actual2!J148-actual2!H148</f>
        <v>0</v>
      </c>
      <c r="L148">
        <f>actual!U147-actual2!F148</f>
        <v>0</v>
      </c>
      <c r="M148">
        <f>L148-actual!AA147</f>
        <v>0</v>
      </c>
      <c r="N148">
        <f>K148-actual!V147</f>
        <v>0</v>
      </c>
    </row>
    <row r="149" spans="1:14" x14ac:dyDescent="0.35">
      <c r="A149">
        <f>actual!A148</f>
        <v>0</v>
      </c>
      <c r="B149">
        <f>actual!B148</f>
        <v>0</v>
      </c>
      <c r="C149">
        <f>SUM(actual!C148:M148)</f>
        <v>0</v>
      </c>
      <c r="D149">
        <f>C149-actual!N148-actual!O148</f>
        <v>0</v>
      </c>
      <c r="E149">
        <f>SUM(actual!P148:R148)</f>
        <v>0</v>
      </c>
      <c r="F149">
        <f t="shared" si="8"/>
        <v>0</v>
      </c>
      <c r="G149">
        <f>SUM(actual!S148:T148)</f>
        <v>0</v>
      </c>
      <c r="H149">
        <f t="shared" si="9"/>
        <v>0</v>
      </c>
      <c r="I149">
        <f>actual!U148-actual!V148-actual!W148-actual!X148-actual!Y148-actual!Z148</f>
        <v>0</v>
      </c>
      <c r="J149">
        <f>actual!U148+actual!AB148</f>
        <v>0</v>
      </c>
      <c r="K149">
        <f>actual2!J149-actual2!H149</f>
        <v>0</v>
      </c>
      <c r="L149">
        <f>actual!U148-actual2!F149</f>
        <v>0</v>
      </c>
      <c r="M149">
        <f>L149-actual!AA148</f>
        <v>0</v>
      </c>
      <c r="N149">
        <f>K149-actual!V148</f>
        <v>0</v>
      </c>
    </row>
    <row r="150" spans="1:14" x14ac:dyDescent="0.35">
      <c r="A150">
        <f>actual!A149</f>
        <v>0</v>
      </c>
      <c r="B150">
        <f>actual!B149</f>
        <v>0</v>
      </c>
      <c r="C150">
        <f>SUM(actual!C149:M149)</f>
        <v>0</v>
      </c>
      <c r="D150">
        <f>C150-actual!N149-actual!O149</f>
        <v>0</v>
      </c>
      <c r="E150">
        <f>SUM(actual!P149:R149)</f>
        <v>0</v>
      </c>
      <c r="F150">
        <f t="shared" si="8"/>
        <v>0</v>
      </c>
      <c r="G150">
        <f>SUM(actual!S149:T149)</f>
        <v>0</v>
      </c>
      <c r="H150">
        <f t="shared" si="9"/>
        <v>0</v>
      </c>
      <c r="I150">
        <f>actual!U149-actual!V149-actual!W149-actual!X149-actual!Y149-actual!Z149</f>
        <v>0</v>
      </c>
      <c r="J150">
        <f>actual!U149+actual!AB149</f>
        <v>0</v>
      </c>
      <c r="K150">
        <f>actual2!J150-actual2!H150</f>
        <v>0</v>
      </c>
      <c r="L150">
        <f>actual!U149-actual2!F150</f>
        <v>0</v>
      </c>
      <c r="M150">
        <f>L150-actual!AA149</f>
        <v>0</v>
      </c>
      <c r="N150">
        <f>K150-actual!V149</f>
        <v>0</v>
      </c>
    </row>
    <row r="151" spans="1:14" x14ac:dyDescent="0.35">
      <c r="A151">
        <f>actual!A150</f>
        <v>0</v>
      </c>
      <c r="B151">
        <f>actual!B150</f>
        <v>0</v>
      </c>
      <c r="C151">
        <f>SUM(actual!C150:M150)</f>
        <v>0</v>
      </c>
      <c r="D151">
        <f>C151-actual!N150-actual!O150</f>
        <v>0</v>
      </c>
      <c r="E151">
        <f>SUM(actual!P150:R150)</f>
        <v>0</v>
      </c>
      <c r="F151">
        <f t="shared" si="8"/>
        <v>0</v>
      </c>
      <c r="G151">
        <f>SUM(actual!S150:T150)</f>
        <v>0</v>
      </c>
      <c r="H151">
        <f t="shared" si="9"/>
        <v>0</v>
      </c>
      <c r="I151">
        <f>actual!U150-actual!V150-actual!W150-actual!X150-actual!Y150-actual!Z150</f>
        <v>0</v>
      </c>
      <c r="J151">
        <f>actual!U150+actual!AB150</f>
        <v>0</v>
      </c>
      <c r="K151">
        <f>actual2!J151-actual2!H151</f>
        <v>0</v>
      </c>
      <c r="L151">
        <f>actual!U150-actual2!F151</f>
        <v>0</v>
      </c>
      <c r="M151">
        <f>L151-actual!AA150</f>
        <v>0</v>
      </c>
      <c r="N151">
        <f>K151-actual!V150</f>
        <v>0</v>
      </c>
    </row>
    <row r="152" spans="1:14" x14ac:dyDescent="0.35">
      <c r="A152">
        <f>actual!A151</f>
        <v>0</v>
      </c>
      <c r="B152">
        <f>actual!B151</f>
        <v>0</v>
      </c>
      <c r="C152">
        <f>SUM(actual!C151:M151)</f>
        <v>0</v>
      </c>
      <c r="D152">
        <f>C152-actual!N151-actual!O151</f>
        <v>0</v>
      </c>
      <c r="E152">
        <f>SUM(actual!P151:R151)</f>
        <v>0</v>
      </c>
      <c r="F152">
        <f t="shared" si="8"/>
        <v>0</v>
      </c>
      <c r="G152">
        <f>SUM(actual!S151:T151)</f>
        <v>0</v>
      </c>
      <c r="H152">
        <f t="shared" si="9"/>
        <v>0</v>
      </c>
      <c r="I152">
        <f>actual!U151-actual!V151-actual!W151-actual!X151-actual!Y151-actual!Z151</f>
        <v>0</v>
      </c>
      <c r="J152">
        <f>actual!U151+actual!AB151</f>
        <v>0</v>
      </c>
      <c r="K152">
        <f>actual2!J152-actual2!H152</f>
        <v>0</v>
      </c>
      <c r="L152">
        <f>actual!U151-actual2!F152</f>
        <v>0</v>
      </c>
      <c r="M152">
        <f>L152-actual!AA151</f>
        <v>0</v>
      </c>
      <c r="N152">
        <f>K152-actual!V151</f>
        <v>0</v>
      </c>
    </row>
    <row r="153" spans="1:14" x14ac:dyDescent="0.35">
      <c r="A153">
        <f>actual!A152</f>
        <v>0</v>
      </c>
      <c r="B153">
        <f>actual!B152</f>
        <v>0</v>
      </c>
      <c r="C153">
        <f>SUM(actual!C152:M152)</f>
        <v>0</v>
      </c>
      <c r="D153">
        <f>C153-actual!N152-actual!O152</f>
        <v>0</v>
      </c>
      <c r="E153">
        <f>SUM(actual!P152:R152)</f>
        <v>0</v>
      </c>
      <c r="F153">
        <f t="shared" si="8"/>
        <v>0</v>
      </c>
      <c r="G153">
        <f>SUM(actual!S152:T152)</f>
        <v>0</v>
      </c>
      <c r="H153">
        <f t="shared" si="9"/>
        <v>0</v>
      </c>
      <c r="I153">
        <f>actual!U152-actual!V152-actual!W152-actual!X152-actual!Y152-actual!Z152</f>
        <v>0</v>
      </c>
      <c r="J153">
        <f>actual!U152+actual!AB152</f>
        <v>0</v>
      </c>
      <c r="K153">
        <f>actual2!J153-actual2!H153</f>
        <v>0</v>
      </c>
      <c r="L153">
        <f>actual!U152-actual2!F153</f>
        <v>0</v>
      </c>
      <c r="M153">
        <f>L153-actual!AA152</f>
        <v>0</v>
      </c>
      <c r="N153">
        <f>K153-actual!V152</f>
        <v>0</v>
      </c>
    </row>
    <row r="154" spans="1:14" x14ac:dyDescent="0.35">
      <c r="A154">
        <f>actual!A153</f>
        <v>0</v>
      </c>
      <c r="B154">
        <f>actual!B153</f>
        <v>0</v>
      </c>
      <c r="C154">
        <f>SUM(actual!C153:M153)</f>
        <v>0</v>
      </c>
      <c r="D154">
        <f>C154-actual!N153-actual!O153</f>
        <v>0</v>
      </c>
      <c r="E154">
        <f>SUM(actual!P153:R153)</f>
        <v>0</v>
      </c>
      <c r="F154">
        <f t="shared" si="8"/>
        <v>0</v>
      </c>
      <c r="G154">
        <f>SUM(actual!S153:T153)</f>
        <v>0</v>
      </c>
      <c r="H154">
        <f t="shared" si="9"/>
        <v>0</v>
      </c>
      <c r="I154">
        <f>actual!U153-actual!V153-actual!W153-actual!X153-actual!Y153-actual!Z153</f>
        <v>0</v>
      </c>
      <c r="J154">
        <f>actual!U153+actual!AB153</f>
        <v>0</v>
      </c>
      <c r="K154">
        <f>actual2!J154-actual2!H154</f>
        <v>0</v>
      </c>
      <c r="L154">
        <f>actual!U153-actual2!F154</f>
        <v>0</v>
      </c>
      <c r="M154">
        <f>L154-actual!AA153</f>
        <v>0</v>
      </c>
      <c r="N154">
        <f>K154-actual!V153</f>
        <v>0</v>
      </c>
    </row>
    <row r="155" spans="1:14" x14ac:dyDescent="0.35">
      <c r="A155">
        <f>actual!A154</f>
        <v>0</v>
      </c>
      <c r="B155">
        <f>actual!B154</f>
        <v>0</v>
      </c>
      <c r="C155">
        <f>SUM(actual!C154:M154)</f>
        <v>0</v>
      </c>
      <c r="D155">
        <f>C155-actual!N154-actual!O154</f>
        <v>0</v>
      </c>
      <c r="E155">
        <f>SUM(actual!P154:R154)</f>
        <v>0</v>
      </c>
      <c r="F155">
        <f t="shared" si="8"/>
        <v>0</v>
      </c>
      <c r="G155">
        <f>SUM(actual!S154:T154)</f>
        <v>0</v>
      </c>
      <c r="H155">
        <f t="shared" si="9"/>
        <v>0</v>
      </c>
      <c r="I155">
        <f>actual!U154-actual!V154-actual!W154-actual!X154-actual!Y154-actual!Z154</f>
        <v>0</v>
      </c>
      <c r="J155">
        <f>actual!U154+actual!AB154</f>
        <v>0</v>
      </c>
      <c r="K155">
        <f>actual2!J155-actual2!H155</f>
        <v>0</v>
      </c>
      <c r="L155">
        <f>actual!U154-actual2!F155</f>
        <v>0</v>
      </c>
      <c r="M155">
        <f>L155-actual!AA154</f>
        <v>0</v>
      </c>
      <c r="N155">
        <f>K155-actual!V154</f>
        <v>0</v>
      </c>
    </row>
  </sheetData>
  <sheetProtection algorithmName="SHA-512" hashValue="3mTu1fLiFBOS5WmTHcbZ35ER+elj8hzRg/f8AkZ4ImcaKPpFoY2KEmm4tN+0+pLF4YIgz9hFQEurVbK3gd5O2Q==" saltValue="WXe0LcUhJZ5PYYqofm4MUA==" spinCount="100000" sheet="1" objects="1" scenarios="1" selectLockedCells="1"/>
  <pageMargins left="0.7" right="0.7" top="0.75" bottom="0.75" header="0.3" footer="0.3"/>
  <pageSetup paperSize="9" orientation="landscape" horizontalDpi="0"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AC44"/>
  <sheetViews>
    <sheetView showRowColHeaders="0" topLeftCell="A7" workbookViewId="0">
      <selection activeCell="A24" sqref="A24"/>
    </sheetView>
  </sheetViews>
  <sheetFormatPr defaultRowHeight="14.5" x14ac:dyDescent="0.35"/>
  <cols>
    <col min="3" max="3" width="18.54296875" customWidth="1"/>
    <col min="4" max="4" width="17" customWidth="1"/>
    <col min="5" max="5" width="17.54296875" customWidth="1"/>
    <col min="6" max="6" width="17.7265625" customWidth="1"/>
    <col min="7" max="7" width="24.54296875" customWidth="1"/>
    <col min="8" max="8" width="14.54296875" customWidth="1"/>
    <col min="9" max="9" width="26" customWidth="1"/>
    <col min="10" max="10" width="17.7265625" customWidth="1"/>
    <col min="11" max="11" width="13.1796875" customWidth="1"/>
    <col min="12" max="12" width="16" customWidth="1"/>
    <col min="13" max="13" width="23.7265625" customWidth="1"/>
    <col min="14" max="14" width="15.26953125" customWidth="1"/>
  </cols>
  <sheetData>
    <row r="1" spans="1:29" ht="52.9" customHeight="1" x14ac:dyDescent="0.35">
      <c r="A1" s="3" t="s">
        <v>0</v>
      </c>
      <c r="B1" s="4" t="s">
        <v>1</v>
      </c>
      <c r="C1" s="3" t="s">
        <v>67</v>
      </c>
      <c r="D1" s="3" t="s">
        <v>68</v>
      </c>
      <c r="E1" s="3" t="s">
        <v>69</v>
      </c>
      <c r="F1" s="3" t="s">
        <v>49</v>
      </c>
      <c r="G1" s="3" t="s">
        <v>70</v>
      </c>
      <c r="H1" s="3" t="s">
        <v>71</v>
      </c>
      <c r="I1" s="3" t="s">
        <v>72</v>
      </c>
      <c r="J1" s="3" t="s">
        <v>73</v>
      </c>
      <c r="K1" s="3" t="s">
        <v>45</v>
      </c>
      <c r="L1" s="3" t="s">
        <v>47</v>
      </c>
      <c r="M1" s="3" t="s">
        <v>50</v>
      </c>
      <c r="N1" s="3" t="s">
        <v>46</v>
      </c>
      <c r="O1" s="1"/>
      <c r="P1" s="1"/>
      <c r="Q1" s="1"/>
      <c r="R1" s="1"/>
      <c r="S1" s="1"/>
      <c r="T1" s="1"/>
      <c r="U1" s="1"/>
      <c r="V1" s="1"/>
      <c r="W1" s="1"/>
      <c r="X1" s="1"/>
      <c r="Y1" s="1"/>
      <c r="Z1" s="1"/>
      <c r="AA1" s="1"/>
      <c r="AB1" s="1"/>
      <c r="AC1" s="1"/>
    </row>
    <row r="2" spans="1:29" x14ac:dyDescent="0.35">
      <c r="A2" t="str">
        <f>BERE!A2</f>
        <v>2014-15</v>
      </c>
      <c r="B2" s="2" t="str">
        <f>BERE!B2</f>
        <v>BE</v>
      </c>
      <c r="C2">
        <f>SUM(BERE!C2:M2)</f>
        <v>1364524</v>
      </c>
      <c r="D2">
        <f>C2-BERE!N2-BERE!O2</f>
        <v>977258</v>
      </c>
      <c r="E2">
        <f>SUM(BERE!P2:R2)</f>
        <v>212505</v>
      </c>
      <c r="F2">
        <f>SUM(D2:E2)</f>
        <v>1189763</v>
      </c>
      <c r="G2">
        <f>SUM(BERE!S2:T2)</f>
        <v>73952</v>
      </c>
      <c r="H2">
        <f>SUM(F2:G2)</f>
        <v>1263715</v>
      </c>
      <c r="I2">
        <f>BERE!U2-BERE!V2-BERE!W2-BERE!X2-BERE!Y2-BERE!Z2</f>
        <v>508701</v>
      </c>
      <c r="J2">
        <f>BERE!U2+BERE!AB2</f>
        <v>1794892</v>
      </c>
      <c r="K2">
        <f>BERE2!J2-BERE2!H2</f>
        <v>531177</v>
      </c>
      <c r="L2">
        <f>BERE!U2-BERE2!F2</f>
        <v>378348</v>
      </c>
      <c r="M2">
        <f>L2-BERE!AA2</f>
        <v>210244</v>
      </c>
      <c r="N2">
        <f>K2-BERE!V2</f>
        <v>104166</v>
      </c>
    </row>
    <row r="3" spans="1:29" x14ac:dyDescent="0.35">
      <c r="A3" t="str">
        <f>BERE!A3</f>
        <v>2014-15</v>
      </c>
      <c r="B3" s="2" t="str">
        <f>BERE!B3</f>
        <v>RE</v>
      </c>
      <c r="C3">
        <f>SUM(BERE!C3:M3)</f>
        <v>1251391</v>
      </c>
      <c r="D3">
        <f>C3-BERE!N3-BERE!O3</f>
        <v>908463</v>
      </c>
      <c r="E3">
        <f>SUM(BERE!P3:R3)</f>
        <v>217831</v>
      </c>
      <c r="F3">
        <f t="shared" ref="F3:F15" si="0">SUM(D3:E3)</f>
        <v>1126294</v>
      </c>
      <c r="G3">
        <f>SUM(BERE!S3:T3)</f>
        <v>42236</v>
      </c>
      <c r="H3">
        <f t="shared" ref="H3:H15" si="1">SUM(F3:G3)</f>
        <v>1168530</v>
      </c>
      <c r="I3">
        <f>BERE!U3-BERE!V3-BERE!W3-BERE!X3-BERE!Y3-BERE!Z3</f>
        <v>439100</v>
      </c>
      <c r="J3">
        <f>BERE!U3+BERE!AB3</f>
        <v>1681159</v>
      </c>
      <c r="K3">
        <f>BERE2!J3-BERE2!H3</f>
        <v>512629</v>
      </c>
      <c r="L3">
        <f>BERE!U3-BERE2!F3</f>
        <v>362486</v>
      </c>
      <c r="M3">
        <f>L3-BERE!AA3</f>
        <v>230588</v>
      </c>
      <c r="N3">
        <f>K3-BERE!V3</f>
        <v>101275</v>
      </c>
    </row>
    <row r="4" spans="1:29" x14ac:dyDescent="0.35">
      <c r="A4" t="str">
        <f>BERE!A4</f>
        <v>2015-16</v>
      </c>
      <c r="B4" s="2" t="str">
        <f>BERE!B4</f>
        <v>BE</v>
      </c>
      <c r="C4">
        <f>SUM(BERE!C4:M4)</f>
        <v>1449490</v>
      </c>
      <c r="D4">
        <f>C4-BERE!N4-BERE!O4</f>
        <v>919842</v>
      </c>
      <c r="E4">
        <f>SUM(BERE!P4:R4)</f>
        <v>221733</v>
      </c>
      <c r="F4">
        <f t="shared" si="0"/>
        <v>1141575</v>
      </c>
      <c r="G4">
        <f>SUM(BERE!S4:T4)</f>
        <v>80253</v>
      </c>
      <c r="H4">
        <f t="shared" si="1"/>
        <v>1221828</v>
      </c>
      <c r="I4">
        <f>BERE!U4-BERE!V4-BERE!W4-BERE!X4-BERE!Y4-BERE!Z4</f>
        <v>408636</v>
      </c>
      <c r="J4">
        <f>BERE!U4+BERE!AB4</f>
        <v>1777477</v>
      </c>
      <c r="K4">
        <f>BERE2!J4-BERE2!H4</f>
        <v>555649</v>
      </c>
      <c r="L4">
        <f>BERE!U4-BERE2!F4</f>
        <v>394472</v>
      </c>
      <c r="M4">
        <f>L4-BERE!AA4</f>
        <v>283921</v>
      </c>
      <c r="N4">
        <f>K4-BERE!V4</f>
        <v>99504</v>
      </c>
    </row>
    <row r="5" spans="1:29" x14ac:dyDescent="0.35">
      <c r="A5" t="str">
        <f>BERE!A5</f>
        <v>2015-16</v>
      </c>
      <c r="B5" s="2" t="str">
        <f>BERE!B5</f>
        <v>RE</v>
      </c>
      <c r="C5">
        <f>SUM(BERE!C5:M5)</f>
        <v>1459611</v>
      </c>
      <c r="D5">
        <f>C5-BERE!N5-BERE!O5</f>
        <v>947508</v>
      </c>
      <c r="E5">
        <f>SUM(BERE!P5:R5)</f>
        <v>258576</v>
      </c>
      <c r="F5">
        <f t="shared" si="0"/>
        <v>1206084</v>
      </c>
      <c r="G5">
        <f>SUM(BERE!S5:T5)</f>
        <v>44217</v>
      </c>
      <c r="H5">
        <f t="shared" si="1"/>
        <v>1250301</v>
      </c>
      <c r="I5">
        <f>BERE!U5-BERE!V5-BERE!W5-BERE!X5-BERE!Y5-BERE!Z5</f>
        <v>418573</v>
      </c>
      <c r="J5">
        <f>BERE!U5+BERE!AB5</f>
        <v>1785391</v>
      </c>
      <c r="K5">
        <f>BERE2!J5-BERE2!H5</f>
        <v>535090</v>
      </c>
      <c r="L5">
        <f>BERE!U5-BERE2!F5</f>
        <v>341589</v>
      </c>
      <c r="M5">
        <f>L5-BERE!AA5</f>
        <v>209585</v>
      </c>
      <c r="N5">
        <f>K5-BERE!V5</f>
        <v>92470</v>
      </c>
    </row>
    <row r="6" spans="1:29" x14ac:dyDescent="0.35">
      <c r="A6" t="str">
        <f>BERE!A6</f>
        <v>2016-17</v>
      </c>
      <c r="B6" s="2" t="str">
        <f>BERE!B6</f>
        <v>BE</v>
      </c>
      <c r="C6">
        <f>SUM(BERE!C6:M6)</f>
        <v>1630888</v>
      </c>
      <c r="D6">
        <f>C6-BERE!N6-BERE!O6</f>
        <v>1054101</v>
      </c>
      <c r="E6">
        <f>SUM(BERE!P6:R6)</f>
        <v>322921</v>
      </c>
      <c r="F6">
        <f t="shared" si="0"/>
        <v>1377022</v>
      </c>
      <c r="G6">
        <f>SUM(BERE!S6:T6)</f>
        <v>67134</v>
      </c>
      <c r="H6">
        <f t="shared" si="1"/>
        <v>1444156</v>
      </c>
      <c r="I6">
        <f>BERE!U6-BERE!V6-BERE!W6-BERE!X6-BERE!Y6-BERE!Z6</f>
        <v>445840</v>
      </c>
      <c r="J6">
        <f>BERE!U6+BERE!AB6</f>
        <v>1978060</v>
      </c>
      <c r="K6">
        <f>BERE2!J6-BERE2!H6</f>
        <v>533904</v>
      </c>
      <c r="L6">
        <f>BERE!U6-BERE2!F6</f>
        <v>354513</v>
      </c>
      <c r="M6">
        <f>L6-BERE!AA6</f>
        <v>187673</v>
      </c>
      <c r="N6">
        <f>K6-BERE!V6</f>
        <v>41234</v>
      </c>
    </row>
    <row r="7" spans="1:29" x14ac:dyDescent="0.35">
      <c r="A7" t="str">
        <f>BERE!A7</f>
        <v>2016-17</v>
      </c>
      <c r="B7" s="2" t="str">
        <f>BERE!B7</f>
        <v>RE</v>
      </c>
      <c r="C7">
        <f>SUM(BERE!C7:M7)</f>
        <v>1703242</v>
      </c>
      <c r="D7">
        <f>C7-BERE!N7-BERE!O7</f>
        <v>1088792</v>
      </c>
      <c r="E7">
        <f>SUM(BERE!P7:R7)</f>
        <v>334770</v>
      </c>
      <c r="F7">
        <f t="shared" si="0"/>
        <v>1423562</v>
      </c>
      <c r="G7">
        <f>SUM(BERE!S7:T7)</f>
        <v>56571</v>
      </c>
      <c r="H7">
        <f t="shared" si="1"/>
        <v>1480133</v>
      </c>
      <c r="I7">
        <f>BERE!U7-BERE!V7-BERE!W7-BERE!X7-BERE!Y7-BERE!Z7</f>
        <v>444795</v>
      </c>
      <c r="J7">
        <f>BERE!U7+BERE!AB7</f>
        <v>2014407</v>
      </c>
      <c r="K7">
        <f>BERE2!J7-BERE2!H7</f>
        <v>534274</v>
      </c>
      <c r="L7">
        <f>BERE!U7-BERE2!F7</f>
        <v>311658</v>
      </c>
      <c r="M7">
        <f>L7-BERE!AA7</f>
        <v>140186</v>
      </c>
      <c r="N7">
        <f>K7-BERE!V7</f>
        <v>51205</v>
      </c>
    </row>
    <row r="8" spans="1:29" x14ac:dyDescent="0.35">
      <c r="A8" t="str">
        <f>BERE!A8</f>
        <v>2017-18</v>
      </c>
      <c r="B8" t="str">
        <f>BERE!B8</f>
        <v>BE</v>
      </c>
      <c r="C8">
        <f>SUM(BERE!C8:M8)</f>
        <v>1911579</v>
      </c>
      <c r="D8">
        <f>C8-BERE!N8-BERE!O8</f>
        <v>1227014</v>
      </c>
      <c r="E8">
        <f>SUM(BERE!P8:R8)</f>
        <v>288757</v>
      </c>
      <c r="F8">
        <f t="shared" si="0"/>
        <v>1515771</v>
      </c>
      <c r="G8">
        <f>SUM(BERE!S8:T8)</f>
        <v>84432</v>
      </c>
      <c r="H8">
        <f t="shared" si="1"/>
        <v>1600203</v>
      </c>
      <c r="I8">
        <f>BERE!U8-BERE!V8-BERE!W8-BERE!X8-BERE!Y8-BERE!Z8</f>
        <v>474058</v>
      </c>
      <c r="J8">
        <f>BERE!U8+BERE!AB8</f>
        <v>2146735</v>
      </c>
      <c r="K8">
        <f>BERE2!J8-BERE2!H8</f>
        <v>546532</v>
      </c>
      <c r="L8">
        <f>BERE!U8-BERE2!F8</f>
        <v>321734</v>
      </c>
      <c r="M8">
        <f>L8-BERE!AA8</f>
        <v>126384</v>
      </c>
      <c r="N8">
        <f>K8-BERE!V8</f>
        <v>23454</v>
      </c>
    </row>
    <row r="9" spans="1:29" x14ac:dyDescent="0.35">
      <c r="A9" t="str">
        <f>BERE!A9</f>
        <v>2017-18</v>
      </c>
      <c r="B9" t="str">
        <f>BERE!B9</f>
        <v>RE</v>
      </c>
      <c r="C9">
        <f>SUM(BERE!C9:M9)</f>
        <v>1946119</v>
      </c>
      <c r="D9">
        <f>C9-BERE!N9-BERE!O9</f>
        <v>1269454</v>
      </c>
      <c r="E9">
        <f>SUM(BERE!P9:R9)</f>
        <v>235974</v>
      </c>
      <c r="F9">
        <f t="shared" si="0"/>
        <v>1505428</v>
      </c>
      <c r="G9">
        <f>SUM(BERE!S9:T9)</f>
        <v>117473</v>
      </c>
      <c r="H9">
        <f t="shared" si="1"/>
        <v>1622901</v>
      </c>
      <c r="I9">
        <f>BERE!U9-BERE!V9-BERE!W9-BERE!X9-BERE!Y9-BERE!Z9</f>
        <v>487435</v>
      </c>
      <c r="J9">
        <f>BERE!U9+BERE!AB9</f>
        <v>2217750</v>
      </c>
      <c r="K9">
        <f>BERE2!J9-BERE2!H9</f>
        <v>594849</v>
      </c>
      <c r="L9">
        <f>BERE!U9-BERE2!F9</f>
        <v>439571</v>
      </c>
      <c r="M9">
        <f>L9-BERE!AA9</f>
        <v>250326</v>
      </c>
      <c r="N9">
        <f>K9-BERE!V9</f>
        <v>64006</v>
      </c>
    </row>
    <row r="10" spans="1:29" x14ac:dyDescent="0.35">
      <c r="A10" t="str">
        <f>BERE!A10</f>
        <v>2018-19</v>
      </c>
      <c r="B10" t="str">
        <f>BERE!B10</f>
        <v>BE</v>
      </c>
      <c r="C10">
        <f>SUM(BERE!C10:M10)</f>
        <v>2271242</v>
      </c>
      <c r="D10">
        <f>C10-BERE!N10-BERE!O10</f>
        <v>1480649</v>
      </c>
      <c r="E10">
        <f>SUM(BERE!P10:R10)</f>
        <v>245089</v>
      </c>
      <c r="F10">
        <f t="shared" si="0"/>
        <v>1725738</v>
      </c>
      <c r="G10">
        <f>SUM(BERE!S10:T10)</f>
        <v>92199</v>
      </c>
      <c r="H10">
        <f t="shared" si="1"/>
        <v>1817937</v>
      </c>
      <c r="I10">
        <f>BERE!U10-BERE!V10-BERE!W10-BERE!X10-BERE!Y10-BERE!Z10</f>
        <v>524372</v>
      </c>
      <c r="J10">
        <f>BERE!U10+BERE!AB10</f>
        <v>2442213</v>
      </c>
      <c r="K10">
        <f>BERE2!J10-BERE2!H10</f>
        <v>624276</v>
      </c>
      <c r="L10">
        <f>BERE!U10-BERE2!F10</f>
        <v>416545</v>
      </c>
      <c r="M10">
        <f>L10-BERE!AA10</f>
        <v>221200</v>
      </c>
      <c r="N10">
        <f>K10-BERE!V10</f>
        <v>48481</v>
      </c>
    </row>
    <row r="11" spans="1:29" x14ac:dyDescent="0.35">
      <c r="A11" t="str">
        <f>BERE!A11</f>
        <v>2018-19</v>
      </c>
      <c r="B11" t="str">
        <f>BERE!B11</f>
        <v>RE</v>
      </c>
      <c r="C11">
        <f>SUM(BERE!C11:M11)</f>
        <v>2248175</v>
      </c>
      <c r="D11">
        <f>C11-BERE!N11-BERE!O11</f>
        <v>1484406</v>
      </c>
      <c r="E11">
        <f>SUM(BERE!P11:R11)</f>
        <v>245276</v>
      </c>
      <c r="F11">
        <f t="shared" si="0"/>
        <v>1729682</v>
      </c>
      <c r="G11">
        <f>SUM(BERE!S11:T11)</f>
        <v>93155</v>
      </c>
      <c r="H11">
        <f t="shared" si="1"/>
        <v>1822837</v>
      </c>
      <c r="I11">
        <f>BERE!U11-BERE!V11-BERE!W11-BERE!X11-BERE!Y11-BERE!Z11</f>
        <v>540314</v>
      </c>
      <c r="J11">
        <f>BERE!U11+BERE!AB11</f>
        <v>2457235</v>
      </c>
      <c r="K11">
        <f>BERE2!J11-BERE2!H11</f>
        <v>634398</v>
      </c>
      <c r="L11">
        <f>BERE!U11-BERE2!F11</f>
        <v>411669</v>
      </c>
      <c r="M11">
        <f>L11-BERE!AA11</f>
        <v>211369</v>
      </c>
      <c r="N11">
        <f>K11-BERE!V11</f>
        <v>46828</v>
      </c>
    </row>
    <row r="12" spans="1:29" x14ac:dyDescent="0.35">
      <c r="A12" t="str">
        <f>BERE!A12</f>
        <v>2019-20</v>
      </c>
      <c r="B12" t="str">
        <f>BERE!B12</f>
        <v>BE</v>
      </c>
      <c r="C12">
        <f>SUM(BERE!C12:M12)</f>
        <v>2461195</v>
      </c>
      <c r="D12">
        <f>C12-BERE!N12-BERE!O12</f>
        <v>1649582</v>
      </c>
      <c r="E12">
        <f>SUM(BERE!P12:R12)</f>
        <v>313179</v>
      </c>
      <c r="F12">
        <f t="shared" si="0"/>
        <v>1962761</v>
      </c>
      <c r="G12">
        <f>SUM(BERE!S12:T12)</f>
        <v>119828</v>
      </c>
      <c r="H12">
        <f t="shared" si="1"/>
        <v>2082589</v>
      </c>
      <c r="I12">
        <f>BERE!U12-BERE!V12-BERE!W12-BERE!X12-BERE!Y12-BERE!Z12</f>
        <v>642558</v>
      </c>
      <c r="J12">
        <f>BERE!U12+BERE!AB12</f>
        <v>2786349</v>
      </c>
      <c r="K12">
        <f>BERE2!J12-BERE2!H12</f>
        <v>703760</v>
      </c>
      <c r="L12">
        <f>BERE!U12-BERE2!F12</f>
        <v>485503</v>
      </c>
      <c r="M12">
        <f>L12-BERE!AA12</f>
        <v>278170</v>
      </c>
      <c r="N12">
        <f>K12-BERE!V12</f>
        <v>43289</v>
      </c>
    </row>
    <row r="13" spans="1:29" x14ac:dyDescent="0.35">
      <c r="A13" t="str">
        <f>BERE!A13</f>
        <v>2019-20</v>
      </c>
      <c r="B13" t="str">
        <f>BERE!B13</f>
        <v>RE</v>
      </c>
      <c r="C13">
        <f>SUM(BERE!C13:M13)</f>
        <v>2163423</v>
      </c>
      <c r="D13">
        <f>C13-BERE!N13-BERE!O13</f>
        <v>1504587</v>
      </c>
      <c r="E13">
        <f>SUM(BERE!P13:R13)</f>
        <v>345514</v>
      </c>
      <c r="F13">
        <f t="shared" si="0"/>
        <v>1850101</v>
      </c>
      <c r="G13">
        <f>SUM(BERE!S13:T13)</f>
        <v>81605</v>
      </c>
      <c r="H13">
        <f t="shared" si="1"/>
        <v>1931706</v>
      </c>
      <c r="I13">
        <f>BERE!U13-BERE!V13-BERE!W13-BERE!X13-BERE!Y13-BERE!Z13</f>
        <v>632877</v>
      </c>
      <c r="J13">
        <f>BERE!U13+BERE!AB13</f>
        <v>2698552</v>
      </c>
      <c r="K13">
        <f>BERE2!J13-BERE2!H13</f>
        <v>766846</v>
      </c>
      <c r="L13">
        <f>BERE!U13-BERE2!F13</f>
        <v>500337</v>
      </c>
      <c r="M13">
        <f>L13-BERE!AA13</f>
        <v>308600</v>
      </c>
      <c r="N13">
        <f>K13-BERE!V13</f>
        <v>141741</v>
      </c>
    </row>
    <row r="14" spans="1:29" x14ac:dyDescent="0.35">
      <c r="A14" t="str">
        <f>BERE!A14</f>
        <v>2020-21</v>
      </c>
      <c r="B14" t="str">
        <f>BERE!B14</f>
        <v>BE</v>
      </c>
      <c r="C14">
        <f>SUM(BERE!C14:M14)</f>
        <v>2423020</v>
      </c>
      <c r="D14">
        <f>C14-BERE!N14-BERE!O14</f>
        <v>1635909</v>
      </c>
      <c r="E14">
        <f>SUM(BERE!P14:R14)</f>
        <v>385017</v>
      </c>
      <c r="F14">
        <f t="shared" si="0"/>
        <v>2020926</v>
      </c>
      <c r="G14">
        <f>SUM(BERE!S14:T14)</f>
        <v>224967</v>
      </c>
      <c r="H14">
        <f t="shared" si="1"/>
        <v>2245893</v>
      </c>
      <c r="I14">
        <f>BERE!U14-BERE!V14-BERE!W14-BERE!X14-BERE!Y14-BERE!Z14</f>
        <v>712177</v>
      </c>
      <c r="J14">
        <f>BERE!U14+BERE!AB14</f>
        <v>3042230</v>
      </c>
      <c r="K14">
        <f>BERE2!J14-BERE2!H14</f>
        <v>796337</v>
      </c>
      <c r="L14">
        <f>BERE!U14-BERE2!F14</f>
        <v>609295</v>
      </c>
      <c r="M14">
        <f>L14-BERE!AA14</f>
        <v>402795</v>
      </c>
      <c r="N14">
        <f>K14-BERE!V14</f>
        <v>88134</v>
      </c>
    </row>
    <row r="15" spans="1:29" x14ac:dyDescent="0.35">
      <c r="A15" t="str">
        <f>BERE!A15</f>
        <v>2020-21</v>
      </c>
      <c r="B15" t="str">
        <f>BERE!B15</f>
        <v>RE</v>
      </c>
      <c r="C15">
        <f>SUM(BERE!C15:M15)</f>
        <v>1900280</v>
      </c>
      <c r="D15">
        <f>C15-BERE!N15-BERE!O15</f>
        <v>1344501</v>
      </c>
      <c r="E15">
        <f>SUM(BERE!P15:R15)</f>
        <v>210652</v>
      </c>
      <c r="F15">
        <f t="shared" si="0"/>
        <v>1555153</v>
      </c>
      <c r="G15">
        <f>SUM(BERE!S15:T15)</f>
        <v>46497</v>
      </c>
      <c r="H15">
        <f t="shared" si="1"/>
        <v>1601650</v>
      </c>
      <c r="I15">
        <f>BERE!U15-BERE!V15-BERE!W15-BERE!X15-BERE!Y15-BERE!Z15</f>
        <v>750666</v>
      </c>
      <c r="J15">
        <f>BERE!U15+BERE!AB15</f>
        <v>3450305</v>
      </c>
      <c r="K15">
        <f>BERE2!J15-BERE2!H15</f>
        <v>1848655</v>
      </c>
      <c r="L15">
        <f>BERE!U15-BERE2!F15</f>
        <v>1456763</v>
      </c>
      <c r="M15">
        <f>L15-BERE!AA15</f>
        <v>1226387</v>
      </c>
      <c r="N15">
        <f>K15-BERE!V15</f>
        <v>1155755</v>
      </c>
    </row>
    <row r="16" spans="1:29" x14ac:dyDescent="0.35">
      <c r="A16" t="str">
        <f>BERE!A16</f>
        <v>2021-22</v>
      </c>
      <c r="B16" t="str">
        <f>BERE!B16</f>
        <v>BE</v>
      </c>
      <c r="C16">
        <f>SUM(BERE!C16:M16)</f>
        <v>2217059</v>
      </c>
      <c r="D16">
        <f>C16-BERE!N16-BERE!O16</f>
        <v>1545396</v>
      </c>
      <c r="E16">
        <f>SUM(BERE!P16:R16)</f>
        <v>243028</v>
      </c>
      <c r="F16">
        <f t="shared" ref="F16:F44" si="2">SUM(D16:E16)</f>
        <v>1788424</v>
      </c>
      <c r="G16">
        <f>SUM(BERE!S16:T16)</f>
        <v>188000</v>
      </c>
      <c r="H16">
        <f t="shared" ref="H16:H44" si="3">SUM(F16:G16)</f>
        <v>1976424</v>
      </c>
      <c r="I16">
        <f>BERE!U16-BERE!V16-BERE!W16-BERE!X16-BERE!Y16-BERE!Z16</f>
        <v>774820</v>
      </c>
      <c r="J16">
        <f>BERE!U16+BERE!AB16</f>
        <v>3483236</v>
      </c>
      <c r="K16">
        <f>BERE2!J16-BERE2!H16</f>
        <v>1506812</v>
      </c>
      <c r="L16">
        <f>BERE!U16-BERE2!F16</f>
        <v>1140704</v>
      </c>
      <c r="M16">
        <f>L16-BERE!AA16</f>
        <v>921592</v>
      </c>
      <c r="N16">
        <f>K16-BERE!V16</f>
        <v>697111</v>
      </c>
    </row>
    <row r="17" spans="1:14" x14ac:dyDescent="0.35">
      <c r="A17" t="str">
        <f>BERE!A17</f>
        <v>2021-22</v>
      </c>
      <c r="B17" t="str">
        <f>BERE!B17</f>
        <v>RE</v>
      </c>
      <c r="C17">
        <f>SUM(BERE!C17:M17)</f>
        <v>2516059</v>
      </c>
      <c r="D17">
        <f>C17-BERE!N17-BERE!O17</f>
        <v>1765145</v>
      </c>
      <c r="E17">
        <f>SUM(BERE!P17:R17)</f>
        <v>313791</v>
      </c>
      <c r="F17">
        <f t="shared" si="2"/>
        <v>2078936</v>
      </c>
      <c r="G17">
        <f>SUM(BERE!S17:T17)</f>
        <v>99975</v>
      </c>
      <c r="H17">
        <f t="shared" si="3"/>
        <v>2178911</v>
      </c>
      <c r="I17">
        <f>BERE!U17-BERE!V17-BERE!W17-BERE!X17-BERE!Y17-BERE!Z17</f>
        <v>915721</v>
      </c>
      <c r="J17">
        <f>BERE!U17+BERE!AB17</f>
        <v>3770000</v>
      </c>
      <c r="K17">
        <f>BERE2!J17-BERE2!H17</f>
        <v>1591089</v>
      </c>
      <c r="L17">
        <f>BERE!U17-BERE2!F17</f>
        <v>1089131</v>
      </c>
      <c r="M17">
        <f>L17-BERE!AA17</f>
        <v>851446</v>
      </c>
      <c r="N17">
        <f>K17-BERE!V17</f>
        <v>777298</v>
      </c>
    </row>
    <row r="18" spans="1:14" x14ac:dyDescent="0.35">
      <c r="A18" t="str">
        <f>BERE!A18</f>
        <v>2022-23</v>
      </c>
      <c r="B18" t="str">
        <f>BERE!B18</f>
        <v>BE</v>
      </c>
      <c r="C18">
        <f>SUM(BERE!C18:M18)</f>
        <v>2757820</v>
      </c>
      <c r="D18">
        <f>C18-BERE!N18-BERE!O18</f>
        <v>1934771</v>
      </c>
      <c r="E18">
        <f>SUM(BERE!P18:R18)</f>
        <v>269651</v>
      </c>
      <c r="F18">
        <f t="shared" si="2"/>
        <v>2204422</v>
      </c>
      <c r="G18">
        <f>SUM(BERE!S18:T18)</f>
        <v>79291</v>
      </c>
      <c r="H18">
        <f t="shared" si="3"/>
        <v>2283713</v>
      </c>
      <c r="I18">
        <f>BERE!U18-BERE!V18-BERE!W18-BERE!X18-BERE!Y18-BERE!Z18</f>
        <v>879550</v>
      </c>
      <c r="J18">
        <f>BERE!U18+BERE!AB18</f>
        <v>3944909</v>
      </c>
      <c r="K18">
        <f>BERE2!J18-BERE2!H18</f>
        <v>1661196</v>
      </c>
      <c r="L18">
        <f>BERE!U18-BERE2!F18</f>
        <v>990835</v>
      </c>
      <c r="M18">
        <f>L18-BERE!AA18</f>
        <v>673192</v>
      </c>
      <c r="N18">
        <f>K18-BERE!V18</f>
        <v>720545</v>
      </c>
    </row>
    <row r="19" spans="1:14" x14ac:dyDescent="0.35">
      <c r="A19" t="str">
        <f>BERE!A19</f>
        <v>2022-23</v>
      </c>
      <c r="B19" t="str">
        <f>BERE!B19</f>
        <v>RE</v>
      </c>
      <c r="C19">
        <f>SUM(BERE!C19:M19)</f>
        <v>3043068</v>
      </c>
      <c r="D19">
        <f>C19-BERE!N19-BERE!O19</f>
        <v>2086662</v>
      </c>
      <c r="E19">
        <f>SUM(BERE!P19:R19)</f>
        <v>261751</v>
      </c>
      <c r="F19">
        <f t="shared" si="2"/>
        <v>2348413</v>
      </c>
      <c r="G19">
        <f>SUM(BERE!S19:T19)</f>
        <v>83500</v>
      </c>
      <c r="H19">
        <f t="shared" si="3"/>
        <v>2431913</v>
      </c>
      <c r="I19">
        <f>BERE!U19-BERE!V19-BERE!W19-BERE!X19-BERE!Y19-BERE!Z19</f>
        <v>879752</v>
      </c>
      <c r="J19">
        <f>BERE!U19+BERE!AB19</f>
        <v>4187232</v>
      </c>
      <c r="K19">
        <f>BERE2!J19-BERE2!H19</f>
        <v>1755319</v>
      </c>
      <c r="L19">
        <f>BERE!U19-BERE2!F19</f>
        <v>1111051</v>
      </c>
      <c r="M19">
        <f>L19-BERE!AA19</f>
        <v>785463</v>
      </c>
      <c r="N19">
        <f>K19-BERE!V19</f>
        <v>814668</v>
      </c>
    </row>
    <row r="20" spans="1:14" x14ac:dyDescent="0.35">
      <c r="A20" t="str">
        <f>BERE!A20</f>
        <v>2023-24</v>
      </c>
      <c r="B20" t="str">
        <f>BERE!B20</f>
        <v>BE</v>
      </c>
      <c r="C20">
        <f>SUM(BERE!C20:M20)</f>
        <v>3360859</v>
      </c>
      <c r="D20">
        <f>C20-BERE!N20-BERE!O20</f>
        <v>2330631</v>
      </c>
      <c r="E20">
        <f>SUM(BERE!P20:R20)</f>
        <v>301650</v>
      </c>
      <c r="F20">
        <f t="shared" si="2"/>
        <v>2632281</v>
      </c>
      <c r="G20">
        <f>SUM(BERE!S20:T20)</f>
        <v>84000</v>
      </c>
      <c r="H20">
        <f t="shared" si="3"/>
        <v>2716281</v>
      </c>
      <c r="I20">
        <f>BERE!U20-BERE!V20-BERE!W20-BERE!X20-BERE!Y20-BERE!Z20</f>
        <v>883831</v>
      </c>
      <c r="J20">
        <f>BERE!U20+BERE!AB20</f>
        <v>4503097</v>
      </c>
      <c r="K20">
        <f>BERE2!J20-BERE2!H20</f>
        <v>1786816</v>
      </c>
      <c r="L20">
        <f>BERE!U20-BERE2!F20</f>
        <v>870443</v>
      </c>
      <c r="M20">
        <f>L20-BERE!AA20</f>
        <v>500455</v>
      </c>
      <c r="N20">
        <f>K20-BERE!V20</f>
        <v>706845</v>
      </c>
    </row>
    <row r="21" spans="1:14" x14ac:dyDescent="0.35">
      <c r="A21" t="str">
        <f>BERE!A21</f>
        <v>2023-24</v>
      </c>
      <c r="B21" t="str">
        <f>BERE!B21</f>
        <v>RE</v>
      </c>
      <c r="C21">
        <f>SUM(BERE!C21:M21)</f>
        <v>3437211</v>
      </c>
      <c r="D21">
        <f>C21-BERE!N21-BERE!O21</f>
        <v>2323918</v>
      </c>
      <c r="E21">
        <f>SUM(BERE!P21:R21)</f>
        <v>375795</v>
      </c>
      <c r="F21">
        <f t="shared" si="2"/>
        <v>2699713</v>
      </c>
      <c r="G21">
        <f>SUM(BERE!S21:T21)</f>
        <v>56000</v>
      </c>
      <c r="H21">
        <f t="shared" si="3"/>
        <v>2755713</v>
      </c>
      <c r="I21">
        <f>BERE!U21-BERE!V21-BERE!W21-BERE!X21-BERE!Y21-BERE!Z21</f>
        <v>944789</v>
      </c>
      <c r="J21">
        <f>BERE!U21+BERE!AB21</f>
        <v>4490486</v>
      </c>
      <c r="K21">
        <f>BERE2!J21-BERE2!H21</f>
        <v>1734773</v>
      </c>
      <c r="L21">
        <f>BERE!U21-BERE2!F21</f>
        <v>841218</v>
      </c>
      <c r="M21">
        <f>L21-BERE!AA21</f>
        <v>520028</v>
      </c>
      <c r="N21">
        <f>K21-BERE!V21</f>
        <v>679346</v>
      </c>
    </row>
    <row r="22" spans="1:14" x14ac:dyDescent="0.35">
      <c r="A22" t="str">
        <f>BERE!A22</f>
        <v>2024-25</v>
      </c>
      <c r="B22" t="str">
        <f>BERE!B22</f>
        <v>BE</v>
      </c>
      <c r="C22">
        <f>SUM(BERE!C22:M22)</f>
        <v>3840170</v>
      </c>
      <c r="D22">
        <f>C22-BERE!N22-BERE!O22</f>
        <v>2583499</v>
      </c>
      <c r="E22">
        <f>SUM(BERE!P22:R22)</f>
        <v>545701</v>
      </c>
      <c r="F22">
        <f t="shared" si="2"/>
        <v>3129200</v>
      </c>
      <c r="G22">
        <f>SUM(BERE!S22:T22)</f>
        <v>78000</v>
      </c>
      <c r="H22">
        <f t="shared" si="3"/>
        <v>3207200</v>
      </c>
      <c r="I22">
        <f>BERE!U22-BERE!V22-BERE!W22-BERE!X22-BERE!Y22-BERE!Z22</f>
        <v>997757</v>
      </c>
      <c r="J22">
        <f>BERE!U22+BERE!AB22</f>
        <v>4820512</v>
      </c>
      <c r="K22">
        <f>BERE2!J22-BERE2!H22</f>
        <v>1613312</v>
      </c>
      <c r="L22">
        <f>BERE!U22-BERE2!F22</f>
        <v>580201</v>
      </c>
      <c r="M22">
        <f>L22-BERE!AA22</f>
        <v>189423</v>
      </c>
      <c r="N22">
        <f>K22-BERE!V22</f>
        <v>450372</v>
      </c>
    </row>
    <row r="23" spans="1:14" x14ac:dyDescent="0.35">
      <c r="A23" t="str">
        <f>BERE!A23</f>
        <v>2024-25</v>
      </c>
      <c r="B23" t="str">
        <f>BERE!B23</f>
        <v>RE</v>
      </c>
      <c r="C23">
        <f>SUM(BERE!C23:M23)</f>
        <v>3853455</v>
      </c>
      <c r="D23">
        <f>C23-BERE!N23-BERE!O23</f>
        <v>2556960</v>
      </c>
      <c r="E23">
        <f>SUM(BERE!P23:R23)</f>
        <v>531000</v>
      </c>
      <c r="F23">
        <f t="shared" si="2"/>
        <v>3087960</v>
      </c>
      <c r="G23">
        <f>SUM(BERE!S23:T23)</f>
        <v>59000</v>
      </c>
      <c r="H23">
        <f t="shared" si="3"/>
        <v>3146960</v>
      </c>
      <c r="I23">
        <f>BERE!U23-BERE!V23-BERE!W23-BERE!X23-BERE!Y23-BERE!Z23</f>
        <v>1010167</v>
      </c>
      <c r="J23">
        <f>BERE!U23+BERE!AB23</f>
        <v>4716487</v>
      </c>
      <c r="K23">
        <f>BERE2!J23-BERE2!H23</f>
        <v>1569527</v>
      </c>
      <c r="L23">
        <f>BERE!U23-BERE2!F23</f>
        <v>610098</v>
      </c>
      <c r="M23">
        <f>L23-BERE!AA23</f>
        <v>310207</v>
      </c>
      <c r="N23">
        <f>K23-BERE!V23</f>
        <v>431587</v>
      </c>
    </row>
    <row r="24" spans="1:14" x14ac:dyDescent="0.35">
      <c r="A24" s="44" t="str">
        <f>BERE!A24</f>
        <v>2025-26</v>
      </c>
      <c r="B24" s="44" t="str">
        <f>BERE!B24</f>
        <v>BE</v>
      </c>
      <c r="C24" s="44">
        <f>SUM(BERE!C24:M24)</f>
        <v>4270233</v>
      </c>
      <c r="D24" s="44">
        <f>C24-BERE!N24-BERE!O24</f>
        <v>2837409</v>
      </c>
      <c r="E24" s="44">
        <f>SUM(BERE!P24:R24)</f>
        <v>583000</v>
      </c>
      <c r="F24" s="44">
        <f t="shared" si="2"/>
        <v>3420409</v>
      </c>
      <c r="G24" s="44">
        <f>SUM(BERE!S24:T24)</f>
        <v>76000</v>
      </c>
      <c r="H24" s="44">
        <f t="shared" si="3"/>
        <v>3496409</v>
      </c>
      <c r="I24" s="44">
        <f>BERE!U24-BERE!V24-BERE!W24-BERE!X24-BERE!Y24-BERE!Z24</f>
        <v>976104</v>
      </c>
      <c r="J24" s="44">
        <f>BERE!U24+BERE!AB24</f>
        <v>5065345</v>
      </c>
      <c r="K24" s="44">
        <f>BERE2!J24-BERE2!H24</f>
        <v>1568936</v>
      </c>
      <c r="L24" s="44">
        <f>BERE!U24-BERE2!F24</f>
        <v>523846</v>
      </c>
      <c r="M24" s="44">
        <f>L24-BERE!AA24</f>
        <v>96654</v>
      </c>
      <c r="N24" s="44">
        <f>K24-BERE!V24</f>
        <v>292598</v>
      </c>
    </row>
    <row r="25" spans="1:14" x14ac:dyDescent="0.35">
      <c r="A25" s="44">
        <f>BERE!A25</f>
        <v>0</v>
      </c>
      <c r="B25" s="44">
        <f>BERE!B25</f>
        <v>0</v>
      </c>
      <c r="C25" s="44">
        <f>SUM(BERE!C25:M25)</f>
        <v>0</v>
      </c>
      <c r="D25" s="44">
        <f>C25-BERE!N25-BERE!O25</f>
        <v>0</v>
      </c>
      <c r="E25" s="44">
        <f>SUM(BERE!P25:R25)</f>
        <v>0</v>
      </c>
      <c r="F25" s="44">
        <f t="shared" si="2"/>
        <v>0</v>
      </c>
      <c r="G25" s="44">
        <f>SUM(BERE!S25:T25)</f>
        <v>0</v>
      </c>
      <c r="H25" s="44">
        <f t="shared" si="3"/>
        <v>0</v>
      </c>
      <c r="I25" s="44">
        <f>BERE!U25-BERE!V25-BERE!W25-BERE!X25-BERE!Y25-BERE!Z25</f>
        <v>0</v>
      </c>
      <c r="J25" s="44">
        <f>BERE!U25+BERE!AB25</f>
        <v>0</v>
      </c>
      <c r="K25" s="44">
        <f>BERE2!J25-BERE2!H25</f>
        <v>0</v>
      </c>
      <c r="L25" s="44">
        <f>BERE!U25-BERE2!F25</f>
        <v>0</v>
      </c>
      <c r="M25" s="44">
        <f>L25-BERE!AA25</f>
        <v>0</v>
      </c>
      <c r="N25" s="44">
        <f>K25-BERE!V25</f>
        <v>0</v>
      </c>
    </row>
    <row r="26" spans="1:14" x14ac:dyDescent="0.35">
      <c r="A26" s="44">
        <f>BERE!A26</f>
        <v>0</v>
      </c>
      <c r="B26" s="44">
        <f>BERE!B26</f>
        <v>0</v>
      </c>
      <c r="C26" s="44">
        <f>SUM(BERE!C26:M26)</f>
        <v>0</v>
      </c>
      <c r="D26" s="44">
        <f>C26-BERE!N26-BERE!O26</f>
        <v>0</v>
      </c>
      <c r="E26" s="44">
        <f>SUM(BERE!P26:R26)</f>
        <v>0</v>
      </c>
      <c r="F26" s="44">
        <f t="shared" si="2"/>
        <v>0</v>
      </c>
      <c r="G26" s="44">
        <f>SUM(BERE!S26:T26)</f>
        <v>0</v>
      </c>
      <c r="H26" s="44">
        <f t="shared" si="3"/>
        <v>0</v>
      </c>
      <c r="I26" s="44">
        <f>BERE!U26-BERE!V26-BERE!W26-BERE!X26-BERE!Y26-BERE!Z26</f>
        <v>0</v>
      </c>
      <c r="J26" s="44">
        <f>BERE!U26+BERE!AB26</f>
        <v>0</v>
      </c>
      <c r="K26" s="44">
        <f>BERE2!J26-BERE2!H26</f>
        <v>0</v>
      </c>
      <c r="L26" s="44">
        <f>BERE!U26-BERE2!F26</f>
        <v>0</v>
      </c>
      <c r="M26" s="44">
        <f>L26-BERE!AA26</f>
        <v>0</v>
      </c>
      <c r="N26" s="44">
        <f>K26-BERE!V26</f>
        <v>0</v>
      </c>
    </row>
    <row r="27" spans="1:14" x14ac:dyDescent="0.35">
      <c r="A27" s="44">
        <f>BERE!A27</f>
        <v>0</v>
      </c>
      <c r="B27" s="44">
        <f>BERE!B27</f>
        <v>0</v>
      </c>
      <c r="C27" s="44">
        <f>SUM(BERE!C27:M27)</f>
        <v>0</v>
      </c>
      <c r="D27" s="44">
        <f>C27-BERE!N27-BERE!O27</f>
        <v>0</v>
      </c>
      <c r="E27" s="44">
        <f>SUM(BERE!P27:R27)</f>
        <v>0</v>
      </c>
      <c r="F27" s="44">
        <f t="shared" si="2"/>
        <v>0</v>
      </c>
      <c r="G27" s="44">
        <f>SUM(BERE!S27:T27)</f>
        <v>0</v>
      </c>
      <c r="H27" s="44">
        <f t="shared" si="3"/>
        <v>0</v>
      </c>
      <c r="I27" s="44">
        <f>BERE!U27-BERE!V27-BERE!W27-BERE!X27-BERE!Y27-BERE!Z27</f>
        <v>0</v>
      </c>
      <c r="J27" s="44">
        <f>BERE!U27+BERE!AB27</f>
        <v>0</v>
      </c>
      <c r="K27" s="44">
        <f>BERE2!J27-BERE2!H27</f>
        <v>0</v>
      </c>
      <c r="L27" s="44">
        <f>BERE!U27-BERE2!F27</f>
        <v>0</v>
      </c>
      <c r="M27" s="44">
        <f>L27-BERE!AA27</f>
        <v>0</v>
      </c>
      <c r="N27" s="44">
        <f>K27-BERE!V27</f>
        <v>0</v>
      </c>
    </row>
    <row r="28" spans="1:14" x14ac:dyDescent="0.35">
      <c r="A28" s="44">
        <f>BERE!A28</f>
        <v>0</v>
      </c>
      <c r="B28" s="44">
        <f>BERE!B28</f>
        <v>0</v>
      </c>
      <c r="C28" s="44">
        <f>SUM(BERE!C28:M28)</f>
        <v>0</v>
      </c>
      <c r="D28" s="44">
        <f>C28-BERE!N28-BERE!O28</f>
        <v>0</v>
      </c>
      <c r="E28" s="44">
        <f>SUM(BERE!P28:R28)</f>
        <v>0</v>
      </c>
      <c r="F28" s="44">
        <f t="shared" si="2"/>
        <v>0</v>
      </c>
      <c r="G28" s="44">
        <f>SUM(BERE!S28:T28)</f>
        <v>0</v>
      </c>
      <c r="H28" s="44">
        <f t="shared" si="3"/>
        <v>0</v>
      </c>
      <c r="I28" s="44">
        <f>BERE!U28-BERE!V28-BERE!W28-BERE!X28-BERE!Y28-BERE!Z28</f>
        <v>0</v>
      </c>
      <c r="J28" s="44">
        <f>BERE!U28+BERE!AB28</f>
        <v>0</v>
      </c>
      <c r="K28" s="44">
        <f>BERE2!J28-BERE2!H28</f>
        <v>0</v>
      </c>
      <c r="L28" s="44">
        <f>BERE!U28-BERE2!F28</f>
        <v>0</v>
      </c>
      <c r="M28" s="44">
        <f>L28-BERE!AA28</f>
        <v>0</v>
      </c>
      <c r="N28" s="44">
        <f>K28-BERE!V28</f>
        <v>0</v>
      </c>
    </row>
    <row r="29" spans="1:14" x14ac:dyDescent="0.35">
      <c r="A29" s="44">
        <f>BERE!A29</f>
        <v>0</v>
      </c>
      <c r="B29" s="44">
        <f>BERE!B29</f>
        <v>0</v>
      </c>
      <c r="C29" s="44">
        <f>SUM(BERE!C29:M29)</f>
        <v>0</v>
      </c>
      <c r="D29" s="44">
        <f>C29-BERE!N29-BERE!O29</f>
        <v>0</v>
      </c>
      <c r="E29" s="44">
        <f>SUM(BERE!P29:R29)</f>
        <v>0</v>
      </c>
      <c r="F29" s="44">
        <f t="shared" si="2"/>
        <v>0</v>
      </c>
      <c r="G29" s="44">
        <f>SUM(BERE!S29:T29)</f>
        <v>0</v>
      </c>
      <c r="H29" s="44">
        <f t="shared" si="3"/>
        <v>0</v>
      </c>
      <c r="I29" s="44">
        <f>BERE!U29-BERE!V29-BERE!W29-BERE!X29-BERE!Y29-BERE!Z29</f>
        <v>0</v>
      </c>
      <c r="J29" s="44">
        <f>BERE!U29+BERE!AB29</f>
        <v>0</v>
      </c>
      <c r="K29" s="44">
        <f>BERE2!J29-BERE2!H29</f>
        <v>0</v>
      </c>
      <c r="L29" s="44">
        <f>BERE!U29-BERE2!F29</f>
        <v>0</v>
      </c>
      <c r="M29" s="44">
        <f>L29-BERE!AA29</f>
        <v>0</v>
      </c>
      <c r="N29" s="44">
        <f>K29-BERE!V29</f>
        <v>0</v>
      </c>
    </row>
    <row r="30" spans="1:14" x14ac:dyDescent="0.35">
      <c r="A30" s="44">
        <f>BERE!A30</f>
        <v>0</v>
      </c>
      <c r="B30" s="44">
        <f>BERE!B30</f>
        <v>0</v>
      </c>
      <c r="C30" s="44">
        <f>SUM(BERE!C30:M30)</f>
        <v>0</v>
      </c>
      <c r="D30" s="44">
        <f>C30-BERE!N30-BERE!O30</f>
        <v>0</v>
      </c>
      <c r="E30" s="44">
        <f>SUM(BERE!P30:R30)</f>
        <v>0</v>
      </c>
      <c r="F30" s="44">
        <f t="shared" si="2"/>
        <v>0</v>
      </c>
      <c r="G30" s="44">
        <f>SUM(BERE!S30:T30)</f>
        <v>0</v>
      </c>
      <c r="H30" s="44">
        <f t="shared" si="3"/>
        <v>0</v>
      </c>
      <c r="I30" s="44">
        <f>BERE!U30-BERE!V30-BERE!W30-BERE!X30-BERE!Y30-BERE!Z30</f>
        <v>0</v>
      </c>
      <c r="J30" s="44">
        <f>BERE!U30+BERE!AB30</f>
        <v>0</v>
      </c>
      <c r="K30" s="44">
        <f>BERE2!J30-BERE2!H30</f>
        <v>0</v>
      </c>
      <c r="L30" s="44">
        <f>BERE!U30-BERE2!F30</f>
        <v>0</v>
      </c>
      <c r="M30" s="44">
        <f>L30-BERE!AA30</f>
        <v>0</v>
      </c>
      <c r="N30" s="44">
        <f>K30-BERE!V30</f>
        <v>0</v>
      </c>
    </row>
    <row r="31" spans="1:14" x14ac:dyDescent="0.35">
      <c r="A31" s="44">
        <f>BERE!A31</f>
        <v>0</v>
      </c>
      <c r="B31" s="44">
        <f>BERE!B31</f>
        <v>0</v>
      </c>
      <c r="C31" s="44">
        <f>SUM(BERE!C31:M31)</f>
        <v>0</v>
      </c>
      <c r="D31" s="44">
        <f>C31-BERE!N31-BERE!O31</f>
        <v>0</v>
      </c>
      <c r="E31" s="44">
        <f>SUM(BERE!P31:R31)</f>
        <v>0</v>
      </c>
      <c r="F31" s="44">
        <f t="shared" si="2"/>
        <v>0</v>
      </c>
      <c r="G31" s="44">
        <f>SUM(BERE!S31:T31)</f>
        <v>0</v>
      </c>
      <c r="H31" s="44">
        <f t="shared" si="3"/>
        <v>0</v>
      </c>
      <c r="I31" s="44">
        <f>BERE!U31-BERE!V31-BERE!W31-BERE!X31-BERE!Y31-BERE!Z31</f>
        <v>0</v>
      </c>
      <c r="J31" s="44">
        <f>BERE!U31+BERE!AB31</f>
        <v>0</v>
      </c>
      <c r="K31" s="44">
        <f>BERE2!J31-BERE2!H31</f>
        <v>0</v>
      </c>
      <c r="L31" s="44">
        <f>BERE!U31-BERE2!F31</f>
        <v>0</v>
      </c>
      <c r="M31" s="44">
        <f>L31-BERE!AA31</f>
        <v>0</v>
      </c>
      <c r="N31" s="44">
        <f>K31-BERE!V31</f>
        <v>0</v>
      </c>
    </row>
    <row r="32" spans="1:14" x14ac:dyDescent="0.35">
      <c r="A32" s="44">
        <f>BERE!A32</f>
        <v>0</v>
      </c>
      <c r="B32" s="44">
        <f>BERE!B32</f>
        <v>0</v>
      </c>
      <c r="C32" s="44">
        <f>SUM(BERE!C32:M32)</f>
        <v>0</v>
      </c>
      <c r="D32" s="44">
        <f>C32-BERE!N32-BERE!O32</f>
        <v>0</v>
      </c>
      <c r="E32" s="44">
        <f>SUM(BERE!P32:R32)</f>
        <v>0</v>
      </c>
      <c r="F32" s="44">
        <f t="shared" si="2"/>
        <v>0</v>
      </c>
      <c r="G32" s="44">
        <f>SUM(BERE!S32:T32)</f>
        <v>0</v>
      </c>
      <c r="H32" s="44">
        <f t="shared" si="3"/>
        <v>0</v>
      </c>
      <c r="I32" s="44">
        <f>BERE!U32-BERE!V32-BERE!W32-BERE!X32-BERE!Y32-BERE!Z32</f>
        <v>0</v>
      </c>
      <c r="J32" s="44">
        <f>BERE!U32+BERE!AB32</f>
        <v>0</v>
      </c>
      <c r="K32" s="44">
        <f>BERE2!J32-BERE2!H32</f>
        <v>0</v>
      </c>
      <c r="L32" s="44">
        <f>BERE!U32-BERE2!F32</f>
        <v>0</v>
      </c>
      <c r="M32" s="44">
        <f>L32-BERE!AA32</f>
        <v>0</v>
      </c>
      <c r="N32" s="44">
        <f>K32-BERE!V32</f>
        <v>0</v>
      </c>
    </row>
    <row r="33" spans="1:14" x14ac:dyDescent="0.35">
      <c r="A33" s="44">
        <f>BERE!A33</f>
        <v>0</v>
      </c>
      <c r="B33" s="44">
        <f>BERE!B33</f>
        <v>0</v>
      </c>
      <c r="C33" s="44">
        <f>SUM(BERE!C33:M33)</f>
        <v>0</v>
      </c>
      <c r="D33" s="44">
        <f>C33-BERE!N33-BERE!O33</f>
        <v>0</v>
      </c>
      <c r="E33" s="44">
        <f>SUM(BERE!P33:R33)</f>
        <v>0</v>
      </c>
      <c r="F33" s="44">
        <f t="shared" si="2"/>
        <v>0</v>
      </c>
      <c r="G33" s="44">
        <f>SUM(BERE!S33:T33)</f>
        <v>0</v>
      </c>
      <c r="H33" s="44">
        <f t="shared" si="3"/>
        <v>0</v>
      </c>
      <c r="I33" s="44">
        <f>BERE!U33-BERE!V33-BERE!W33-BERE!X33-BERE!Y33-BERE!Z33</f>
        <v>0</v>
      </c>
      <c r="J33" s="44">
        <f>BERE!U33+BERE!AB33</f>
        <v>0</v>
      </c>
      <c r="K33" s="44">
        <f>BERE2!J33-BERE2!H33</f>
        <v>0</v>
      </c>
      <c r="L33" s="44">
        <f>BERE!U33-BERE2!F33</f>
        <v>0</v>
      </c>
      <c r="M33" s="44">
        <f>L33-BERE!AA33</f>
        <v>0</v>
      </c>
      <c r="N33" s="44">
        <f>K33-BERE!V33</f>
        <v>0</v>
      </c>
    </row>
    <row r="34" spans="1:14" x14ac:dyDescent="0.35">
      <c r="A34" s="44">
        <f>BERE!A34</f>
        <v>0</v>
      </c>
      <c r="B34" s="44">
        <f>BERE!B34</f>
        <v>0</v>
      </c>
      <c r="C34" s="44">
        <f>SUM(BERE!C34:M34)</f>
        <v>0</v>
      </c>
      <c r="D34" s="44">
        <f>C34-BERE!N34-BERE!O34</f>
        <v>0</v>
      </c>
      <c r="E34" s="44">
        <f>SUM(BERE!P34:R34)</f>
        <v>0</v>
      </c>
      <c r="F34" s="44">
        <f t="shared" si="2"/>
        <v>0</v>
      </c>
      <c r="G34" s="44">
        <f>SUM(BERE!S34:T34)</f>
        <v>0</v>
      </c>
      <c r="H34" s="44">
        <f t="shared" si="3"/>
        <v>0</v>
      </c>
      <c r="I34" s="44">
        <f>BERE!U34-BERE!V34-BERE!W34-BERE!X34-BERE!Y34-BERE!Z34</f>
        <v>0</v>
      </c>
      <c r="J34" s="44">
        <f>BERE!U34+BERE!AB34</f>
        <v>0</v>
      </c>
      <c r="K34" s="44">
        <f>BERE2!J34-BERE2!H34</f>
        <v>0</v>
      </c>
      <c r="L34" s="44">
        <f>BERE!U34-BERE2!F34</f>
        <v>0</v>
      </c>
      <c r="M34" s="44">
        <f>L34-BERE!AA34</f>
        <v>0</v>
      </c>
      <c r="N34" s="44">
        <f>K34-BERE!V34</f>
        <v>0</v>
      </c>
    </row>
    <row r="35" spans="1:14" x14ac:dyDescent="0.35">
      <c r="A35" s="44">
        <f>BERE!A35</f>
        <v>0</v>
      </c>
      <c r="B35" s="44">
        <f>BERE!B35</f>
        <v>0</v>
      </c>
      <c r="C35" s="44">
        <f>SUM(BERE!C35:M35)</f>
        <v>0</v>
      </c>
      <c r="D35" s="44">
        <f>C35-BERE!N35-BERE!O35</f>
        <v>0</v>
      </c>
      <c r="E35" s="44">
        <f>SUM(BERE!P35:R35)</f>
        <v>0</v>
      </c>
      <c r="F35" s="44">
        <f t="shared" si="2"/>
        <v>0</v>
      </c>
      <c r="G35" s="44">
        <f>SUM(BERE!S35:T35)</f>
        <v>0</v>
      </c>
      <c r="H35" s="44">
        <f t="shared" si="3"/>
        <v>0</v>
      </c>
      <c r="I35" s="44">
        <f>BERE!U35-BERE!V35-BERE!W35-BERE!X35-BERE!Y35-BERE!Z35</f>
        <v>0</v>
      </c>
      <c r="J35" s="44">
        <f>BERE!U35+BERE!AB35</f>
        <v>0</v>
      </c>
      <c r="K35" s="44">
        <f>BERE2!J35-BERE2!H35</f>
        <v>0</v>
      </c>
      <c r="L35" s="44">
        <f>BERE!U35-BERE2!F35</f>
        <v>0</v>
      </c>
      <c r="M35" s="44">
        <f>L35-BERE!AA35</f>
        <v>0</v>
      </c>
      <c r="N35" s="44">
        <f>K35-BERE!V35</f>
        <v>0</v>
      </c>
    </row>
    <row r="36" spans="1:14" x14ac:dyDescent="0.35">
      <c r="A36" s="44">
        <f>BERE!A36</f>
        <v>0</v>
      </c>
      <c r="B36" s="44">
        <f>BERE!B36</f>
        <v>0</v>
      </c>
      <c r="C36" s="44">
        <f>SUM(BERE!C36:M36)</f>
        <v>0</v>
      </c>
      <c r="D36" s="44">
        <f>C36-BERE!N36-BERE!O36</f>
        <v>0</v>
      </c>
      <c r="E36" s="44">
        <f>SUM(BERE!P36:R36)</f>
        <v>0</v>
      </c>
      <c r="F36" s="44">
        <f t="shared" si="2"/>
        <v>0</v>
      </c>
      <c r="G36" s="44">
        <f>SUM(BERE!S36:T36)</f>
        <v>0</v>
      </c>
      <c r="H36" s="44">
        <f t="shared" si="3"/>
        <v>0</v>
      </c>
      <c r="I36" s="44">
        <f>BERE!U36-BERE!V36-BERE!W36-BERE!X36-BERE!Y36-BERE!Z36</f>
        <v>0</v>
      </c>
      <c r="J36" s="44">
        <f>BERE!U36+BERE!AB36</f>
        <v>0</v>
      </c>
      <c r="K36" s="44">
        <f>BERE2!J36-BERE2!H36</f>
        <v>0</v>
      </c>
      <c r="L36" s="44">
        <f>BERE!U36-BERE2!F36</f>
        <v>0</v>
      </c>
      <c r="M36" s="44">
        <f>L36-BERE!AA36</f>
        <v>0</v>
      </c>
      <c r="N36" s="44">
        <f>K36-BERE!V36</f>
        <v>0</v>
      </c>
    </row>
    <row r="37" spans="1:14" x14ac:dyDescent="0.35">
      <c r="A37" s="44">
        <f>BERE!A37</f>
        <v>0</v>
      </c>
      <c r="B37" s="44">
        <f>BERE!B37</f>
        <v>0</v>
      </c>
      <c r="C37" s="44">
        <f>SUM(BERE!C37:M37)</f>
        <v>0</v>
      </c>
      <c r="D37" s="44">
        <f>C37-BERE!N37-BERE!O37</f>
        <v>0</v>
      </c>
      <c r="E37" s="44">
        <f>SUM(BERE!P37:R37)</f>
        <v>0</v>
      </c>
      <c r="F37" s="44">
        <f t="shared" si="2"/>
        <v>0</v>
      </c>
      <c r="G37" s="44">
        <f>SUM(BERE!S37:T37)</f>
        <v>0</v>
      </c>
      <c r="H37" s="44">
        <f t="shared" si="3"/>
        <v>0</v>
      </c>
      <c r="I37" s="44">
        <f>BERE!U37-BERE!V37-BERE!W37-BERE!X37-BERE!Y37-BERE!Z37</f>
        <v>0</v>
      </c>
      <c r="J37" s="44">
        <f>BERE!U37+BERE!AB37</f>
        <v>0</v>
      </c>
      <c r="K37" s="44">
        <f>BERE2!J37-BERE2!H37</f>
        <v>0</v>
      </c>
      <c r="L37" s="44">
        <f>BERE!U37-BERE2!F37</f>
        <v>0</v>
      </c>
      <c r="M37" s="44">
        <f>L37-BERE!AA37</f>
        <v>0</v>
      </c>
      <c r="N37" s="44">
        <f>K37-BERE!V37</f>
        <v>0</v>
      </c>
    </row>
    <row r="38" spans="1:14" x14ac:dyDescent="0.35">
      <c r="A38" s="44">
        <f>BERE!A38</f>
        <v>0</v>
      </c>
      <c r="B38" s="44">
        <f>BERE!B38</f>
        <v>0</v>
      </c>
      <c r="C38" s="44">
        <f>SUM(BERE!C38:M38)</f>
        <v>0</v>
      </c>
      <c r="D38" s="44">
        <f>C38-BERE!N38-BERE!O38</f>
        <v>0</v>
      </c>
      <c r="E38" s="44">
        <f>SUM(BERE!P38:R38)</f>
        <v>0</v>
      </c>
      <c r="F38" s="44">
        <f t="shared" si="2"/>
        <v>0</v>
      </c>
      <c r="G38" s="44">
        <f>SUM(BERE!S38:T38)</f>
        <v>0</v>
      </c>
      <c r="H38" s="44">
        <f t="shared" si="3"/>
        <v>0</v>
      </c>
      <c r="I38" s="44">
        <f>BERE!U38-BERE!V38-BERE!W38-BERE!X38-BERE!Y38-BERE!Z38</f>
        <v>0</v>
      </c>
      <c r="J38" s="44">
        <f>BERE!U38+BERE!AB38</f>
        <v>0</v>
      </c>
      <c r="K38" s="44">
        <f>BERE2!J38-BERE2!H38</f>
        <v>0</v>
      </c>
      <c r="L38" s="44">
        <f>BERE!U38-BERE2!F38</f>
        <v>0</v>
      </c>
      <c r="M38" s="44">
        <f>L38-BERE!AA38</f>
        <v>0</v>
      </c>
      <c r="N38" s="44">
        <f>K38-BERE!V38</f>
        <v>0</v>
      </c>
    </row>
    <row r="39" spans="1:14" x14ac:dyDescent="0.35">
      <c r="A39" s="44">
        <f>BERE!A39</f>
        <v>0</v>
      </c>
      <c r="B39" s="44">
        <f>BERE!B39</f>
        <v>0</v>
      </c>
      <c r="C39" s="44">
        <f>SUM(BERE!C39:M39)</f>
        <v>0</v>
      </c>
      <c r="D39" s="44">
        <f>C39-BERE!N39-BERE!O39</f>
        <v>0</v>
      </c>
      <c r="E39" s="44">
        <f>SUM(BERE!P39:R39)</f>
        <v>0</v>
      </c>
      <c r="F39" s="44">
        <f t="shared" si="2"/>
        <v>0</v>
      </c>
      <c r="G39" s="44">
        <f>SUM(BERE!S39:T39)</f>
        <v>0</v>
      </c>
      <c r="H39" s="44">
        <f t="shared" si="3"/>
        <v>0</v>
      </c>
      <c r="I39" s="44">
        <f>BERE!U39-BERE!V39-BERE!W39-BERE!X39-BERE!Y39-BERE!Z39</f>
        <v>0</v>
      </c>
      <c r="J39" s="44">
        <f>BERE!U39+BERE!AB39</f>
        <v>0</v>
      </c>
      <c r="K39" s="44">
        <f>BERE2!J39-BERE2!H39</f>
        <v>0</v>
      </c>
      <c r="L39" s="44">
        <f>BERE!U39-BERE2!F39</f>
        <v>0</v>
      </c>
      <c r="M39" s="44">
        <f>L39-BERE!AA39</f>
        <v>0</v>
      </c>
      <c r="N39" s="44">
        <f>K39-BERE!V39</f>
        <v>0</v>
      </c>
    </row>
    <row r="40" spans="1:14" x14ac:dyDescent="0.35">
      <c r="A40" s="44">
        <f>BERE!A40</f>
        <v>0</v>
      </c>
      <c r="B40" s="44">
        <f>BERE!B40</f>
        <v>0</v>
      </c>
      <c r="C40" s="44">
        <f>SUM(BERE!C40:M40)</f>
        <v>0</v>
      </c>
      <c r="D40" s="44">
        <f>C40-BERE!N40-BERE!O40</f>
        <v>0</v>
      </c>
      <c r="E40" s="44">
        <f>SUM(BERE!P40:R40)</f>
        <v>0</v>
      </c>
      <c r="F40" s="44">
        <f t="shared" si="2"/>
        <v>0</v>
      </c>
      <c r="G40" s="44">
        <f>SUM(BERE!S40:T40)</f>
        <v>0</v>
      </c>
      <c r="H40" s="44">
        <f t="shared" si="3"/>
        <v>0</v>
      </c>
      <c r="I40" s="44">
        <f>BERE!U40-BERE!V40-BERE!W40-BERE!X40-BERE!Y40-BERE!Z40</f>
        <v>0</v>
      </c>
      <c r="J40" s="44">
        <f>BERE!U40+BERE!AB40</f>
        <v>0</v>
      </c>
      <c r="K40" s="44">
        <f>BERE2!J40-BERE2!H40</f>
        <v>0</v>
      </c>
      <c r="L40" s="44">
        <f>BERE!U40-BERE2!F40</f>
        <v>0</v>
      </c>
      <c r="M40" s="44">
        <f>L40-BERE!AA40</f>
        <v>0</v>
      </c>
      <c r="N40" s="44">
        <f>K40-BERE!V40</f>
        <v>0</v>
      </c>
    </row>
    <row r="41" spans="1:14" x14ac:dyDescent="0.35">
      <c r="A41" s="44">
        <f>BERE!A41</f>
        <v>0</v>
      </c>
      <c r="B41" s="44">
        <f>BERE!B41</f>
        <v>0</v>
      </c>
      <c r="C41" s="44">
        <f>SUM(BERE!C41:M41)</f>
        <v>0</v>
      </c>
      <c r="D41" s="44">
        <f>C41-BERE!N41-BERE!O41</f>
        <v>0</v>
      </c>
      <c r="E41" s="44">
        <f>SUM(BERE!P41:R41)</f>
        <v>0</v>
      </c>
      <c r="F41" s="44">
        <f t="shared" si="2"/>
        <v>0</v>
      </c>
      <c r="G41" s="44">
        <f>SUM(BERE!S41:T41)</f>
        <v>0</v>
      </c>
      <c r="H41" s="44">
        <f t="shared" si="3"/>
        <v>0</v>
      </c>
      <c r="I41" s="44">
        <f>BERE!U41-BERE!V41-BERE!W41-BERE!X41-BERE!Y41-BERE!Z41</f>
        <v>0</v>
      </c>
      <c r="J41" s="44">
        <f>BERE!U41+BERE!AB41</f>
        <v>0</v>
      </c>
      <c r="K41" s="44">
        <f>BERE2!J41-BERE2!H41</f>
        <v>0</v>
      </c>
      <c r="L41" s="44">
        <f>BERE!U41-BERE2!F41</f>
        <v>0</v>
      </c>
      <c r="M41" s="44">
        <f>L41-BERE!AA41</f>
        <v>0</v>
      </c>
      <c r="N41" s="44">
        <f>K41-BERE!V41</f>
        <v>0</v>
      </c>
    </row>
    <row r="42" spans="1:14" x14ac:dyDescent="0.35">
      <c r="A42" s="44">
        <f>BERE!A42</f>
        <v>0</v>
      </c>
      <c r="B42" s="44">
        <f>BERE!B42</f>
        <v>0</v>
      </c>
      <c r="C42" s="44">
        <f>SUM(BERE!C42:M42)</f>
        <v>0</v>
      </c>
      <c r="D42" s="44">
        <f>C42-BERE!N42-BERE!O42</f>
        <v>0</v>
      </c>
      <c r="E42" s="44">
        <f>SUM(BERE!P42:R42)</f>
        <v>0</v>
      </c>
      <c r="F42" s="44">
        <f t="shared" si="2"/>
        <v>0</v>
      </c>
      <c r="G42" s="44">
        <f>SUM(BERE!S42:T42)</f>
        <v>0</v>
      </c>
      <c r="H42" s="44">
        <f t="shared" si="3"/>
        <v>0</v>
      </c>
      <c r="I42" s="44">
        <f>BERE!U42-BERE!V42-BERE!W42-BERE!X42-BERE!Y42-BERE!Z42</f>
        <v>0</v>
      </c>
      <c r="J42" s="44">
        <f>BERE!U42+BERE!AB42</f>
        <v>0</v>
      </c>
      <c r="K42" s="44">
        <f>BERE2!J42-BERE2!H42</f>
        <v>0</v>
      </c>
      <c r="L42" s="44">
        <f>BERE!U42-BERE2!F42</f>
        <v>0</v>
      </c>
      <c r="M42" s="44">
        <f>L42-BERE!AA42</f>
        <v>0</v>
      </c>
      <c r="N42" s="44">
        <f>K42-BERE!V42</f>
        <v>0</v>
      </c>
    </row>
    <row r="43" spans="1:14" x14ac:dyDescent="0.35">
      <c r="A43" s="44">
        <f>BERE!A43</f>
        <v>0</v>
      </c>
      <c r="B43" s="44">
        <f>BERE!B43</f>
        <v>0</v>
      </c>
      <c r="C43" s="44">
        <f>SUM(BERE!C43:M43)</f>
        <v>0</v>
      </c>
      <c r="D43" s="44">
        <f>C43-BERE!N43-BERE!O43</f>
        <v>0</v>
      </c>
      <c r="E43" s="44">
        <f>SUM(BERE!P43:R43)</f>
        <v>0</v>
      </c>
      <c r="F43" s="44">
        <f t="shared" si="2"/>
        <v>0</v>
      </c>
      <c r="G43" s="44">
        <f>SUM(BERE!S43:T43)</f>
        <v>0</v>
      </c>
      <c r="H43" s="44">
        <f t="shared" si="3"/>
        <v>0</v>
      </c>
      <c r="I43" s="44">
        <f>BERE!U43-BERE!V43-BERE!W43-BERE!X43-BERE!Y43-BERE!Z43</f>
        <v>0</v>
      </c>
      <c r="J43" s="44">
        <f>BERE!U43+BERE!AB43</f>
        <v>0</v>
      </c>
      <c r="K43" s="44">
        <f>BERE2!J43-BERE2!H43</f>
        <v>0</v>
      </c>
      <c r="L43" s="44">
        <f>BERE!U43-BERE2!F43</f>
        <v>0</v>
      </c>
      <c r="M43" s="44">
        <f>L43-BERE!AA43</f>
        <v>0</v>
      </c>
      <c r="N43" s="44">
        <f>K43-BERE!V43</f>
        <v>0</v>
      </c>
    </row>
    <row r="44" spans="1:14" x14ac:dyDescent="0.35">
      <c r="A44" s="44">
        <f>BERE!A44</f>
        <v>0</v>
      </c>
      <c r="B44" s="44">
        <f>BERE!B44</f>
        <v>0</v>
      </c>
      <c r="C44" s="44">
        <f>SUM(BERE!C44:M44)</f>
        <v>0</v>
      </c>
      <c r="D44" s="44">
        <f>C44-BERE!N44-BERE!O44</f>
        <v>0</v>
      </c>
      <c r="E44" s="44">
        <f>SUM(BERE!P44:R44)</f>
        <v>0</v>
      </c>
      <c r="F44" s="44">
        <f t="shared" si="2"/>
        <v>0</v>
      </c>
      <c r="G44" s="44">
        <f>SUM(BERE!S44:T44)</f>
        <v>0</v>
      </c>
      <c r="H44" s="44">
        <f t="shared" si="3"/>
        <v>0</v>
      </c>
      <c r="I44" s="44">
        <f>BERE!U44-BERE!V44-BERE!W44-BERE!X44-BERE!Y44-BERE!Z44</f>
        <v>0</v>
      </c>
      <c r="J44" s="44">
        <f>BERE!U44+BERE!AB44</f>
        <v>0</v>
      </c>
      <c r="K44" s="44">
        <f>BERE2!J44-BERE2!H44</f>
        <v>0</v>
      </c>
      <c r="L44" s="44">
        <f>BERE!U44-BERE2!F44</f>
        <v>0</v>
      </c>
      <c r="M44" s="44">
        <f>L44-BERE!AA44</f>
        <v>0</v>
      </c>
      <c r="N44" s="44">
        <f>K44-BERE!V44</f>
        <v>0</v>
      </c>
    </row>
  </sheetData>
  <sheetProtection algorithmName="SHA-512" hashValue="uszheG7b36zU90fE/vGgv9SBxXYu9wsn4qM9VZEbJcgOgyWufSEiahFnQFD2q2bRIO/5s1HyOw5rhbzhSLBKyw==" saltValue="dx7tiNpnekOZdOY3aO+I1w==" spinCount="100000" sheet="1" objects="1" scenarios="1" selectLockedCells="1"/>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Q175"/>
  <sheetViews>
    <sheetView topLeftCell="A124" zoomScale="110" zoomScaleNormal="110" workbookViewId="0">
      <selection activeCell="A173" sqref="A173"/>
    </sheetView>
  </sheetViews>
  <sheetFormatPr defaultRowHeight="14.5" x14ac:dyDescent="0.35"/>
  <cols>
    <col min="1" max="1" width="25.1796875" customWidth="1"/>
    <col min="2" max="2" width="10.1796875" customWidth="1"/>
    <col min="3" max="3" width="9.453125" customWidth="1"/>
    <col min="17" max="17" width="11.26953125" customWidth="1"/>
  </cols>
  <sheetData>
    <row r="1" spans="1:17" x14ac:dyDescent="0.35">
      <c r="B1" s="7" t="str">
        <f t="shared" ref="B1:G1" si="0">I2</f>
        <v>2020-21</v>
      </c>
      <c r="C1" s="7" t="str">
        <f t="shared" si="0"/>
        <v>2021-22</v>
      </c>
      <c r="D1" s="7" t="str">
        <f t="shared" si="0"/>
        <v>2022-23</v>
      </c>
      <c r="E1" s="7" t="str">
        <f t="shared" si="0"/>
        <v>2023-24</v>
      </c>
      <c r="F1" s="7" t="str">
        <f t="shared" si="0"/>
        <v>2024-25</v>
      </c>
      <c r="G1" s="7" t="str">
        <f t="shared" si="0"/>
        <v>2025-26</v>
      </c>
    </row>
    <row r="2" spans="1:17" x14ac:dyDescent="0.35">
      <c r="A2" t="str">
        <f>CONCATENATE("(Upto ",LEFT(B2,3),")")</f>
        <v>(Upto Dec)</v>
      </c>
      <c r="B2" t="str">
        <f>Sheet5!S7</f>
        <v>Dec-20</v>
      </c>
      <c r="C2" t="str">
        <f>Sheet5!R7</f>
        <v>Dec-21</v>
      </c>
      <c r="D2" t="str">
        <f>Sheet5!Q7</f>
        <v>Dec-22</v>
      </c>
      <c r="E2" t="str">
        <f>Sheet5!P7</f>
        <v>Dec-23</v>
      </c>
      <c r="F2" t="str">
        <f>Sheet5!E6</f>
        <v>Dec-24</v>
      </c>
      <c r="G2" t="str">
        <f>Sheet5!E4</f>
        <v>Dec-25</v>
      </c>
      <c r="I2" t="str">
        <f>Sheet5!S6</f>
        <v>2020-21</v>
      </c>
      <c r="J2" t="str">
        <f>Sheet5!R6</f>
        <v>2021-22</v>
      </c>
      <c r="K2" t="str">
        <f>Sheet5!Q6</f>
        <v>2022-23</v>
      </c>
      <c r="L2" t="str">
        <f>Sheet5!P6</f>
        <v>2023-24</v>
      </c>
      <c r="M2" t="str">
        <f>Sheet5!D6</f>
        <v>2024-25</v>
      </c>
      <c r="N2" t="str">
        <f>Sheet5!D4</f>
        <v>2025-26</v>
      </c>
    </row>
    <row r="3" spans="1:17" x14ac:dyDescent="0.35">
      <c r="A3" t="str">
        <f>Sheet5!D15</f>
        <v>Net Tax Revenue</v>
      </c>
      <c r="B3">
        <f>Sheet5!S15</f>
        <v>962399</v>
      </c>
      <c r="C3">
        <f>Sheet5!R15</f>
        <v>1473809</v>
      </c>
      <c r="D3">
        <f>Sheet5!Q15</f>
        <v>1555692</v>
      </c>
      <c r="E3">
        <f>Sheet5!P15</f>
        <v>1729931</v>
      </c>
      <c r="F3">
        <f>Sheet5!F15</f>
        <v>1843053</v>
      </c>
      <c r="G3">
        <f>Sheet5!E15</f>
        <v>1939254</v>
      </c>
      <c r="H3" s="44" t="b">
        <v>1</v>
      </c>
      <c r="I3" s="11">
        <f t="shared" ref="I3:N3" si="1">B3/B$6</f>
        <v>0.85799935453846821</v>
      </c>
      <c r="J3" s="11">
        <f t="shared" si="1"/>
        <v>0.83658721274774484</v>
      </c>
      <c r="K3" s="11">
        <f t="shared" si="1"/>
        <v>0.85238726645115337</v>
      </c>
      <c r="L3" s="11">
        <f t="shared" si="1"/>
        <v>0.83493336435097754</v>
      </c>
      <c r="M3" s="11">
        <f t="shared" si="1"/>
        <v>0.79510311668870426</v>
      </c>
      <c r="N3" s="11">
        <f t="shared" si="1"/>
        <v>0.76797393903584565</v>
      </c>
      <c r="P3">
        <f>IF(H3=TRUE,1,0)</f>
        <v>1</v>
      </c>
    </row>
    <row r="4" spans="1:17" x14ac:dyDescent="0.35">
      <c r="A4" t="str">
        <f>Sheet5!D17</f>
        <v>Non Tax Revenue</v>
      </c>
      <c r="B4">
        <f>Sheet5!S17</f>
        <v>126181</v>
      </c>
      <c r="C4">
        <f>Sheet5!R17</f>
        <v>259414</v>
      </c>
      <c r="D4">
        <f>Sheet5!Q17</f>
        <v>214302</v>
      </c>
      <c r="E4">
        <f>Sheet5!P17</f>
        <v>312358</v>
      </c>
      <c r="F4">
        <f>Sheet5!F17</f>
        <v>447657</v>
      </c>
      <c r="G4">
        <f>Sheet5!E17</f>
        <v>539855</v>
      </c>
      <c r="H4" s="44" t="b">
        <v>1</v>
      </c>
      <c r="I4" s="11">
        <f t="shared" ref="I4:J5" si="2">B4/B$6</f>
        <v>0.1124930684207054</v>
      </c>
      <c r="J4" s="11">
        <f t="shared" si="2"/>
        <v>0.14725275473805863</v>
      </c>
      <c r="K4" s="11">
        <f t="shared" ref="K4:K5" si="3">D4/D$6</f>
        <v>0.11741931948934305</v>
      </c>
      <c r="L4" s="11">
        <f t="shared" ref="L4:L5" si="4">E4/E$6</f>
        <v>0.15075636879271059</v>
      </c>
      <c r="M4" s="11">
        <f t="shared" ref="M4:M5" si="5">F4/F$6</f>
        <v>0.19312167143729198</v>
      </c>
      <c r="N4" s="11">
        <f t="shared" ref="N4:N5" si="6">G4/G$6</f>
        <v>0.21379075193770206</v>
      </c>
      <c r="P4">
        <f>IF(H4=TRUE,2,0)</f>
        <v>2</v>
      </c>
    </row>
    <row r="5" spans="1:17" x14ac:dyDescent="0.35">
      <c r="A5" t="str">
        <f>Sheet5!D19</f>
        <v>Non Debt Capital Receipts</v>
      </c>
      <c r="B5">
        <f>Sheet5!S19</f>
        <v>33098</v>
      </c>
      <c r="C5">
        <f>Sheet5!R19</f>
        <v>28469</v>
      </c>
      <c r="D5">
        <f>Sheet5!Q19</f>
        <v>55106</v>
      </c>
      <c r="E5">
        <f>Sheet5!P19</f>
        <v>29650</v>
      </c>
      <c r="F5">
        <f>Sheet5!F19</f>
        <v>27295</v>
      </c>
      <c r="G5">
        <f>Sheet5!E19</f>
        <v>46047</v>
      </c>
      <c r="H5" s="44" t="b">
        <v>1</v>
      </c>
      <c r="I5" s="11">
        <f t="shared" ref="I5" si="7">B5/B$6</f>
        <v>2.9507577040826332E-2</v>
      </c>
      <c r="J5" s="11">
        <f t="shared" si="2"/>
        <v>1.6160032514196579E-2</v>
      </c>
      <c r="K5" s="11">
        <f t="shared" si="3"/>
        <v>3.0193414059503588E-2</v>
      </c>
      <c r="L5" s="11">
        <f t="shared" si="4"/>
        <v>1.431026685631189E-2</v>
      </c>
      <c r="M5" s="11">
        <f t="shared" si="5"/>
        <v>1.1775211874003723E-2</v>
      </c>
      <c r="N5" s="11">
        <f t="shared" si="6"/>
        <v>1.8235309026452227E-2</v>
      </c>
      <c r="P5">
        <f>IF(H5=TRUE,4,0)</f>
        <v>4</v>
      </c>
    </row>
    <row r="6" spans="1:17" x14ac:dyDescent="0.35">
      <c r="A6" t="str">
        <f>Sheet5!D9</f>
        <v>Total Receipts</v>
      </c>
      <c r="B6">
        <f>Sheet5!S9</f>
        <v>1121678</v>
      </c>
      <c r="C6">
        <f>Sheet5!R9</f>
        <v>1761692</v>
      </c>
      <c r="D6">
        <f>Sheet5!Q9</f>
        <v>1825100</v>
      </c>
      <c r="E6">
        <f>Sheet5!P9</f>
        <v>2071939</v>
      </c>
      <c r="F6">
        <f>Sheet5!F9</f>
        <v>2318005</v>
      </c>
      <c r="G6">
        <f>Sheet5!E9</f>
        <v>2525156</v>
      </c>
      <c r="H6" s="44"/>
      <c r="P6">
        <f>SUM(P3:P5)</f>
        <v>7</v>
      </c>
      <c r="Q6" t="str">
        <f>IF(P6=1,"Net Tax Revenue",IF(P6=2,"Non Tax Revenue",IF(P6=3,"Revenue Receipts",IF(P6=4,"Non Debt Capital Receipts",IF(P6=7,"Total Receipts"," ")))))</f>
        <v>Total Receipts</v>
      </c>
    </row>
    <row r="7" spans="1:17" x14ac:dyDescent="0.35">
      <c r="H7" s="44"/>
    </row>
    <row r="8" spans="1:17" x14ac:dyDescent="0.35">
      <c r="A8" t="s">
        <v>209</v>
      </c>
      <c r="B8">
        <f>Sheet5!S63+Sheet5!S65</f>
        <v>375727</v>
      </c>
      <c r="C8">
        <f>Sheet5!R63+Sheet5!R65</f>
        <v>455186</v>
      </c>
      <c r="D8">
        <f>Sheet5!Q63+Sheet5!Q65</f>
        <v>615006</v>
      </c>
      <c r="E8">
        <f>Sheet5!P63+Sheet5!P65</f>
        <v>752568</v>
      </c>
      <c r="F8">
        <f>Sheet5!F63+Sheet5!F65</f>
        <v>907375</v>
      </c>
      <c r="G8">
        <f>Sheet5!E63+Sheet5!E65</f>
        <v>1045013</v>
      </c>
      <c r="H8" s="44" t="b">
        <v>1</v>
      </c>
    </row>
    <row r="9" spans="1:17" x14ac:dyDescent="0.35">
      <c r="A9" t="str">
        <f t="shared" ref="A9:G9" si="8">A3</f>
        <v>Net Tax Revenue</v>
      </c>
      <c r="B9">
        <f t="shared" si="8"/>
        <v>962399</v>
      </c>
      <c r="C9">
        <f t="shared" si="8"/>
        <v>1473809</v>
      </c>
      <c r="D9">
        <f t="shared" si="8"/>
        <v>1555692</v>
      </c>
      <c r="E9">
        <f t="shared" si="8"/>
        <v>1729931</v>
      </c>
      <c r="F9">
        <f t="shared" si="8"/>
        <v>1843053</v>
      </c>
      <c r="G9">
        <f t="shared" si="8"/>
        <v>1939254</v>
      </c>
      <c r="H9" s="44" t="b">
        <v>1</v>
      </c>
    </row>
    <row r="10" spans="1:17" x14ac:dyDescent="0.35">
      <c r="H10" s="44"/>
    </row>
    <row r="11" spans="1:17" x14ac:dyDescent="0.35">
      <c r="A11" t="str">
        <f>Sheet5!D67</f>
        <v>Interest receipts</v>
      </c>
      <c r="B11">
        <f>Sheet5!S67</f>
        <v>11267</v>
      </c>
      <c r="C11">
        <f>Sheet5!R67</f>
        <v>16055</v>
      </c>
      <c r="D11">
        <f>Sheet5!Q67</f>
        <v>18870</v>
      </c>
      <c r="E11">
        <f>Sheet5!P67</f>
        <v>26959</v>
      </c>
      <c r="F11">
        <f>Sheet5!F67</f>
        <v>29903</v>
      </c>
      <c r="G11">
        <f>Sheet5!E67</f>
        <v>27976</v>
      </c>
      <c r="H11" s="44" t="b">
        <v>1</v>
      </c>
    </row>
    <row r="12" spans="1:17" x14ac:dyDescent="0.35">
      <c r="A12" t="str">
        <f>Sheet5!D69</f>
        <v>Dividends and Profits</v>
      </c>
      <c r="B12">
        <f>Sheet5!S69</f>
        <v>70848</v>
      </c>
      <c r="C12">
        <f>Sheet5!R69</f>
        <v>137068</v>
      </c>
      <c r="D12">
        <f>Sheet5!Q69</f>
        <v>76362</v>
      </c>
      <c r="E12">
        <f>Sheet5!P69</f>
        <v>147232</v>
      </c>
      <c r="F12">
        <f>Sheet5!F69</f>
        <v>284772</v>
      </c>
      <c r="G12">
        <f>Sheet5!E69</f>
        <v>350269</v>
      </c>
      <c r="H12" s="44" t="b">
        <v>1</v>
      </c>
    </row>
    <row r="13" spans="1:17" x14ac:dyDescent="0.35">
      <c r="A13" t="str">
        <f>Sheet5!D71</f>
        <v>Other Non Tax Receipts</v>
      </c>
      <c r="B13">
        <f>Sheet5!S71</f>
        <v>44066</v>
      </c>
      <c r="C13">
        <f>Sheet5!R71</f>
        <v>106291</v>
      </c>
      <c r="D13">
        <f>Sheet5!Q71</f>
        <v>119070</v>
      </c>
      <c r="E13">
        <f>Sheet5!P71</f>
        <v>138167</v>
      </c>
      <c r="F13">
        <f>Sheet5!F71</f>
        <v>132982</v>
      </c>
      <c r="G13">
        <f>Sheet5!E71</f>
        <v>161610</v>
      </c>
      <c r="H13" s="44" t="b">
        <v>1</v>
      </c>
    </row>
    <row r="14" spans="1:17" x14ac:dyDescent="0.35">
      <c r="H14" s="44"/>
    </row>
    <row r="15" spans="1:17" x14ac:dyDescent="0.35">
      <c r="A15" t="str">
        <f>Sheet5!D73</f>
        <v>Recovery of Loans &amp; Advances</v>
      </c>
      <c r="B15">
        <f>Sheet5!S73</f>
        <v>14202</v>
      </c>
      <c r="C15">
        <f>Sheet5!R73</f>
        <v>19105</v>
      </c>
      <c r="D15">
        <f>Sheet5!Q73</f>
        <v>16435</v>
      </c>
      <c r="E15">
        <f>Sheet5!P73</f>
        <v>19597</v>
      </c>
      <c r="F15">
        <f>Sheet5!F73</f>
        <v>18301</v>
      </c>
      <c r="G15">
        <f>Sheet5!E73</f>
        <v>18226</v>
      </c>
      <c r="H15" s="44" t="b">
        <v>1</v>
      </c>
    </row>
    <row r="16" spans="1:17" x14ac:dyDescent="0.35">
      <c r="A16" t="str">
        <f>Sheet5!D75</f>
        <v>Misc. Capital Receipts</v>
      </c>
      <c r="B16">
        <f>Sheet5!S75</f>
        <v>18896</v>
      </c>
      <c r="C16">
        <f>Sheet5!R75</f>
        <v>9364</v>
      </c>
      <c r="D16">
        <f>Sheet5!Q75</f>
        <v>38671</v>
      </c>
      <c r="E16">
        <f>Sheet5!P75</f>
        <v>10053</v>
      </c>
      <c r="F16">
        <f>Sheet5!F75</f>
        <v>8994</v>
      </c>
      <c r="G16">
        <f>Sheet5!E75</f>
        <v>27821</v>
      </c>
      <c r="H16" s="44" t="b">
        <v>1</v>
      </c>
    </row>
    <row r="17" spans="1:8" x14ac:dyDescent="0.35">
      <c r="H17" s="44"/>
    </row>
    <row r="18" spans="1:8" x14ac:dyDescent="0.35">
      <c r="A18" t="str">
        <f>Sheet5!D21</f>
        <v>Revenue Expenditure</v>
      </c>
      <c r="B18">
        <f>Sheet5!S21</f>
        <v>1971173</v>
      </c>
      <c r="C18">
        <f>Sheet5!R21</f>
        <v>2129414</v>
      </c>
      <c r="D18">
        <f>Sheet5!Q21</f>
        <v>2328132</v>
      </c>
      <c r="E18">
        <f>Sheet5!P21</f>
        <v>2380587</v>
      </c>
      <c r="F18">
        <f>Sheet5!F21</f>
        <v>2546757</v>
      </c>
      <c r="G18">
        <f>Sheet5!E21</f>
        <v>2593063</v>
      </c>
      <c r="H18" s="44" t="b">
        <v>1</v>
      </c>
    </row>
    <row r="19" spans="1:8" x14ac:dyDescent="0.35">
      <c r="A19" t="str">
        <f>Sheet5!D23</f>
        <v>Capital Expenditure</v>
      </c>
      <c r="B19">
        <f>Sheet5!S23</f>
        <v>308974</v>
      </c>
      <c r="C19">
        <f>Sheet5!R23</f>
        <v>391644</v>
      </c>
      <c r="D19">
        <f>Sheet5!Q23</f>
        <v>489944</v>
      </c>
      <c r="E19">
        <f>Sheet5!P23</f>
        <v>673630</v>
      </c>
      <c r="F19">
        <f>Sheet5!F23</f>
        <v>685337</v>
      </c>
      <c r="G19">
        <f>Sheet5!E23</f>
        <v>787935</v>
      </c>
      <c r="H19" s="44" t="b">
        <v>1</v>
      </c>
    </row>
    <row r="20" spans="1:8" x14ac:dyDescent="0.35">
      <c r="A20" t="str">
        <f>IF(MONTH(Dashboard!$D$8)&lt;4,"RE","BE")</f>
        <v>BE</v>
      </c>
      <c r="B20">
        <f>SUM(B21:B22)</f>
        <v>3042230</v>
      </c>
      <c r="C20">
        <f t="shared" ref="C20:G20" si="9">SUM(C21:C22)</f>
        <v>3483236</v>
      </c>
      <c r="D20">
        <f t="shared" si="9"/>
        <v>3944909</v>
      </c>
      <c r="E20">
        <f t="shared" si="9"/>
        <v>4503097</v>
      </c>
      <c r="F20">
        <f t="shared" si="9"/>
        <v>4820512</v>
      </c>
      <c r="G20">
        <f t="shared" si="9"/>
        <v>5065345</v>
      </c>
    </row>
    <row r="21" spans="1:8" x14ac:dyDescent="0.35">
      <c r="A21" t="str">
        <f>IF(MONTH(Dashboard!$D$8)&lt;4,"RE","BE")</f>
        <v>BE</v>
      </c>
      <c r="B21">
        <f>IF(MONTH(Dashboard!$D$8)&lt;4,Sheet5!AB21,Sheet5!AA21)</f>
        <v>2630221</v>
      </c>
      <c r="C21">
        <f>IF(MONTH(Dashboard!$D$8)&lt;4,Sheet5!Z21,Sheet5!Y21)</f>
        <v>2929128</v>
      </c>
      <c r="D21">
        <f>IF(MONTH(Dashboard!$D$8)&lt;4,Sheet5!X21,Sheet5!W21)</f>
        <v>3195257</v>
      </c>
      <c r="E21">
        <f>IF(MONTH(Dashboard!$D$8)&lt;4,Sheet5!V21,Sheet5!U21)</f>
        <v>3502724</v>
      </c>
      <c r="F21">
        <f>IF(MONTH(Dashboard!$D$8)&lt;4,Sheet5!J21,Sheet5!I21)</f>
        <v>3709401</v>
      </c>
      <c r="G21">
        <f>IF(MONTH(Dashboard!$D$8)&lt;4,Sheet5!H21,Sheet5!G21)</f>
        <v>3944255</v>
      </c>
    </row>
    <row r="22" spans="1:8" x14ac:dyDescent="0.35">
      <c r="A22" t="str">
        <f>IF(MONTH(Dashboard!$D$8)&lt;4,"RE","BE")</f>
        <v>BE</v>
      </c>
      <c r="B22">
        <f>IF(MONTH(Dashboard!$D$8)&lt;4,Sheet5!AB23,Sheet5!AA23)</f>
        <v>412009</v>
      </c>
      <c r="C22">
        <f>IF(MONTH(Dashboard!$D$8)&lt;4,Sheet5!Z23,Sheet5!Y23)</f>
        <v>554108</v>
      </c>
      <c r="D22">
        <f>IF(MONTH(Dashboard!$D$8)&lt;4,Sheet5!X23,Sheet5!W23)</f>
        <v>749652</v>
      </c>
      <c r="E22">
        <f>IF(MONTH(Dashboard!$D$8)&lt;4,Sheet5!V23,Sheet5!U23)</f>
        <v>1000373</v>
      </c>
      <c r="F22">
        <f>IF(MONTH(Dashboard!$D$8)&lt;4,Sheet5!J23,Sheet5!I23)</f>
        <v>1111111</v>
      </c>
      <c r="G22">
        <f>IF(MONTH(Dashboard!$D$8)&lt;4,Sheet5!H23,Sheet5!G23)</f>
        <v>1121090</v>
      </c>
    </row>
    <row r="25" spans="1:8" x14ac:dyDescent="0.35">
      <c r="A25" t="str">
        <f>Sheet5!D25</f>
        <v>Interest Payments</v>
      </c>
      <c r="B25">
        <f>Sheet5!S25</f>
        <v>472171</v>
      </c>
      <c r="C25">
        <f>Sheet5!R25</f>
        <v>565864</v>
      </c>
      <c r="D25">
        <f>Sheet5!Q25</f>
        <v>680853</v>
      </c>
      <c r="E25">
        <f>Sheet5!P25</f>
        <v>748207</v>
      </c>
      <c r="F25">
        <f>Sheet5!F25</f>
        <v>808313</v>
      </c>
      <c r="G25">
        <f>Sheet5!E25</f>
        <v>911059</v>
      </c>
    </row>
    <row r="26" spans="1:8" x14ac:dyDescent="0.35">
      <c r="A26" t="str">
        <f>Sheet5!D27</f>
        <v>Defence  Services</v>
      </c>
      <c r="B26">
        <f>Sheet5!S27</f>
        <v>153857</v>
      </c>
      <c r="C26">
        <f>Sheet5!R27</f>
        <v>179859</v>
      </c>
      <c r="D26">
        <f>Sheet5!Q27</f>
        <v>184962</v>
      </c>
      <c r="E26">
        <f>Sheet5!P27</f>
        <v>215181</v>
      </c>
      <c r="F26">
        <f>Sheet5!F27</f>
        <v>215520</v>
      </c>
      <c r="G26">
        <f>Sheet5!E27</f>
        <v>233023</v>
      </c>
    </row>
    <row r="27" spans="1:8" x14ac:dyDescent="0.35">
      <c r="A27" t="str">
        <f>Sheet5!D29</f>
        <v>Grants in Aid  to States &amp; UTs</v>
      </c>
      <c r="B27">
        <f>Sheet5!S29</f>
        <v>439785</v>
      </c>
      <c r="C27">
        <f>Sheet5!R29</f>
        <v>426909</v>
      </c>
      <c r="D27">
        <f>Sheet5!Q29</f>
        <v>387918</v>
      </c>
      <c r="E27">
        <f>Sheet5!P29</f>
        <v>349946</v>
      </c>
      <c r="F27">
        <f>Sheet5!F29</f>
        <v>348245</v>
      </c>
      <c r="G27">
        <f>Sheet5!E29</f>
        <v>247273</v>
      </c>
    </row>
    <row r="28" spans="1:8" x14ac:dyDescent="0.35">
      <c r="A28" t="str">
        <f>Sheet5!D31</f>
        <v>Pensions</v>
      </c>
      <c r="B28">
        <f>Sheet5!S31</f>
        <v>159146</v>
      </c>
      <c r="C28">
        <f>Sheet5!R31</f>
        <v>146150</v>
      </c>
      <c r="D28">
        <f>Sheet5!Q31</f>
        <v>168439</v>
      </c>
      <c r="E28">
        <f>Sheet5!P31</f>
        <v>191905</v>
      </c>
      <c r="F28">
        <f>Sheet5!F31</f>
        <v>215263</v>
      </c>
      <c r="G28">
        <f>Sheet5!E31</f>
        <v>226030</v>
      </c>
    </row>
    <row r="29" spans="1:8" x14ac:dyDescent="0.35">
      <c r="A29" t="str">
        <f>Sheet5!D33</f>
        <v>Major Subsidies</v>
      </c>
      <c r="B29">
        <f>Sheet5!S33</f>
        <v>227352</v>
      </c>
      <c r="C29">
        <f>Sheet5!R33</f>
        <v>271374</v>
      </c>
      <c r="D29">
        <f>Sheet5!Q33</f>
        <v>350524</v>
      </c>
      <c r="E29">
        <f>Sheet5!P33</f>
        <v>276804</v>
      </c>
      <c r="F29">
        <f>Sheet5!F33</f>
        <v>306994</v>
      </c>
      <c r="G29">
        <f>Sheet5!E33</f>
        <v>317490</v>
      </c>
    </row>
    <row r="30" spans="1:8" x14ac:dyDescent="0.35">
      <c r="A30" t="str">
        <f>Sheet5!D35</f>
        <v>Other Revenue Expenditure</v>
      </c>
      <c r="B30">
        <f>Sheet5!S35</f>
        <v>518862</v>
      </c>
      <c r="C30">
        <f>Sheet5!R35</f>
        <v>539258</v>
      </c>
      <c r="D30">
        <f>Sheet5!Q35</f>
        <v>555436</v>
      </c>
      <c r="E30">
        <f>Sheet5!P35</f>
        <v>598544</v>
      </c>
      <c r="F30">
        <f>Sheet5!F35</f>
        <v>652422</v>
      </c>
      <c r="G30">
        <f>Sheet5!E35</f>
        <v>658188</v>
      </c>
    </row>
    <row r="32" spans="1:8" x14ac:dyDescent="0.35">
      <c r="A32" t="str">
        <f>A22</f>
        <v>BE</v>
      </c>
    </row>
    <row r="33" spans="1:7" x14ac:dyDescent="0.35">
      <c r="A33" t="str">
        <f>A25</f>
        <v>Interest Payments</v>
      </c>
      <c r="B33">
        <f>IF(MONTH(Dashboard!$D$8)&lt;4,Sheet5!AB25,Sheet5!AA25)</f>
        <v>708203</v>
      </c>
      <c r="C33">
        <f>IF(MONTH(Dashboard!$D$8)&lt;4,Sheet5!Z25,Sheet5!Y25)</f>
        <v>809701</v>
      </c>
      <c r="D33">
        <f>IF(MONTH(Dashboard!$D$8)&lt;4,Sheet5!X25,Sheet5!W25)</f>
        <v>940651</v>
      </c>
      <c r="E33">
        <f>IF(MONTH(Dashboard!$D$8)&lt;4,Sheet5!V25,Sheet5!U25)</f>
        <v>1079971</v>
      </c>
      <c r="F33">
        <f>IF(MONTH(Dashboard!$D$8)&lt;4,Sheet5!J25,Sheet5!I25)</f>
        <v>1162940</v>
      </c>
      <c r="G33">
        <f>IF(MONTH(Dashboard!$D$8)&lt;4,Sheet5!H25,Sheet5!G25)</f>
        <v>1276338</v>
      </c>
    </row>
    <row r="34" spans="1:7" x14ac:dyDescent="0.35">
      <c r="A34" t="str">
        <f t="shared" ref="A34:A37" si="10">A26</f>
        <v>Defence  Services</v>
      </c>
      <c r="B34">
        <f>IF(MONTH(Dashboard!$D$8)&lt;4,Sheet5!AB27,Sheet5!AA27)</f>
        <v>209319</v>
      </c>
      <c r="C34">
        <f>IF(MONTH(Dashboard!$D$8)&lt;4,Sheet5!Z27,Sheet5!Y27)</f>
        <v>212028</v>
      </c>
      <c r="D34">
        <f>IF(MONTH(Dashboard!$D$8)&lt;4,Sheet5!X27,Sheet5!W27)</f>
        <v>233001</v>
      </c>
      <c r="E34">
        <f>IF(MONTH(Dashboard!$D$8)&lt;4,Sheet5!V27,Sheet5!U27)</f>
        <v>270120</v>
      </c>
      <c r="F34">
        <f>IF(MONTH(Dashboard!$D$8)&lt;4,Sheet5!J27,Sheet5!I27)</f>
        <v>282773</v>
      </c>
      <c r="G34">
        <f>IF(MONTH(Dashboard!$D$8)&lt;4,Sheet5!H27,Sheet5!G27)</f>
        <v>311732</v>
      </c>
    </row>
    <row r="35" spans="1:7" x14ac:dyDescent="0.35">
      <c r="A35" t="str">
        <f t="shared" si="10"/>
        <v>Grants in Aid  to States &amp; UTs</v>
      </c>
      <c r="B35">
        <f>IF(MONTH(Dashboard!$D$8)&lt;4,Sheet5!AB29,Sheet5!AA29)</f>
        <v>562046</v>
      </c>
      <c r="C35">
        <f>IF(MONTH(Dashboard!$D$8)&lt;4,Sheet5!Z29,Sheet5!Y29)</f>
        <v>605812</v>
      </c>
      <c r="D35">
        <f>IF(MONTH(Dashboard!$D$8)&lt;4,Sheet5!X29,Sheet5!W29)</f>
        <v>617057</v>
      </c>
      <c r="E35">
        <f>IF(MONTH(Dashboard!$D$8)&lt;4,Sheet5!V29,Sheet5!U29)</f>
        <v>659736</v>
      </c>
      <c r="F35">
        <f>IF(MONTH(Dashboard!$D$8)&lt;4,Sheet5!J29,Sheet5!I29)</f>
        <v>641460</v>
      </c>
      <c r="G35">
        <f>IF(MONTH(Dashboard!$D$8)&lt;4,Sheet5!H29,Sheet5!G29)</f>
        <v>720056</v>
      </c>
    </row>
    <row r="36" spans="1:7" x14ac:dyDescent="0.35">
      <c r="A36" t="str">
        <f t="shared" si="10"/>
        <v>Pensions</v>
      </c>
      <c r="B36">
        <f>IF(MONTH(Dashboard!$D$8)&lt;4,Sheet5!AB31,Sheet5!AA31)</f>
        <v>210682</v>
      </c>
      <c r="C36">
        <f>IF(MONTH(Dashboard!$D$8)&lt;4,Sheet5!Z31,Sheet5!Y31)</f>
        <v>190328</v>
      </c>
      <c r="D36">
        <f>IF(MONTH(Dashboard!$D$8)&lt;4,Sheet5!X31,Sheet5!W31)</f>
        <v>207132</v>
      </c>
      <c r="E36">
        <f>IF(MONTH(Dashboard!$D$8)&lt;4,Sheet5!V31,Sheet5!U31)</f>
        <v>234359</v>
      </c>
      <c r="F36">
        <f>IF(MONTH(Dashboard!$D$8)&lt;4,Sheet5!J31,Sheet5!I31)</f>
        <v>243296</v>
      </c>
      <c r="G36">
        <f>IF(MONTH(Dashboard!$D$8)&lt;4,Sheet5!H31,Sheet5!G31)</f>
        <v>276618</v>
      </c>
    </row>
    <row r="37" spans="1:7" x14ac:dyDescent="0.35">
      <c r="A37" t="str">
        <f t="shared" si="10"/>
        <v>Major Subsidies</v>
      </c>
      <c r="B37">
        <f>IF(MONTH(Dashboard!$D$8)&lt;4,Sheet5!AB33,Sheet5!AA33)</f>
        <v>227794</v>
      </c>
      <c r="C37">
        <f>IF(MONTH(Dashboard!$D$8)&lt;4,Sheet5!Z33,Sheet5!Y33)</f>
        <v>336439</v>
      </c>
      <c r="D37">
        <f>IF(MONTH(Dashboard!$D$8)&lt;4,Sheet5!X33,Sheet5!W33)</f>
        <v>317866</v>
      </c>
      <c r="E37">
        <f>IF(MONTH(Dashboard!$D$8)&lt;4,Sheet5!V33,Sheet5!U33)</f>
        <v>374707</v>
      </c>
      <c r="F37">
        <f>IF(MONTH(Dashboard!$D$8)&lt;4,Sheet5!J33,Sheet5!I33)</f>
        <v>381175</v>
      </c>
      <c r="G37">
        <f>IF(MONTH(Dashboard!$D$8)&lt;4,Sheet5!H33,Sheet5!G33)</f>
        <v>383407</v>
      </c>
    </row>
    <row r="38" spans="1:7" x14ac:dyDescent="0.35">
      <c r="A38" t="str">
        <f>A30</f>
        <v>Other Revenue Expenditure</v>
      </c>
      <c r="B38">
        <f>IF(MONTH(Dashboard!$D$8)&lt;4,Sheet5!AB35,Sheet5!AA35)</f>
        <v>712177</v>
      </c>
      <c r="C38">
        <f>IF(MONTH(Dashboard!$D$8)&lt;4,Sheet5!Z35,Sheet5!Y35)</f>
        <v>774820</v>
      </c>
      <c r="D38">
        <f>IF(MONTH(Dashboard!$D$8)&lt;4,Sheet5!X35,Sheet5!W35)</f>
        <v>879550</v>
      </c>
      <c r="E38">
        <f>IF(MONTH(Dashboard!$D$8)&lt;4,Sheet5!V35,Sheet5!U35)</f>
        <v>883831</v>
      </c>
      <c r="F38">
        <f>IF(MONTH(Dashboard!$D$8)&lt;4,Sheet5!J35,Sheet5!I35)</f>
        <v>997757</v>
      </c>
      <c r="G38">
        <f>IF(MONTH(Dashboard!$D$8)&lt;4,Sheet5!H35,Sheet5!G35)</f>
        <v>976104</v>
      </c>
    </row>
    <row r="40" spans="1:7" x14ac:dyDescent="0.35">
      <c r="A40" t="str">
        <f>Sheet5!D13</f>
        <v>Fiscal Deficit</v>
      </c>
      <c r="B40">
        <f>Sheet5!S13</f>
        <v>1158469</v>
      </c>
      <c r="C40">
        <f>Sheet5!R13</f>
        <v>759366</v>
      </c>
      <c r="D40">
        <f>Sheet5!Q13</f>
        <v>992976</v>
      </c>
      <c r="E40">
        <f>Sheet5!P13</f>
        <v>982278</v>
      </c>
      <c r="F40">
        <f>Sheet5!F13</f>
        <v>914089</v>
      </c>
      <c r="G40">
        <f>Sheet5!E13</f>
        <v>855842</v>
      </c>
    </row>
    <row r="41" spans="1:7" x14ac:dyDescent="0.35">
      <c r="A41" t="str">
        <f>Sheet5!D37</f>
        <v>Revenue Deficit</v>
      </c>
      <c r="B41">
        <f>Sheet5!S37</f>
        <v>882593</v>
      </c>
      <c r="C41">
        <f>Sheet5!R37</f>
        <v>396191</v>
      </c>
      <c r="D41">
        <f>Sheet5!Q37</f>
        <v>558138</v>
      </c>
      <c r="E41">
        <f>Sheet5!P37</f>
        <v>338298</v>
      </c>
      <c r="F41">
        <f>Sheet5!F37</f>
        <v>256047</v>
      </c>
      <c r="G41">
        <f>Sheet5!E37</f>
        <v>113954</v>
      </c>
    </row>
    <row r="42" spans="1:7" x14ac:dyDescent="0.35">
      <c r="A42" t="str">
        <f>Sheet5!D41</f>
        <v>Primary Deficit</v>
      </c>
      <c r="B42">
        <f>Sheet5!S41</f>
        <v>686298</v>
      </c>
      <c r="C42">
        <f>Sheet5!R41</f>
        <v>193502</v>
      </c>
      <c r="D42">
        <f>Sheet5!Q41</f>
        <v>312123</v>
      </c>
      <c r="E42">
        <f>Sheet5!P41</f>
        <v>234071</v>
      </c>
      <c r="F42">
        <f>Sheet5!F41</f>
        <v>105776</v>
      </c>
      <c r="G42">
        <f>Sheet5!E41</f>
        <v>-55217</v>
      </c>
    </row>
    <row r="44" spans="1:7" x14ac:dyDescent="0.35">
      <c r="A44" t="str">
        <f>A22</f>
        <v>BE</v>
      </c>
    </row>
    <row r="45" spans="1:7" x14ac:dyDescent="0.35">
      <c r="A45" t="str">
        <f>A40</f>
        <v>Fiscal Deficit</v>
      </c>
      <c r="B45">
        <f>IF(MONTH(Dashboard!$D$8)&lt;4,Sheet5!AB13,Sheet5!AA13)</f>
        <v>796337</v>
      </c>
      <c r="C45">
        <f>IF(MONTH(Dashboard!$D$8)&lt;4,Sheet5!Z13,Sheet5!Y13)</f>
        <v>1506812</v>
      </c>
      <c r="D45">
        <f>IF(MONTH(Dashboard!$D$8)&lt;4,Sheet5!X13,Sheet5!W13)</f>
        <v>1661196</v>
      </c>
      <c r="E45">
        <f>IF(MONTH(Dashboard!$D$8)&lt;4,Sheet5!V13,Sheet5!U13)</f>
        <v>1786816</v>
      </c>
      <c r="F45">
        <f>IF(MONTH(Dashboard!$D$8)&lt;4,Sheet5!J13,Sheet5!I13)</f>
        <v>1613312</v>
      </c>
      <c r="G45">
        <f>IF(MONTH(Dashboard!$D$8)&lt;4,Sheet5!H13,Sheet5!G13)</f>
        <v>1568936</v>
      </c>
    </row>
    <row r="46" spans="1:7" x14ac:dyDescent="0.35">
      <c r="A46" t="str">
        <f t="shared" ref="A46:A47" si="11">A41</f>
        <v>Revenue Deficit</v>
      </c>
      <c r="B46">
        <f>IF(MONTH(Dashboard!$D$8)&lt;4,Sheet5!AB37,Sheet5!AA37)</f>
        <v>609295</v>
      </c>
      <c r="C46">
        <f>IF(MONTH(Dashboard!$D$8)&lt;4,Sheet5!Z37,Sheet5!Y37)</f>
        <v>1140704</v>
      </c>
      <c r="D46">
        <f>IF(MONTH(Dashboard!$D$8)&lt;4,Sheet5!X37,Sheet5!W37)</f>
        <v>990835</v>
      </c>
      <c r="E46">
        <f>IF(MONTH(Dashboard!$D$8)&lt;4,Sheet5!V37,Sheet5!U37)</f>
        <v>870443</v>
      </c>
      <c r="F46">
        <f>IF(MONTH(Dashboard!$D$8)&lt;4,Sheet5!J37,Sheet5!I37)</f>
        <v>580201</v>
      </c>
      <c r="G46">
        <f>IF(MONTH(Dashboard!$D$8)&lt;4,Sheet5!H37,Sheet5!G37)</f>
        <v>523846</v>
      </c>
    </row>
    <row r="47" spans="1:7" x14ac:dyDescent="0.35">
      <c r="A47" t="str">
        <f t="shared" si="11"/>
        <v>Primary Deficit</v>
      </c>
      <c r="B47">
        <f>IF(MONTH(Dashboard!$D$8)&lt;4,Sheet5!AB41,Sheet5!AA41)</f>
        <v>88134</v>
      </c>
      <c r="C47">
        <f>IF(MONTH(Dashboard!$D$8)&lt;4,Sheet5!Z41,Sheet5!Y41)</f>
        <v>697111</v>
      </c>
      <c r="D47">
        <f>IF(MONTH(Dashboard!$D$8)&lt;4,Sheet5!X41,Sheet5!W41)</f>
        <v>720545</v>
      </c>
      <c r="E47">
        <f>IF(MONTH(Dashboard!$D$8)&lt;4,Sheet5!V41,Sheet5!U41)</f>
        <v>706845</v>
      </c>
      <c r="F47">
        <f>IF(MONTH(Dashboard!$D$8)&lt;4,Sheet5!J41,Sheet5!I41)</f>
        <v>450372</v>
      </c>
      <c r="G47">
        <f>IF(MONTH(Dashboard!$D$8)&lt;4,Sheet5!H41,Sheet5!G41)</f>
        <v>292598</v>
      </c>
    </row>
    <row r="59" spans="1:7" x14ac:dyDescent="0.35">
      <c r="A59" t="s">
        <v>208</v>
      </c>
      <c r="B59">
        <f>Sheet5!S4</f>
        <v>19854096</v>
      </c>
      <c r="C59">
        <f>Sheet5!R4</f>
        <v>23597399</v>
      </c>
      <c r="D59">
        <f>Sheet5!Q4</f>
        <v>26949646</v>
      </c>
      <c r="E59">
        <f>Sheet5!P4</f>
        <v>29535667</v>
      </c>
      <c r="F59">
        <f>Sheet5!O6</f>
        <v>33068145</v>
      </c>
      <c r="G59">
        <f>Sheet5!O4</f>
        <v>35713886</v>
      </c>
    </row>
    <row r="60" spans="1:7" x14ac:dyDescent="0.35">
      <c r="A60" t="str">
        <f>A3</f>
        <v>Net Tax Revenue</v>
      </c>
      <c r="B60" s="7">
        <f t="shared" ref="B60:G63" si="12">B3/B$59</f>
        <v>4.8473574420109584E-2</v>
      </c>
      <c r="C60" s="7">
        <f t="shared" si="12"/>
        <v>6.2456417336503908E-2</v>
      </c>
      <c r="D60" s="7">
        <f t="shared" si="12"/>
        <v>5.7725878848278747E-2</v>
      </c>
      <c r="E60" s="7">
        <f t="shared" si="12"/>
        <v>5.8570913600833864E-2</v>
      </c>
      <c r="F60" s="7">
        <f t="shared" si="12"/>
        <v>5.5734998137936073E-2</v>
      </c>
      <c r="G60" s="7">
        <f t="shared" si="12"/>
        <v>5.4299719722463134E-2</v>
      </c>
    </row>
    <row r="61" spans="1:7" x14ac:dyDescent="0.35">
      <c r="A61" t="str">
        <f>A4</f>
        <v>Non Tax Revenue</v>
      </c>
      <c r="B61" s="7">
        <f t="shared" si="12"/>
        <v>6.3554140163319447E-3</v>
      </c>
      <c r="C61" s="7">
        <f t="shared" si="12"/>
        <v>1.099333023948953E-2</v>
      </c>
      <c r="D61" s="7">
        <f t="shared" si="12"/>
        <v>7.9519411869083557E-3</v>
      </c>
      <c r="E61" s="7">
        <f t="shared" si="12"/>
        <v>1.0575620316954413E-2</v>
      </c>
      <c r="F61" s="7">
        <f t="shared" si="12"/>
        <v>1.3537408887011956E-2</v>
      </c>
      <c r="G61" s="7">
        <f t="shared" si="12"/>
        <v>1.5116109179493936E-2</v>
      </c>
    </row>
    <row r="62" spans="1:7" x14ac:dyDescent="0.35">
      <c r="A62" t="str">
        <f>A5</f>
        <v>Non Debt Capital Receipts</v>
      </c>
      <c r="B62" s="7">
        <f t="shared" si="12"/>
        <v>1.6670615474005969E-3</v>
      </c>
      <c r="C62" s="7">
        <f t="shared" si="12"/>
        <v>1.2064465240427557E-3</v>
      </c>
      <c r="D62" s="7">
        <f t="shared" si="12"/>
        <v>2.0447763952075658E-3</v>
      </c>
      <c r="E62" s="7">
        <f t="shared" si="12"/>
        <v>1.0038710146616969E-3</v>
      </c>
      <c r="F62" s="7">
        <f t="shared" si="12"/>
        <v>8.2541672658082267E-4</v>
      </c>
      <c r="G62" s="7">
        <f t="shared" si="12"/>
        <v>1.2893304301861746E-3</v>
      </c>
    </row>
    <row r="63" spans="1:7" x14ac:dyDescent="0.35">
      <c r="A63" t="str">
        <f>A6</f>
        <v>Total Receipts</v>
      </c>
      <c r="B63" s="7">
        <f t="shared" si="12"/>
        <v>5.6496049983842125E-2</v>
      </c>
      <c r="C63" s="7">
        <f t="shared" si="12"/>
        <v>7.4656194100036197E-2</v>
      </c>
      <c r="D63" s="7">
        <f t="shared" si="12"/>
        <v>6.7722596430394674E-2</v>
      </c>
      <c r="E63" s="7">
        <f t="shared" si="12"/>
        <v>7.0150404932449978E-2</v>
      </c>
      <c r="F63" s="7">
        <f t="shared" si="12"/>
        <v>7.0097823751528857E-2</v>
      </c>
      <c r="G63" s="7">
        <f t="shared" si="12"/>
        <v>7.0705159332143247E-2</v>
      </c>
    </row>
    <row r="75" spans="1:7" x14ac:dyDescent="0.35">
      <c r="B75" t="str">
        <f t="shared" ref="B75:G75" si="13">I2</f>
        <v>2020-21</v>
      </c>
      <c r="C75" t="str">
        <f t="shared" si="13"/>
        <v>2021-22</v>
      </c>
      <c r="D75" t="str">
        <f t="shared" si="13"/>
        <v>2022-23</v>
      </c>
      <c r="E75" t="str">
        <f t="shared" si="13"/>
        <v>2023-24</v>
      </c>
      <c r="F75" t="str">
        <f t="shared" si="13"/>
        <v>2024-25</v>
      </c>
      <c r="G75" t="str">
        <f t="shared" si="13"/>
        <v>2025-26</v>
      </c>
    </row>
    <row r="76" spans="1:7" x14ac:dyDescent="0.35">
      <c r="A76" t="str">
        <f>A3</f>
        <v>Net Tax Revenue</v>
      </c>
      <c r="B76">
        <f t="shared" ref="B76:G78" si="14">IF($H3=TRUE,B3,0)</f>
        <v>962399</v>
      </c>
      <c r="C76">
        <f t="shared" si="14"/>
        <v>1473809</v>
      </c>
      <c r="D76">
        <f t="shared" si="14"/>
        <v>1555692</v>
      </c>
      <c r="E76">
        <f t="shared" si="14"/>
        <v>1729931</v>
      </c>
      <c r="F76">
        <f t="shared" si="14"/>
        <v>1843053</v>
      </c>
      <c r="G76">
        <f t="shared" si="14"/>
        <v>1939254</v>
      </c>
    </row>
    <row r="77" spans="1:7" x14ac:dyDescent="0.35">
      <c r="A77" t="str">
        <f>A4</f>
        <v>Non Tax Revenue</v>
      </c>
      <c r="B77">
        <f t="shared" si="14"/>
        <v>126181</v>
      </c>
      <c r="C77">
        <f t="shared" si="14"/>
        <v>259414</v>
      </c>
      <c r="D77">
        <f t="shared" si="14"/>
        <v>214302</v>
      </c>
      <c r="E77">
        <f t="shared" si="14"/>
        <v>312358</v>
      </c>
      <c r="F77">
        <f t="shared" si="14"/>
        <v>447657</v>
      </c>
      <c r="G77">
        <f t="shared" si="14"/>
        <v>539855</v>
      </c>
    </row>
    <row r="78" spans="1:7" x14ac:dyDescent="0.35">
      <c r="A78" t="str">
        <f>A5</f>
        <v>Non Debt Capital Receipts</v>
      </c>
      <c r="B78">
        <f t="shared" si="14"/>
        <v>33098</v>
      </c>
      <c r="C78">
        <f t="shared" si="14"/>
        <v>28469</v>
      </c>
      <c r="D78">
        <f t="shared" si="14"/>
        <v>55106</v>
      </c>
      <c r="E78">
        <f t="shared" si="14"/>
        <v>29650</v>
      </c>
      <c r="F78">
        <f t="shared" si="14"/>
        <v>27295</v>
      </c>
      <c r="G78">
        <f t="shared" si="14"/>
        <v>46047</v>
      </c>
    </row>
    <row r="79" spans="1:7" x14ac:dyDescent="0.35">
      <c r="B79">
        <f>SUM(B76:B78)</f>
        <v>1121678</v>
      </c>
      <c r="C79">
        <f t="shared" ref="C79:G79" si="15">SUM(C76:C78)</f>
        <v>1761692</v>
      </c>
      <c r="D79">
        <f t="shared" si="15"/>
        <v>1825100</v>
      </c>
      <c r="E79">
        <f t="shared" si="15"/>
        <v>2071939</v>
      </c>
      <c r="F79">
        <f t="shared" si="15"/>
        <v>2318005</v>
      </c>
      <c r="G79">
        <f t="shared" si="15"/>
        <v>2525156</v>
      </c>
    </row>
    <row r="81" spans="1:9" x14ac:dyDescent="0.35">
      <c r="A81" t="str">
        <f>A76</f>
        <v>Net Tax Revenue</v>
      </c>
      <c r="B81" s="11">
        <f>IF(B76=0," ",B76/B$6)</f>
        <v>0.85799935453846821</v>
      </c>
      <c r="C81" s="11">
        <f t="shared" ref="C81:G81" si="16">IF(C76=0," ",C76/C$6)</f>
        <v>0.83658721274774484</v>
      </c>
      <c r="D81" s="11">
        <f t="shared" si="16"/>
        <v>0.85238726645115337</v>
      </c>
      <c r="E81" s="11">
        <f t="shared" si="16"/>
        <v>0.83493336435097754</v>
      </c>
      <c r="F81" s="11">
        <f t="shared" si="16"/>
        <v>0.79510311668870426</v>
      </c>
      <c r="G81" s="11">
        <f t="shared" si="16"/>
        <v>0.76797393903584565</v>
      </c>
    </row>
    <row r="82" spans="1:9" x14ac:dyDescent="0.35">
      <c r="A82" t="str">
        <f>A77</f>
        <v>Non Tax Revenue</v>
      </c>
      <c r="B82" s="11">
        <f t="shared" ref="B82:G82" si="17">IF(B77=0," ",B77/B$6)</f>
        <v>0.1124930684207054</v>
      </c>
      <c r="C82" s="11">
        <f t="shared" si="17"/>
        <v>0.14725275473805863</v>
      </c>
      <c r="D82" s="11">
        <f t="shared" si="17"/>
        <v>0.11741931948934305</v>
      </c>
      <c r="E82" s="11">
        <f t="shared" si="17"/>
        <v>0.15075636879271059</v>
      </c>
      <c r="F82" s="11">
        <f t="shared" si="17"/>
        <v>0.19312167143729198</v>
      </c>
      <c r="G82" s="11">
        <f t="shared" si="17"/>
        <v>0.21379075193770206</v>
      </c>
    </row>
    <row r="83" spans="1:9" x14ac:dyDescent="0.35">
      <c r="A83" t="str">
        <f>A78</f>
        <v>Non Debt Capital Receipts</v>
      </c>
      <c r="B83" s="11">
        <f t="shared" ref="B83:G83" si="18">IF(B78=0," ",B78/B$6)</f>
        <v>2.9507577040826332E-2</v>
      </c>
      <c r="C83" s="11">
        <f t="shared" si="18"/>
        <v>1.6160032514196579E-2</v>
      </c>
      <c r="D83" s="11">
        <f t="shared" si="18"/>
        <v>3.0193414059503588E-2</v>
      </c>
      <c r="E83" s="11">
        <f t="shared" si="18"/>
        <v>1.431026685631189E-2</v>
      </c>
      <c r="F83" s="11">
        <f t="shared" si="18"/>
        <v>1.1775211874003723E-2</v>
      </c>
      <c r="G83" s="11">
        <f t="shared" si="18"/>
        <v>1.8235309026452227E-2</v>
      </c>
    </row>
    <row r="86" spans="1:9" x14ac:dyDescent="0.35">
      <c r="B86" s="11" t="str">
        <f>B75</f>
        <v>2020-21</v>
      </c>
      <c r="C86" s="11" t="str">
        <f t="shared" ref="C86:G86" si="19">C75</f>
        <v>2021-22</v>
      </c>
      <c r="D86" s="11" t="str">
        <f t="shared" si="19"/>
        <v>2022-23</v>
      </c>
      <c r="E86" s="11" t="str">
        <f t="shared" si="19"/>
        <v>2023-24</v>
      </c>
      <c r="F86" s="11" t="str">
        <f t="shared" si="19"/>
        <v>2024-25</v>
      </c>
      <c r="G86" s="11" t="str">
        <f t="shared" si="19"/>
        <v>2025-26</v>
      </c>
    </row>
    <row r="87" spans="1:9" x14ac:dyDescent="0.35">
      <c r="A87" t="str">
        <f>A8</f>
        <v>Dev to States &amp; NCCD</v>
      </c>
      <c r="B87">
        <f t="shared" ref="B87:G88" si="20">IF($H8=TRUE,B8," ")</f>
        <v>375727</v>
      </c>
      <c r="C87">
        <f t="shared" si="20"/>
        <v>455186</v>
      </c>
      <c r="D87">
        <f t="shared" si="20"/>
        <v>615006</v>
      </c>
      <c r="E87">
        <f t="shared" si="20"/>
        <v>752568</v>
      </c>
      <c r="F87">
        <f t="shared" si="20"/>
        <v>907375</v>
      </c>
      <c r="G87">
        <f t="shared" si="20"/>
        <v>1045013</v>
      </c>
      <c r="H87">
        <f>IF(H8=TRUE,1,0)</f>
        <v>1</v>
      </c>
    </row>
    <row r="88" spans="1:9" x14ac:dyDescent="0.35">
      <c r="A88" t="str">
        <f>A9</f>
        <v>Net Tax Revenue</v>
      </c>
      <c r="B88">
        <f t="shared" si="20"/>
        <v>962399</v>
      </c>
      <c r="C88">
        <f t="shared" si="20"/>
        <v>1473809</v>
      </c>
      <c r="D88">
        <f t="shared" si="20"/>
        <v>1555692</v>
      </c>
      <c r="E88">
        <f t="shared" si="20"/>
        <v>1729931</v>
      </c>
      <c r="F88">
        <f t="shared" si="20"/>
        <v>1843053</v>
      </c>
      <c r="G88">
        <f t="shared" si="20"/>
        <v>1939254</v>
      </c>
      <c r="H88">
        <f>IF(H9=TRUE,2,0)</f>
        <v>2</v>
      </c>
    </row>
    <row r="89" spans="1:9" x14ac:dyDescent="0.35">
      <c r="A89" t="s">
        <v>67</v>
      </c>
      <c r="B89">
        <f>IF($H$89=3,SUM(B87:B88)," ")</f>
        <v>1338126</v>
      </c>
      <c r="C89">
        <f t="shared" ref="C89:G89" si="21">IF($H$89=3,SUM(C87:C88)," ")</f>
        <v>1928995</v>
      </c>
      <c r="D89">
        <f t="shared" si="21"/>
        <v>2170698</v>
      </c>
      <c r="E89">
        <f t="shared" si="21"/>
        <v>2482499</v>
      </c>
      <c r="F89">
        <f t="shared" si="21"/>
        <v>2750428</v>
      </c>
      <c r="G89">
        <f t="shared" si="21"/>
        <v>2984267</v>
      </c>
      <c r="H89">
        <f>SUM(H87:H88)</f>
        <v>3</v>
      </c>
      <c r="I89" t="str">
        <f>IF(H89=1,"Devolution to States &amp; Transfer to NCCD",IF(H89=2,"Net Tax Revenue",IF(H89=3,"Gross Tax Revenue"," " )))</f>
        <v>Gross Tax Revenue</v>
      </c>
    </row>
    <row r="91" spans="1:9" x14ac:dyDescent="0.35">
      <c r="B91" s="12" t="str">
        <f>B86</f>
        <v>2020-21</v>
      </c>
      <c r="C91" s="12" t="str">
        <f t="shared" ref="C91:G91" si="22">C86</f>
        <v>2021-22</v>
      </c>
      <c r="D91" s="12" t="str">
        <f t="shared" si="22"/>
        <v>2022-23</v>
      </c>
      <c r="E91" s="12" t="str">
        <f t="shared" si="22"/>
        <v>2023-24</v>
      </c>
      <c r="F91" s="12" t="str">
        <f t="shared" si="22"/>
        <v>2024-25</v>
      </c>
      <c r="G91" s="12" t="str">
        <f t="shared" si="22"/>
        <v>2025-26</v>
      </c>
    </row>
    <row r="92" spans="1:9" x14ac:dyDescent="0.35">
      <c r="A92" t="str">
        <f>A11</f>
        <v>Interest receipts</v>
      </c>
      <c r="B92">
        <f t="shared" ref="B92:G94" si="23">IF($H11=TRUE,B11," ")</f>
        <v>11267</v>
      </c>
      <c r="C92">
        <f t="shared" si="23"/>
        <v>16055</v>
      </c>
      <c r="D92">
        <f t="shared" si="23"/>
        <v>18870</v>
      </c>
      <c r="E92">
        <f t="shared" si="23"/>
        <v>26959</v>
      </c>
      <c r="F92">
        <f t="shared" si="23"/>
        <v>29903</v>
      </c>
      <c r="G92">
        <f t="shared" si="23"/>
        <v>27976</v>
      </c>
      <c r="H92">
        <f>IF(H11=TRUE,1,0)</f>
        <v>1</v>
      </c>
    </row>
    <row r="93" spans="1:9" x14ac:dyDescent="0.35">
      <c r="A93" t="str">
        <f>A12</f>
        <v>Dividends and Profits</v>
      </c>
      <c r="B93">
        <f t="shared" si="23"/>
        <v>70848</v>
      </c>
      <c r="C93">
        <f t="shared" si="23"/>
        <v>137068</v>
      </c>
      <c r="D93">
        <f t="shared" si="23"/>
        <v>76362</v>
      </c>
      <c r="E93">
        <f t="shared" si="23"/>
        <v>147232</v>
      </c>
      <c r="F93">
        <f t="shared" si="23"/>
        <v>284772</v>
      </c>
      <c r="G93">
        <f t="shared" si="23"/>
        <v>350269</v>
      </c>
      <c r="H93">
        <f>IF(H12=TRUE,2,0)</f>
        <v>2</v>
      </c>
    </row>
    <row r="94" spans="1:9" x14ac:dyDescent="0.35">
      <c r="A94" t="str">
        <f>A13</f>
        <v>Other Non Tax Receipts</v>
      </c>
      <c r="B94">
        <f t="shared" si="23"/>
        <v>44066</v>
      </c>
      <c r="C94">
        <f t="shared" si="23"/>
        <v>106291</v>
      </c>
      <c r="D94">
        <f t="shared" si="23"/>
        <v>119070</v>
      </c>
      <c r="E94">
        <f t="shared" si="23"/>
        <v>138167</v>
      </c>
      <c r="F94">
        <f t="shared" si="23"/>
        <v>132982</v>
      </c>
      <c r="G94">
        <f t="shared" si="23"/>
        <v>161610</v>
      </c>
      <c r="H94">
        <f>IF(H13=TRUE,4,0)</f>
        <v>4</v>
      </c>
    </row>
    <row r="95" spans="1:9" x14ac:dyDescent="0.35">
      <c r="A95" t="s">
        <v>210</v>
      </c>
      <c r="B95">
        <f>SUM(B92:B94)</f>
        <v>126181</v>
      </c>
      <c r="C95">
        <f t="shared" ref="C95:G95" si="24">SUM(C92:C94)</f>
        <v>259414</v>
      </c>
      <c r="D95">
        <f t="shared" si="24"/>
        <v>214302</v>
      </c>
      <c r="E95">
        <f t="shared" si="24"/>
        <v>312358</v>
      </c>
      <c r="F95">
        <f t="shared" si="24"/>
        <v>447657</v>
      </c>
      <c r="G95">
        <f t="shared" si="24"/>
        <v>539855</v>
      </c>
      <c r="H95">
        <f>SUM(H92:H94)</f>
        <v>7</v>
      </c>
      <c r="I95" t="str">
        <f>IF(H95=1,"Interest Receipts",IF(H95=2,"Dividends and Profits",IF(H95=4,"Other Non Tax Receipts",IF(H95=7,"Total Non Tax Revenue"," "))))</f>
        <v>Total Non Tax Revenue</v>
      </c>
    </row>
    <row r="97" spans="1:9" x14ac:dyDescent="0.35">
      <c r="B97" s="12" t="str">
        <f>B91</f>
        <v>2020-21</v>
      </c>
      <c r="C97" s="12" t="str">
        <f t="shared" ref="C97:G97" si="25">C91</f>
        <v>2021-22</v>
      </c>
      <c r="D97" s="12" t="str">
        <f t="shared" si="25"/>
        <v>2022-23</v>
      </c>
      <c r="E97" s="12" t="str">
        <f t="shared" si="25"/>
        <v>2023-24</v>
      </c>
      <c r="F97" s="12" t="str">
        <f t="shared" si="25"/>
        <v>2024-25</v>
      </c>
      <c r="G97" s="12" t="str">
        <f t="shared" si="25"/>
        <v>2025-26</v>
      </c>
    </row>
    <row r="98" spans="1:9" x14ac:dyDescent="0.35">
      <c r="A98" t="str">
        <f>A15</f>
        <v>Recovery of Loans &amp; Advances</v>
      </c>
      <c r="B98">
        <f t="shared" ref="B98:G99" si="26">IF($H15=TRUE,B15," ")</f>
        <v>14202</v>
      </c>
      <c r="C98">
        <f t="shared" si="26"/>
        <v>19105</v>
      </c>
      <c r="D98">
        <f t="shared" si="26"/>
        <v>16435</v>
      </c>
      <c r="E98">
        <f t="shared" si="26"/>
        <v>19597</v>
      </c>
      <c r="F98">
        <f t="shared" si="26"/>
        <v>18301</v>
      </c>
      <c r="G98">
        <f t="shared" si="26"/>
        <v>18226</v>
      </c>
      <c r="H98">
        <f>IF(H15=TRUE,1,0)</f>
        <v>1</v>
      </c>
    </row>
    <row r="99" spans="1:9" x14ac:dyDescent="0.35">
      <c r="A99" t="str">
        <f>A16</f>
        <v>Misc. Capital Receipts</v>
      </c>
      <c r="B99">
        <f t="shared" si="26"/>
        <v>18896</v>
      </c>
      <c r="C99">
        <f t="shared" si="26"/>
        <v>9364</v>
      </c>
      <c r="D99">
        <f t="shared" si="26"/>
        <v>38671</v>
      </c>
      <c r="E99">
        <f t="shared" si="26"/>
        <v>10053</v>
      </c>
      <c r="F99">
        <f t="shared" si="26"/>
        <v>8994</v>
      </c>
      <c r="G99">
        <f t="shared" si="26"/>
        <v>27821</v>
      </c>
      <c r="H99">
        <f>IF(H16=TRUE,2,0)</f>
        <v>2</v>
      </c>
    </row>
    <row r="100" spans="1:9" x14ac:dyDescent="0.35">
      <c r="A100" t="s">
        <v>70</v>
      </c>
      <c r="B100">
        <f>SUM(B98:B99)</f>
        <v>33098</v>
      </c>
      <c r="C100">
        <f t="shared" ref="C100:G100" si="27">SUM(C98:C99)</f>
        <v>28469</v>
      </c>
      <c r="D100">
        <f t="shared" si="27"/>
        <v>55106</v>
      </c>
      <c r="E100">
        <f t="shared" si="27"/>
        <v>29650</v>
      </c>
      <c r="F100">
        <f t="shared" si="27"/>
        <v>27295</v>
      </c>
      <c r="G100">
        <f t="shared" si="27"/>
        <v>46047</v>
      </c>
      <c r="H100">
        <f>SUM(H98:H99)</f>
        <v>3</v>
      </c>
      <c r="I100" t="str">
        <f>IF(H100=1,"Rec. of Loans &amp; Advances",IF(H100=2,"Misc. Capital Receipts",IF(H100=3,"Non Debt Capital Receipts"," " )))</f>
        <v>Non Debt Capital Receipts</v>
      </c>
    </row>
    <row r="102" spans="1:9" x14ac:dyDescent="0.35">
      <c r="B102" s="12" t="str">
        <f>B97</f>
        <v>2020-21</v>
      </c>
      <c r="C102" s="12" t="str">
        <f t="shared" ref="C102:G102" si="28">C97</f>
        <v>2021-22</v>
      </c>
      <c r="D102" s="12" t="str">
        <f t="shared" si="28"/>
        <v>2022-23</v>
      </c>
      <c r="E102" s="12" t="str">
        <f t="shared" si="28"/>
        <v>2023-24</v>
      </c>
      <c r="F102" s="12" t="str">
        <f t="shared" si="28"/>
        <v>2024-25</v>
      </c>
      <c r="G102" s="12" t="str">
        <f t="shared" si="28"/>
        <v>2025-26</v>
      </c>
    </row>
    <row r="103" spans="1:9" x14ac:dyDescent="0.35">
      <c r="A103" t="str">
        <f>A18</f>
        <v>Revenue Expenditure</v>
      </c>
      <c r="B103">
        <f t="shared" ref="B103:G104" si="29">IF($H18=TRUE,B18," ")</f>
        <v>1971173</v>
      </c>
      <c r="C103">
        <f t="shared" si="29"/>
        <v>2129414</v>
      </c>
      <c r="D103">
        <f t="shared" si="29"/>
        <v>2328132</v>
      </c>
      <c r="E103">
        <f t="shared" si="29"/>
        <v>2380587</v>
      </c>
      <c r="F103">
        <f t="shared" si="29"/>
        <v>2546757</v>
      </c>
      <c r="G103">
        <f t="shared" si="29"/>
        <v>2593063</v>
      </c>
      <c r="H103">
        <f>IF(H18=TRUE,1,0)</f>
        <v>1</v>
      </c>
    </row>
    <row r="104" spans="1:9" x14ac:dyDescent="0.35">
      <c r="A104" t="str">
        <f>A19</f>
        <v>Capital Expenditure</v>
      </c>
      <c r="B104">
        <f t="shared" si="29"/>
        <v>308974</v>
      </c>
      <c r="C104">
        <f t="shared" si="29"/>
        <v>391644</v>
      </c>
      <c r="D104">
        <f t="shared" si="29"/>
        <v>489944</v>
      </c>
      <c r="E104">
        <f t="shared" si="29"/>
        <v>673630</v>
      </c>
      <c r="F104">
        <f t="shared" si="29"/>
        <v>685337</v>
      </c>
      <c r="G104">
        <f t="shared" si="29"/>
        <v>787935</v>
      </c>
      <c r="H104">
        <f>IF(H19=TRUE,2,0)</f>
        <v>2</v>
      </c>
    </row>
    <row r="105" spans="1:9" x14ac:dyDescent="0.35">
      <c r="A105" t="s">
        <v>73</v>
      </c>
      <c r="B105">
        <f>SUM(B103:B104)</f>
        <v>2280147</v>
      </c>
      <c r="C105">
        <f t="shared" ref="C105:G105" si="30">SUM(C103:C104)</f>
        <v>2521058</v>
      </c>
      <c r="D105">
        <f t="shared" si="30"/>
        <v>2818076</v>
      </c>
      <c r="E105">
        <f t="shared" si="30"/>
        <v>3054217</v>
      </c>
      <c r="F105">
        <f t="shared" si="30"/>
        <v>3232094</v>
      </c>
      <c r="G105">
        <f t="shared" si="30"/>
        <v>3380998</v>
      </c>
      <c r="H105">
        <f>SUM(H103:H104)</f>
        <v>3</v>
      </c>
      <c r="I105" t="str">
        <f>IF(H105=1,"Revenue Expenditure",IF(H105=2,"Capital Expenditure",IF(H105=3,"Total Expenditure"," " )))</f>
        <v>Total Expenditure</v>
      </c>
    </row>
    <row r="108" spans="1:9" x14ac:dyDescent="0.35">
      <c r="A108" t="s">
        <v>205</v>
      </c>
      <c r="B108" s="12" t="str">
        <f>B102</f>
        <v>2020-21</v>
      </c>
      <c r="C108" s="12" t="str">
        <f t="shared" ref="C108:G108" si="31">C102</f>
        <v>2021-22</v>
      </c>
      <c r="D108" s="12" t="str">
        <f t="shared" si="31"/>
        <v>2022-23</v>
      </c>
      <c r="E108" s="12" t="str">
        <f t="shared" si="31"/>
        <v>2023-24</v>
      </c>
      <c r="F108" s="12" t="str">
        <f t="shared" si="31"/>
        <v>2024-25</v>
      </c>
      <c r="G108" s="12" t="str">
        <f t="shared" si="31"/>
        <v>2025-26</v>
      </c>
    </row>
    <row r="109" spans="1:9" x14ac:dyDescent="0.35">
      <c r="A109" t="str">
        <f>A103</f>
        <v>Revenue Expenditure</v>
      </c>
      <c r="B109" s="7">
        <f>IF($H$103=1,B103/B$59," ")</f>
        <v>9.9282938895832881E-2</v>
      </c>
      <c r="C109" s="7">
        <f t="shared" ref="C109:G109" si="32">IF($H$103=1,C103/C$59," ")</f>
        <v>9.0239352226912803E-2</v>
      </c>
      <c r="D109" s="7">
        <f t="shared" si="32"/>
        <v>8.6388221945475643E-2</v>
      </c>
      <c r="E109" s="7">
        <f t="shared" si="32"/>
        <v>8.0600414407434914E-2</v>
      </c>
      <c r="F109" s="7">
        <f t="shared" si="32"/>
        <v>7.7015417707887751E-2</v>
      </c>
      <c r="G109" s="7">
        <f t="shared" si="32"/>
        <v>7.2606576612805451E-2</v>
      </c>
    </row>
    <row r="110" spans="1:9" x14ac:dyDescent="0.35">
      <c r="A110" t="str">
        <f t="shared" ref="A110:A111" si="33">A104</f>
        <v>Capital Expenditure</v>
      </c>
      <c r="B110" s="7">
        <f>IF($H$104=2,B104/B$59," ")</f>
        <v>1.5562229577211675E-2</v>
      </c>
      <c r="C110" s="7">
        <f t="shared" ref="C110:G110" si="34">IF($H$104=2,C104/C$59," ")</f>
        <v>1.659691392258952E-2</v>
      </c>
      <c r="D110" s="7">
        <f t="shared" si="34"/>
        <v>1.8179979061691571E-2</v>
      </c>
      <c r="E110" s="7">
        <f t="shared" si="34"/>
        <v>2.2807340020457301E-2</v>
      </c>
      <c r="F110" s="7">
        <f t="shared" si="34"/>
        <v>2.0724990772841959E-2</v>
      </c>
      <c r="G110" s="7">
        <f t="shared" si="34"/>
        <v>2.2062426922682118E-2</v>
      </c>
    </row>
    <row r="111" spans="1:9" x14ac:dyDescent="0.35">
      <c r="A111" t="str">
        <f t="shared" si="33"/>
        <v>Total Expenditure</v>
      </c>
      <c r="B111" s="7">
        <f>IF($H$105=3,B105/B$59," ")</f>
        <v>0.11484516847304456</v>
      </c>
      <c r="C111" s="7">
        <f t="shared" ref="C111:G111" si="35">IF($H$105=3,C105/C$59," ")</f>
        <v>0.10683626614950233</v>
      </c>
      <c r="D111" s="7">
        <f t="shared" si="35"/>
        <v>0.10456820100716722</v>
      </c>
      <c r="E111" s="7">
        <f t="shared" si="35"/>
        <v>0.10340775442789221</v>
      </c>
      <c r="F111" s="7">
        <f t="shared" si="35"/>
        <v>9.7740408480729721E-2</v>
      </c>
      <c r="G111" s="7">
        <f t="shared" si="35"/>
        <v>9.4669003535487573E-2</v>
      </c>
    </row>
    <row r="112" spans="1:9" x14ac:dyDescent="0.35">
      <c r="B112" s="7"/>
    </row>
    <row r="113" spans="1:7" x14ac:dyDescent="0.35">
      <c r="A113" t="s">
        <v>97</v>
      </c>
      <c r="C113" s="12" t="str">
        <f>C102</f>
        <v>2021-22</v>
      </c>
      <c r="D113" s="12" t="str">
        <f t="shared" ref="D113:G113" si="36">D102</f>
        <v>2022-23</v>
      </c>
      <c r="E113" s="12" t="str">
        <f t="shared" si="36"/>
        <v>2023-24</v>
      </c>
      <c r="F113" s="12" t="str">
        <f t="shared" si="36"/>
        <v>2024-25</v>
      </c>
      <c r="G113" s="12" t="str">
        <f t="shared" si="36"/>
        <v>2025-26</v>
      </c>
    </row>
    <row r="114" spans="1:7" x14ac:dyDescent="0.35">
      <c r="A114" t="str">
        <f>A109</f>
        <v>Revenue Expenditure</v>
      </c>
      <c r="C114" s="7">
        <f>C103/B103-1</f>
        <v>8.0277580912482049E-2</v>
      </c>
      <c r="D114" s="7">
        <f t="shared" ref="D114:G114" si="37">D103/C103-1</f>
        <v>9.3320509774050597E-2</v>
      </c>
      <c r="E114" s="7">
        <f t="shared" si="37"/>
        <v>2.2530938967378233E-2</v>
      </c>
      <c r="F114" s="7">
        <f t="shared" si="37"/>
        <v>6.9802111832081737E-2</v>
      </c>
      <c r="G114" s="7">
        <f t="shared" si="37"/>
        <v>1.8182339343722154E-2</v>
      </c>
    </row>
    <row r="115" spans="1:7" x14ac:dyDescent="0.35">
      <c r="A115" t="str">
        <f t="shared" ref="A115:A116" si="38">A110</f>
        <v>Capital Expenditure</v>
      </c>
      <c r="C115" s="7">
        <f t="shared" ref="C115:G115" si="39">C104/B104-1</f>
        <v>0.26756296646319755</v>
      </c>
      <c r="D115" s="7">
        <f t="shared" si="39"/>
        <v>0.25099324897100428</v>
      </c>
      <c r="E115" s="7">
        <f t="shared" si="39"/>
        <v>0.37491223486765834</v>
      </c>
      <c r="F115" s="7">
        <f t="shared" si="39"/>
        <v>1.7378976589522477E-2</v>
      </c>
      <c r="G115" s="7">
        <f t="shared" si="39"/>
        <v>0.14970445197034454</v>
      </c>
    </row>
    <row r="116" spans="1:7" x14ac:dyDescent="0.35">
      <c r="A116" t="str">
        <f t="shared" si="38"/>
        <v>Total Expenditure</v>
      </c>
      <c r="C116" s="7">
        <f t="shared" ref="C116:G116" si="40">C105/B105-1</f>
        <v>0.10565590727264507</v>
      </c>
      <c r="D116" s="7">
        <f t="shared" si="40"/>
        <v>0.11781482218973149</v>
      </c>
      <c r="E116" s="7">
        <f t="shared" si="40"/>
        <v>8.3795114113317082E-2</v>
      </c>
      <c r="F116" s="7">
        <f t="shared" si="40"/>
        <v>5.8239804178943366E-2</v>
      </c>
      <c r="G116" s="7">
        <f t="shared" si="40"/>
        <v>4.6070442258176802E-2</v>
      </c>
    </row>
    <row r="119" spans="1:7" x14ac:dyDescent="0.35">
      <c r="B119" s="12" t="str">
        <f>B102</f>
        <v>2020-21</v>
      </c>
      <c r="C119" s="12" t="str">
        <f t="shared" ref="C119:G119" si="41">C102</f>
        <v>2021-22</v>
      </c>
      <c r="D119" s="12" t="str">
        <f t="shared" si="41"/>
        <v>2022-23</v>
      </c>
      <c r="E119" s="12" t="str">
        <f t="shared" si="41"/>
        <v>2023-24</v>
      </c>
      <c r="F119" s="12" t="str">
        <f t="shared" si="41"/>
        <v>2024-25</v>
      </c>
      <c r="G119" s="12" t="str">
        <f t="shared" si="41"/>
        <v>2025-26</v>
      </c>
    </row>
    <row r="120" spans="1:7" x14ac:dyDescent="0.35">
      <c r="A120" t="str">
        <f>A103</f>
        <v>Revenue Expenditure</v>
      </c>
      <c r="B120">
        <f t="shared" ref="B120:G120" si="42">B103</f>
        <v>1971173</v>
      </c>
      <c r="C120">
        <f t="shared" si="42"/>
        <v>2129414</v>
      </c>
      <c r="D120">
        <f t="shared" si="42"/>
        <v>2328132</v>
      </c>
      <c r="E120">
        <f t="shared" si="42"/>
        <v>2380587</v>
      </c>
      <c r="F120">
        <f t="shared" si="42"/>
        <v>2546757</v>
      </c>
      <c r="G120">
        <f t="shared" si="42"/>
        <v>2593063</v>
      </c>
    </row>
    <row r="121" spans="1:7" x14ac:dyDescent="0.35">
      <c r="A121" t="str">
        <f>A104</f>
        <v>Capital Expenditure</v>
      </c>
      <c r="B121">
        <f t="shared" ref="B121:G121" si="43">B104</f>
        <v>308974</v>
      </c>
      <c r="C121">
        <f t="shared" si="43"/>
        <v>391644</v>
      </c>
      <c r="D121">
        <f t="shared" si="43"/>
        <v>489944</v>
      </c>
      <c r="E121">
        <f t="shared" si="43"/>
        <v>673630</v>
      </c>
      <c r="F121">
        <f t="shared" si="43"/>
        <v>685337</v>
      </c>
      <c r="G121">
        <f t="shared" si="43"/>
        <v>787935</v>
      </c>
    </row>
    <row r="122" spans="1:7" x14ac:dyDescent="0.35">
      <c r="A122" t="str">
        <f>A105</f>
        <v>Total Expenditure</v>
      </c>
      <c r="B122">
        <f t="shared" ref="B122:G122" si="44">B105</f>
        <v>2280147</v>
      </c>
      <c r="C122">
        <f t="shared" si="44"/>
        <v>2521058</v>
      </c>
      <c r="D122">
        <f t="shared" si="44"/>
        <v>2818076</v>
      </c>
      <c r="E122">
        <f t="shared" si="44"/>
        <v>3054217</v>
      </c>
      <c r="F122">
        <f t="shared" si="44"/>
        <v>3232094</v>
      </c>
      <c r="G122">
        <f t="shared" si="44"/>
        <v>3380998</v>
      </c>
    </row>
    <row r="123" spans="1:7" x14ac:dyDescent="0.35">
      <c r="A123" t="str">
        <f>A20</f>
        <v>BE</v>
      </c>
      <c r="B123">
        <f>SUM(B124:B125)</f>
        <v>3042230</v>
      </c>
      <c r="C123">
        <f t="shared" ref="C123:G123" si="45">SUM(C124:C125)</f>
        <v>3483236</v>
      </c>
      <c r="D123">
        <f t="shared" si="45"/>
        <v>3944909</v>
      </c>
      <c r="E123">
        <f t="shared" si="45"/>
        <v>4503097</v>
      </c>
      <c r="F123">
        <f t="shared" si="45"/>
        <v>4820512</v>
      </c>
      <c r="G123">
        <f t="shared" si="45"/>
        <v>5065345</v>
      </c>
    </row>
    <row r="124" spans="1:7" x14ac:dyDescent="0.35">
      <c r="A124" t="str">
        <f>A21</f>
        <v>BE</v>
      </c>
      <c r="B124">
        <f t="shared" ref="B124:G125" si="46">IF($H18=TRUE,B21," ")</f>
        <v>2630221</v>
      </c>
      <c r="C124">
        <f t="shared" si="46"/>
        <v>2929128</v>
      </c>
      <c r="D124">
        <f t="shared" si="46"/>
        <v>3195257</v>
      </c>
      <c r="E124">
        <f t="shared" si="46"/>
        <v>3502724</v>
      </c>
      <c r="F124">
        <f t="shared" si="46"/>
        <v>3709401</v>
      </c>
      <c r="G124">
        <f t="shared" si="46"/>
        <v>3944255</v>
      </c>
    </row>
    <row r="125" spans="1:7" x14ac:dyDescent="0.35">
      <c r="A125" t="str">
        <f>A22</f>
        <v>BE</v>
      </c>
      <c r="B125">
        <f t="shared" si="46"/>
        <v>412009</v>
      </c>
      <c r="C125">
        <f t="shared" si="46"/>
        <v>554108</v>
      </c>
      <c r="D125">
        <f t="shared" si="46"/>
        <v>749652</v>
      </c>
      <c r="E125">
        <f t="shared" si="46"/>
        <v>1000373</v>
      </c>
      <c r="F125">
        <f t="shared" si="46"/>
        <v>1111111</v>
      </c>
      <c r="G125">
        <f t="shared" si="46"/>
        <v>1121090</v>
      </c>
    </row>
    <row r="128" spans="1:7" x14ac:dyDescent="0.35">
      <c r="B128" s="12" t="str">
        <f>B119</f>
        <v>2020-21</v>
      </c>
      <c r="C128" s="12" t="str">
        <f t="shared" ref="C128:G128" si="47">C119</f>
        <v>2021-22</v>
      </c>
      <c r="D128" s="12" t="str">
        <f t="shared" si="47"/>
        <v>2022-23</v>
      </c>
      <c r="E128" s="12" t="str">
        <f t="shared" si="47"/>
        <v>2023-24</v>
      </c>
      <c r="F128" s="12" t="str">
        <f t="shared" si="47"/>
        <v>2024-25</v>
      </c>
      <c r="G128" s="12" t="str">
        <f t="shared" si="47"/>
        <v>2025-26</v>
      </c>
    </row>
    <row r="129" spans="1:7" x14ac:dyDescent="0.35">
      <c r="A129" t="str">
        <f>A25</f>
        <v>Interest Payments</v>
      </c>
      <c r="B129">
        <f t="shared" ref="B129:G129" si="48">B25</f>
        <v>472171</v>
      </c>
      <c r="C129">
        <f t="shared" si="48"/>
        <v>565864</v>
      </c>
      <c r="D129">
        <f t="shared" si="48"/>
        <v>680853</v>
      </c>
      <c r="E129">
        <f t="shared" si="48"/>
        <v>748207</v>
      </c>
      <c r="F129">
        <f t="shared" si="48"/>
        <v>808313</v>
      </c>
      <c r="G129">
        <f t="shared" si="48"/>
        <v>911059</v>
      </c>
    </row>
    <row r="130" spans="1:7" x14ac:dyDescent="0.35">
      <c r="A130" t="str">
        <f t="shared" ref="A130:G130" si="49">A26</f>
        <v>Defence  Services</v>
      </c>
      <c r="B130">
        <f t="shared" si="49"/>
        <v>153857</v>
      </c>
      <c r="C130">
        <f t="shared" si="49"/>
        <v>179859</v>
      </c>
      <c r="D130">
        <f t="shared" si="49"/>
        <v>184962</v>
      </c>
      <c r="E130">
        <f t="shared" si="49"/>
        <v>215181</v>
      </c>
      <c r="F130">
        <f t="shared" si="49"/>
        <v>215520</v>
      </c>
      <c r="G130">
        <f t="shared" si="49"/>
        <v>233023</v>
      </c>
    </row>
    <row r="131" spans="1:7" x14ac:dyDescent="0.35">
      <c r="A131" t="str">
        <f t="shared" ref="A131:G131" si="50">A27</f>
        <v>Grants in Aid  to States &amp; UTs</v>
      </c>
      <c r="B131">
        <f t="shared" si="50"/>
        <v>439785</v>
      </c>
      <c r="C131">
        <f t="shared" si="50"/>
        <v>426909</v>
      </c>
      <c r="D131">
        <f t="shared" si="50"/>
        <v>387918</v>
      </c>
      <c r="E131">
        <f t="shared" si="50"/>
        <v>349946</v>
      </c>
      <c r="F131">
        <f t="shared" si="50"/>
        <v>348245</v>
      </c>
      <c r="G131">
        <f t="shared" si="50"/>
        <v>247273</v>
      </c>
    </row>
    <row r="132" spans="1:7" x14ac:dyDescent="0.35">
      <c r="A132" t="str">
        <f t="shared" ref="A132:G132" si="51">A28</f>
        <v>Pensions</v>
      </c>
      <c r="B132">
        <f t="shared" si="51"/>
        <v>159146</v>
      </c>
      <c r="C132">
        <f t="shared" si="51"/>
        <v>146150</v>
      </c>
      <c r="D132">
        <f t="shared" si="51"/>
        <v>168439</v>
      </c>
      <c r="E132">
        <f t="shared" si="51"/>
        <v>191905</v>
      </c>
      <c r="F132">
        <f t="shared" si="51"/>
        <v>215263</v>
      </c>
      <c r="G132">
        <f t="shared" si="51"/>
        <v>226030</v>
      </c>
    </row>
    <row r="133" spans="1:7" x14ac:dyDescent="0.35">
      <c r="A133" t="str">
        <f t="shared" ref="A133:G133" si="52">A29</f>
        <v>Major Subsidies</v>
      </c>
      <c r="B133">
        <f t="shared" si="52"/>
        <v>227352</v>
      </c>
      <c r="C133">
        <f t="shared" si="52"/>
        <v>271374</v>
      </c>
      <c r="D133">
        <f t="shared" si="52"/>
        <v>350524</v>
      </c>
      <c r="E133">
        <f t="shared" si="52"/>
        <v>276804</v>
      </c>
      <c r="F133">
        <f t="shared" si="52"/>
        <v>306994</v>
      </c>
      <c r="G133">
        <f t="shared" si="52"/>
        <v>317490</v>
      </c>
    </row>
    <row r="134" spans="1:7" x14ac:dyDescent="0.35">
      <c r="A134" t="str">
        <f t="shared" ref="A134:G134" si="53">A30</f>
        <v>Other Revenue Expenditure</v>
      </c>
      <c r="B134">
        <f t="shared" si="53"/>
        <v>518862</v>
      </c>
      <c r="C134">
        <f t="shared" si="53"/>
        <v>539258</v>
      </c>
      <c r="D134">
        <f t="shared" si="53"/>
        <v>555436</v>
      </c>
      <c r="E134">
        <f t="shared" si="53"/>
        <v>598544</v>
      </c>
      <c r="F134">
        <f t="shared" si="53"/>
        <v>652422</v>
      </c>
      <c r="G134">
        <f t="shared" si="53"/>
        <v>658188</v>
      </c>
    </row>
    <row r="135" spans="1:7" x14ac:dyDescent="0.35">
      <c r="A135" t="s">
        <v>213</v>
      </c>
      <c r="B135">
        <f>SUM(B129:B134)</f>
        <v>1971173</v>
      </c>
      <c r="C135">
        <f t="shared" ref="C135:G135" si="54">SUM(C129:C134)</f>
        <v>2129414</v>
      </c>
      <c r="D135">
        <f t="shared" si="54"/>
        <v>2328132</v>
      </c>
      <c r="E135">
        <f t="shared" si="54"/>
        <v>2380587</v>
      </c>
      <c r="F135">
        <f t="shared" si="54"/>
        <v>2546757</v>
      </c>
      <c r="G135">
        <f t="shared" si="54"/>
        <v>2593063</v>
      </c>
    </row>
    <row r="137" spans="1:7" x14ac:dyDescent="0.35">
      <c r="B137" s="11">
        <f>B129/B$135</f>
        <v>0.23953808214702615</v>
      </c>
      <c r="C137" s="11">
        <f t="shared" ref="C137:G137" si="55">C129/C$135</f>
        <v>0.2657369586186622</v>
      </c>
      <c r="D137" s="11">
        <f t="shared" si="55"/>
        <v>0.29244604687363085</v>
      </c>
      <c r="E137" s="11">
        <f t="shared" si="55"/>
        <v>0.31429517173705479</v>
      </c>
      <c r="F137" s="11">
        <f t="shared" si="55"/>
        <v>0.31738913449536016</v>
      </c>
      <c r="G137" s="11">
        <f t="shared" si="55"/>
        <v>0.35134472243829018</v>
      </c>
    </row>
    <row r="138" spans="1:7" x14ac:dyDescent="0.35">
      <c r="B138" s="11">
        <f t="shared" ref="B138:G138" si="56">B130/B$135</f>
        <v>7.8053524475020716E-2</v>
      </c>
      <c r="C138" s="11">
        <f t="shared" si="56"/>
        <v>8.4464082606764121E-2</v>
      </c>
      <c r="D138" s="11">
        <f t="shared" si="56"/>
        <v>7.944652622789429E-2</v>
      </c>
      <c r="E138" s="11">
        <f t="shared" si="56"/>
        <v>9.0389891232708575E-2</v>
      </c>
      <c r="F138" s="11">
        <f t="shared" si="56"/>
        <v>8.4625270491059806E-2</v>
      </c>
      <c r="G138" s="11">
        <f t="shared" si="56"/>
        <v>8.9863994820025578E-2</v>
      </c>
    </row>
    <row r="139" spans="1:7" x14ac:dyDescent="0.35">
      <c r="B139" s="11">
        <f t="shared" ref="B139:G139" si="57">B131/B$135</f>
        <v>0.22310827106499531</v>
      </c>
      <c r="C139" s="11">
        <f t="shared" si="57"/>
        <v>0.2004819166211925</v>
      </c>
      <c r="D139" s="11">
        <f t="shared" si="57"/>
        <v>0.16662199566003991</v>
      </c>
      <c r="E139" s="11">
        <f t="shared" si="57"/>
        <v>0.14699987860137018</v>
      </c>
      <c r="F139" s="11">
        <f t="shared" si="57"/>
        <v>0.13674056849554159</v>
      </c>
      <c r="G139" s="11">
        <f t="shared" si="57"/>
        <v>9.5359426284667981E-2</v>
      </c>
    </row>
    <row r="140" spans="1:7" x14ac:dyDescent="0.35">
      <c r="B140" s="11">
        <f t="shared" ref="B140:G140" si="58">B132/B$135</f>
        <v>8.0736698402423326E-2</v>
      </c>
      <c r="C140" s="11">
        <f t="shared" si="58"/>
        <v>6.8633905853910979E-2</v>
      </c>
      <c r="D140" s="11">
        <f t="shared" si="58"/>
        <v>7.2349420050065893E-2</v>
      </c>
      <c r="E140" s="11">
        <f t="shared" si="58"/>
        <v>8.0612470789767396E-2</v>
      </c>
      <c r="F140" s="11">
        <f t="shared" si="58"/>
        <v>8.4524357840186554E-2</v>
      </c>
      <c r="G140" s="11">
        <f t="shared" si="58"/>
        <v>8.7167184137061079E-2</v>
      </c>
    </row>
    <row r="141" spans="1:7" x14ac:dyDescent="0.35">
      <c r="B141" s="11">
        <f t="shared" ref="B141:G141" si="59">B133/B$135</f>
        <v>0.11533843046754394</v>
      </c>
      <c r="C141" s="11">
        <f t="shared" si="59"/>
        <v>0.12744069495175667</v>
      </c>
      <c r="D141" s="11">
        <f t="shared" si="59"/>
        <v>0.15056019160425613</v>
      </c>
      <c r="E141" s="11">
        <f t="shared" si="59"/>
        <v>0.11627552364185809</v>
      </c>
      <c r="F141" s="11">
        <f t="shared" si="59"/>
        <v>0.12054310638981261</v>
      </c>
      <c r="G141" s="11">
        <f t="shared" si="59"/>
        <v>0.12243821303223254</v>
      </c>
    </row>
    <row r="142" spans="1:7" x14ac:dyDescent="0.35">
      <c r="B142" s="11">
        <f t="shared" ref="B142:G142" si="60">B134/B$135</f>
        <v>0.26322499344299055</v>
      </c>
      <c r="C142" s="11">
        <f t="shared" si="60"/>
        <v>0.25324244134771351</v>
      </c>
      <c r="D142" s="11">
        <f t="shared" si="60"/>
        <v>0.23857581958411292</v>
      </c>
      <c r="E142" s="11">
        <f t="shared" si="60"/>
        <v>0.25142706399724102</v>
      </c>
      <c r="F142" s="11">
        <f t="shared" si="60"/>
        <v>0.25617756228803928</v>
      </c>
      <c r="G142" s="11">
        <f t="shared" si="60"/>
        <v>0.25382645928772268</v>
      </c>
    </row>
    <row r="144" spans="1:7" x14ac:dyDescent="0.35">
      <c r="A144" t="str">
        <f>CONCATENATE("Actuals ", $A$2)</f>
        <v>Actuals (Upto Dec)</v>
      </c>
    </row>
    <row r="147" spans="1:7" x14ac:dyDescent="0.35">
      <c r="B147" s="12" t="str">
        <f>B128</f>
        <v>2020-21</v>
      </c>
      <c r="C147" s="12" t="str">
        <f t="shared" ref="C147:G147" si="61">C128</f>
        <v>2021-22</v>
      </c>
      <c r="D147" s="12" t="str">
        <f t="shared" si="61"/>
        <v>2022-23</v>
      </c>
      <c r="E147" s="12" t="str">
        <f t="shared" si="61"/>
        <v>2023-24</v>
      </c>
      <c r="F147" s="12" t="str">
        <f t="shared" si="61"/>
        <v>2024-25</v>
      </c>
      <c r="G147" s="12" t="str">
        <f t="shared" si="61"/>
        <v>2025-26</v>
      </c>
    </row>
    <row r="148" spans="1:7" x14ac:dyDescent="0.35">
      <c r="A148" t="str">
        <f>A144</f>
        <v>Actuals (Upto Dec)</v>
      </c>
      <c r="B148">
        <f t="shared" ref="B148:G148" si="62">B129</f>
        <v>472171</v>
      </c>
      <c r="C148">
        <f t="shared" si="62"/>
        <v>565864</v>
      </c>
      <c r="D148">
        <f t="shared" si="62"/>
        <v>680853</v>
      </c>
      <c r="E148">
        <f t="shared" si="62"/>
        <v>748207</v>
      </c>
      <c r="F148">
        <f t="shared" si="62"/>
        <v>808313</v>
      </c>
      <c r="G148">
        <f t="shared" si="62"/>
        <v>911059</v>
      </c>
    </row>
    <row r="149" spans="1:7" x14ac:dyDescent="0.35">
      <c r="A149" t="str">
        <f>A20</f>
        <v>BE</v>
      </c>
      <c r="B149">
        <f t="shared" ref="B149:G149" si="63">B33</f>
        <v>708203</v>
      </c>
      <c r="C149">
        <f t="shared" si="63"/>
        <v>809701</v>
      </c>
      <c r="D149">
        <f t="shared" si="63"/>
        <v>940651</v>
      </c>
      <c r="E149">
        <f t="shared" si="63"/>
        <v>1079971</v>
      </c>
      <c r="F149">
        <f t="shared" si="63"/>
        <v>1162940</v>
      </c>
      <c r="G149">
        <f t="shared" si="63"/>
        <v>1276338</v>
      </c>
    </row>
    <row r="151" spans="1:7" x14ac:dyDescent="0.35">
      <c r="A151" t="str">
        <f>A144</f>
        <v>Actuals (Upto Dec)</v>
      </c>
      <c r="B151">
        <f t="shared" ref="B151:G151" si="64">B130</f>
        <v>153857</v>
      </c>
      <c r="C151">
        <f t="shared" si="64"/>
        <v>179859</v>
      </c>
      <c r="D151">
        <f t="shared" si="64"/>
        <v>184962</v>
      </c>
      <c r="E151">
        <f t="shared" si="64"/>
        <v>215181</v>
      </c>
      <c r="F151">
        <f t="shared" si="64"/>
        <v>215520</v>
      </c>
      <c r="G151">
        <f t="shared" si="64"/>
        <v>233023</v>
      </c>
    </row>
    <row r="152" spans="1:7" x14ac:dyDescent="0.35">
      <c r="A152" t="str">
        <f>A149</f>
        <v>BE</v>
      </c>
      <c r="B152">
        <f>B34</f>
        <v>209319</v>
      </c>
      <c r="C152">
        <f t="shared" ref="C152:G152" si="65">C34</f>
        <v>212028</v>
      </c>
      <c r="D152">
        <f t="shared" si="65"/>
        <v>233001</v>
      </c>
      <c r="E152">
        <f t="shared" si="65"/>
        <v>270120</v>
      </c>
      <c r="F152">
        <f t="shared" si="65"/>
        <v>282773</v>
      </c>
      <c r="G152">
        <f t="shared" si="65"/>
        <v>311732</v>
      </c>
    </row>
    <row r="154" spans="1:7" x14ac:dyDescent="0.35">
      <c r="A154" t="str">
        <f>A144</f>
        <v>Actuals (Upto Dec)</v>
      </c>
      <c r="B154">
        <f>B27</f>
        <v>439785</v>
      </c>
      <c r="C154">
        <f t="shared" ref="C154:G154" si="66">C27</f>
        <v>426909</v>
      </c>
      <c r="D154">
        <f t="shared" si="66"/>
        <v>387918</v>
      </c>
      <c r="E154">
        <f t="shared" si="66"/>
        <v>349946</v>
      </c>
      <c r="F154">
        <f t="shared" si="66"/>
        <v>348245</v>
      </c>
      <c r="G154">
        <f t="shared" si="66"/>
        <v>247273</v>
      </c>
    </row>
    <row r="155" spans="1:7" x14ac:dyDescent="0.35">
      <c r="A155" t="str">
        <f>A152</f>
        <v>BE</v>
      </c>
      <c r="B155">
        <f t="shared" ref="B155:G155" si="67">B35</f>
        <v>562046</v>
      </c>
      <c r="C155">
        <f t="shared" si="67"/>
        <v>605812</v>
      </c>
      <c r="D155">
        <f t="shared" si="67"/>
        <v>617057</v>
      </c>
      <c r="E155">
        <f t="shared" si="67"/>
        <v>659736</v>
      </c>
      <c r="F155">
        <f t="shared" si="67"/>
        <v>641460</v>
      </c>
      <c r="G155">
        <f t="shared" si="67"/>
        <v>720056</v>
      </c>
    </row>
    <row r="157" spans="1:7" x14ac:dyDescent="0.35">
      <c r="A157" t="str">
        <f>A144</f>
        <v>Actuals (Upto Dec)</v>
      </c>
      <c r="B157">
        <f>B28</f>
        <v>159146</v>
      </c>
      <c r="C157">
        <f t="shared" ref="C157:G157" si="68">C28</f>
        <v>146150</v>
      </c>
      <c r="D157">
        <f t="shared" si="68"/>
        <v>168439</v>
      </c>
      <c r="E157">
        <f t="shared" si="68"/>
        <v>191905</v>
      </c>
      <c r="F157">
        <f t="shared" si="68"/>
        <v>215263</v>
      </c>
      <c r="G157">
        <f t="shared" si="68"/>
        <v>226030</v>
      </c>
    </row>
    <row r="158" spans="1:7" x14ac:dyDescent="0.35">
      <c r="A158" t="str">
        <f>A152</f>
        <v>BE</v>
      </c>
      <c r="B158">
        <f t="shared" ref="B158:G158" si="69">B36</f>
        <v>210682</v>
      </c>
      <c r="C158">
        <f t="shared" si="69"/>
        <v>190328</v>
      </c>
      <c r="D158">
        <f t="shared" si="69"/>
        <v>207132</v>
      </c>
      <c r="E158">
        <f t="shared" si="69"/>
        <v>234359</v>
      </c>
      <c r="F158">
        <f t="shared" si="69"/>
        <v>243296</v>
      </c>
      <c r="G158">
        <f t="shared" si="69"/>
        <v>276618</v>
      </c>
    </row>
    <row r="160" spans="1:7" x14ac:dyDescent="0.35">
      <c r="A160" t="str">
        <f>A144</f>
        <v>Actuals (Upto Dec)</v>
      </c>
      <c r="B160">
        <f>B29</f>
        <v>227352</v>
      </c>
      <c r="C160">
        <f t="shared" ref="C160:G160" si="70">C29</f>
        <v>271374</v>
      </c>
      <c r="D160">
        <f t="shared" si="70"/>
        <v>350524</v>
      </c>
      <c r="E160">
        <f t="shared" si="70"/>
        <v>276804</v>
      </c>
      <c r="F160">
        <f t="shared" si="70"/>
        <v>306994</v>
      </c>
      <c r="G160">
        <f t="shared" si="70"/>
        <v>317490</v>
      </c>
    </row>
    <row r="161" spans="1:7" x14ac:dyDescent="0.35">
      <c r="A161" t="str">
        <f>A158</f>
        <v>BE</v>
      </c>
      <c r="B161">
        <f t="shared" ref="B161:G161" si="71">B37</f>
        <v>227794</v>
      </c>
      <c r="C161">
        <f t="shared" si="71"/>
        <v>336439</v>
      </c>
      <c r="D161">
        <f t="shared" si="71"/>
        <v>317866</v>
      </c>
      <c r="E161">
        <f t="shared" si="71"/>
        <v>374707</v>
      </c>
      <c r="F161">
        <f t="shared" si="71"/>
        <v>381175</v>
      </c>
      <c r="G161">
        <f t="shared" si="71"/>
        <v>383407</v>
      </c>
    </row>
    <row r="163" spans="1:7" x14ac:dyDescent="0.35">
      <c r="A163" t="str">
        <f>A144</f>
        <v>Actuals (Upto Dec)</v>
      </c>
      <c r="B163">
        <f t="shared" ref="B163:G163" si="72">B40</f>
        <v>1158469</v>
      </c>
      <c r="C163">
        <f t="shared" si="72"/>
        <v>759366</v>
      </c>
      <c r="D163">
        <f t="shared" si="72"/>
        <v>992976</v>
      </c>
      <c r="E163">
        <f t="shared" si="72"/>
        <v>982278</v>
      </c>
      <c r="F163">
        <f t="shared" si="72"/>
        <v>914089</v>
      </c>
      <c r="G163">
        <f t="shared" si="72"/>
        <v>855842</v>
      </c>
    </row>
    <row r="164" spans="1:7" x14ac:dyDescent="0.35">
      <c r="A164" t="str">
        <f>A158</f>
        <v>BE</v>
      </c>
      <c r="B164">
        <f t="shared" ref="B164:G164" si="73">B45</f>
        <v>796337</v>
      </c>
      <c r="C164">
        <f t="shared" si="73"/>
        <v>1506812</v>
      </c>
      <c r="D164">
        <f t="shared" si="73"/>
        <v>1661196</v>
      </c>
      <c r="E164">
        <f t="shared" si="73"/>
        <v>1786816</v>
      </c>
      <c r="F164">
        <f t="shared" si="73"/>
        <v>1613312</v>
      </c>
      <c r="G164">
        <f t="shared" si="73"/>
        <v>1568936</v>
      </c>
    </row>
    <row r="166" spans="1:7" x14ac:dyDescent="0.35">
      <c r="A166" t="str">
        <f>A144</f>
        <v>Actuals (Upto Dec)</v>
      </c>
      <c r="B166">
        <f t="shared" ref="B166:G166" si="74">B41</f>
        <v>882593</v>
      </c>
      <c r="C166">
        <f t="shared" si="74"/>
        <v>396191</v>
      </c>
      <c r="D166">
        <f t="shared" si="74"/>
        <v>558138</v>
      </c>
      <c r="E166">
        <f t="shared" si="74"/>
        <v>338298</v>
      </c>
      <c r="F166">
        <f t="shared" si="74"/>
        <v>256047</v>
      </c>
      <c r="G166">
        <f t="shared" si="74"/>
        <v>113954</v>
      </c>
    </row>
    <row r="167" spans="1:7" x14ac:dyDescent="0.35">
      <c r="A167" t="str">
        <f>A164</f>
        <v>BE</v>
      </c>
      <c r="B167">
        <f t="shared" ref="B167:G167" si="75">B46</f>
        <v>609295</v>
      </c>
      <c r="C167">
        <f t="shared" si="75"/>
        <v>1140704</v>
      </c>
      <c r="D167">
        <f t="shared" si="75"/>
        <v>990835</v>
      </c>
      <c r="E167">
        <f t="shared" si="75"/>
        <v>870443</v>
      </c>
      <c r="F167">
        <f t="shared" si="75"/>
        <v>580201</v>
      </c>
      <c r="G167">
        <f t="shared" si="75"/>
        <v>523846</v>
      </c>
    </row>
    <row r="169" spans="1:7" x14ac:dyDescent="0.35">
      <c r="A169" t="str">
        <f>A144</f>
        <v>Actuals (Upto Dec)</v>
      </c>
      <c r="B169">
        <f t="shared" ref="B169:G169" si="76">B42</f>
        <v>686298</v>
      </c>
      <c r="C169">
        <f t="shared" si="76"/>
        <v>193502</v>
      </c>
      <c r="D169">
        <f t="shared" si="76"/>
        <v>312123</v>
      </c>
      <c r="E169">
        <f t="shared" si="76"/>
        <v>234071</v>
      </c>
      <c r="F169">
        <f t="shared" si="76"/>
        <v>105776</v>
      </c>
      <c r="G169">
        <f t="shared" si="76"/>
        <v>-55217</v>
      </c>
    </row>
    <row r="170" spans="1:7" x14ac:dyDescent="0.35">
      <c r="A170" t="str">
        <f>A167</f>
        <v>BE</v>
      </c>
      <c r="B170">
        <f t="shared" ref="B170:G170" si="77">B47</f>
        <v>88134</v>
      </c>
      <c r="C170">
        <f t="shared" si="77"/>
        <v>697111</v>
      </c>
      <c r="D170">
        <f t="shared" si="77"/>
        <v>720545</v>
      </c>
      <c r="E170">
        <f t="shared" si="77"/>
        <v>706845</v>
      </c>
      <c r="F170">
        <f t="shared" si="77"/>
        <v>450372</v>
      </c>
      <c r="G170">
        <f t="shared" si="77"/>
        <v>292598</v>
      </c>
    </row>
    <row r="172" spans="1:7" x14ac:dyDescent="0.35">
      <c r="A172" t="s">
        <v>208</v>
      </c>
      <c r="B172" s="12" t="str">
        <f>B147</f>
        <v>2020-21</v>
      </c>
      <c r="C172" s="12" t="str">
        <f t="shared" ref="C172:G172" si="78">C147</f>
        <v>2021-22</v>
      </c>
      <c r="D172" s="12" t="str">
        <f t="shared" si="78"/>
        <v>2022-23</v>
      </c>
      <c r="E172" s="12" t="str">
        <f t="shared" si="78"/>
        <v>2023-24</v>
      </c>
      <c r="F172" s="12" t="str">
        <f t="shared" si="78"/>
        <v>2024-25</v>
      </c>
      <c r="G172" s="12" t="str">
        <f t="shared" si="78"/>
        <v>2025-26</v>
      </c>
    </row>
    <row r="173" spans="1:7" x14ac:dyDescent="0.35">
      <c r="A173" t="str">
        <f>A40</f>
        <v>Fiscal Deficit</v>
      </c>
      <c r="B173" s="7">
        <f>B163/B$59</f>
        <v>5.8349118489202427E-2</v>
      </c>
      <c r="C173" s="7">
        <f t="shared" ref="C173:G173" si="79">C163/C$59</f>
        <v>3.218007204946613E-2</v>
      </c>
      <c r="D173" s="7">
        <f t="shared" si="79"/>
        <v>3.684560457677255E-2</v>
      </c>
      <c r="E173" s="7">
        <f t="shared" si="79"/>
        <v>3.3257349495442241E-2</v>
      </c>
      <c r="F173" s="7">
        <f t="shared" si="79"/>
        <v>2.7642584729200868E-2</v>
      </c>
      <c r="G173" s="7">
        <f t="shared" si="79"/>
        <v>2.3963844203344326E-2</v>
      </c>
    </row>
    <row r="174" spans="1:7" x14ac:dyDescent="0.35">
      <c r="A174" t="str">
        <f t="shared" ref="A174:A175" si="80">A41</f>
        <v>Revenue Deficit</v>
      </c>
      <c r="B174" s="7">
        <f>B166/B$59</f>
        <v>4.445395045939135E-2</v>
      </c>
      <c r="C174" s="7">
        <f t="shared" ref="C174:G174" si="81">C166/C$59</f>
        <v>1.6789604650919367E-2</v>
      </c>
      <c r="D174" s="7">
        <f t="shared" si="81"/>
        <v>2.0710401910288542E-2</v>
      </c>
      <c r="E174" s="7">
        <f t="shared" si="81"/>
        <v>1.1453880489646637E-2</v>
      </c>
      <c r="F174" s="7">
        <f t="shared" si="81"/>
        <v>7.7430106829397298E-3</v>
      </c>
      <c r="G174" s="7">
        <f t="shared" si="81"/>
        <v>3.19074771084838E-3</v>
      </c>
    </row>
    <row r="175" spans="1:7" x14ac:dyDescent="0.35">
      <c r="A175" t="str">
        <f t="shared" si="80"/>
        <v>Primary Deficit</v>
      </c>
      <c r="B175" s="7">
        <f>B169/B$59</f>
        <v>3.4567073716174235E-2</v>
      </c>
      <c r="C175" s="7">
        <f t="shared" ref="C175:G175" si="82">C169/C$59</f>
        <v>8.2001410409681171E-3</v>
      </c>
      <c r="D175" s="7">
        <f t="shared" si="82"/>
        <v>1.158171057237635E-2</v>
      </c>
      <c r="E175" s="7">
        <f t="shared" si="82"/>
        <v>7.9250284071796986E-3</v>
      </c>
      <c r="F175" s="7">
        <f t="shared" si="82"/>
        <v>3.1987279600957357E-3</v>
      </c>
      <c r="G175" s="7">
        <f t="shared" si="82"/>
        <v>-1.546093303876257E-3</v>
      </c>
    </row>
  </sheetData>
  <sheetProtection algorithmName="SHA-512" hashValue="7hvUQ2GksthYJPq1tDbKdJi/gH3/WttmXQILGjjj/TRO3hSBIsJS7LuwwvMlXC4ivUYQ1qbenL70D+BoMwyosA==" saltValue="jNVmgJUXX1Ap1x6eM19n6g==" spinCount="100000" sheet="1" objects="1" scenarios="1" selectLockedCells="1" selectUnlockedCells="1"/>
  <pageMargins left="0.7" right="0.7" top="0.75" bottom="0.75" header="0.3" footer="0.3"/>
  <pageSetup paperSize="9" scale="10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5" r:id="rId4" name="Check Box 5">
              <controlPr defaultSize="0" autoFill="0" autoLine="0" autoPict="0">
                <anchor moveWithCells="1">
                  <from>
                    <xdr:col>9</xdr:col>
                    <xdr:colOff>203200</xdr:colOff>
                    <xdr:row>73</xdr:row>
                    <xdr:rowOff>88900</xdr:rowOff>
                  </from>
                  <to>
                    <xdr:col>11</xdr:col>
                    <xdr:colOff>285750</xdr:colOff>
                    <xdr:row>76</xdr:row>
                    <xdr:rowOff>171450</xdr:rowOff>
                  </to>
                </anchor>
              </controlPr>
            </control>
          </mc:Choice>
        </mc:AlternateContent>
        <mc:AlternateContent xmlns:mc="http://schemas.openxmlformats.org/markup-compatibility/2006">
          <mc:Choice Requires="x14">
            <control shapeId="5126" r:id="rId5" name="Check Box 6">
              <controlPr defaultSize="0" autoFill="0" autoLine="0" autoPict="0" macro="[0]!CheckBox6_Click">
                <anchor moveWithCells="1">
                  <from>
                    <xdr:col>12</xdr:col>
                    <xdr:colOff>285750</xdr:colOff>
                    <xdr:row>74</xdr:row>
                    <xdr:rowOff>88900</xdr:rowOff>
                  </from>
                  <to>
                    <xdr:col>14</xdr:col>
                    <xdr:colOff>552450</xdr:colOff>
                    <xdr:row>76</xdr:row>
                    <xdr:rowOff>50800</xdr:rowOff>
                  </to>
                </anchor>
              </controlPr>
            </control>
          </mc:Choice>
        </mc:AlternateContent>
        <mc:AlternateContent xmlns:mc="http://schemas.openxmlformats.org/markup-compatibility/2006">
          <mc:Choice Requires="x14">
            <control shapeId="5128" r:id="rId6" name="Check Box 8">
              <controlPr defaultSize="0" autoFill="0" autoLine="0" autoPict="0">
                <anchor moveWithCells="1">
                  <from>
                    <xdr:col>12</xdr:col>
                    <xdr:colOff>12700</xdr:colOff>
                    <xdr:row>90</xdr:row>
                    <xdr:rowOff>19050</xdr:rowOff>
                  </from>
                  <to>
                    <xdr:col>13</xdr:col>
                    <xdr:colOff>552450</xdr:colOff>
                    <xdr:row>91</xdr:row>
                    <xdr:rowOff>95250</xdr:rowOff>
                  </to>
                </anchor>
              </controlPr>
            </control>
          </mc:Choice>
        </mc:AlternateContent>
        <mc:AlternateContent xmlns:mc="http://schemas.openxmlformats.org/markup-compatibility/2006">
          <mc:Choice Requires="x14">
            <control shapeId="5130" r:id="rId7" name="Check Box 10">
              <controlPr defaultSize="0" autoFill="0" autoLine="0" autoPict="0">
                <anchor moveWithCells="1">
                  <from>
                    <xdr:col>14</xdr:col>
                    <xdr:colOff>12700</xdr:colOff>
                    <xdr:row>90</xdr:row>
                    <xdr:rowOff>19050</xdr:rowOff>
                  </from>
                  <to>
                    <xdr:col>15</xdr:col>
                    <xdr:colOff>552450</xdr:colOff>
                    <xdr:row>91</xdr:row>
                    <xdr:rowOff>95250</xdr:rowOff>
                  </to>
                </anchor>
              </controlPr>
            </control>
          </mc:Choice>
        </mc:AlternateContent>
        <mc:AlternateContent xmlns:mc="http://schemas.openxmlformats.org/markup-compatibility/2006">
          <mc:Choice Requires="x14">
            <control shapeId="5131" r:id="rId8" name="Check Box 11">
              <controlPr defaultSize="0" autoFill="0" autoLine="0" autoPict="0">
                <anchor moveWithCells="1">
                  <from>
                    <xdr:col>11</xdr:col>
                    <xdr:colOff>590550</xdr:colOff>
                    <xdr:row>96</xdr:row>
                    <xdr:rowOff>12700</xdr:rowOff>
                  </from>
                  <to>
                    <xdr:col>14</xdr:col>
                    <xdr:colOff>438150</xdr:colOff>
                    <xdr:row>97</xdr:row>
                    <xdr:rowOff>50800</xdr:rowOff>
                  </to>
                </anchor>
              </controlPr>
            </control>
          </mc:Choice>
        </mc:AlternateContent>
        <mc:AlternateContent xmlns:mc="http://schemas.openxmlformats.org/markup-compatibility/2006">
          <mc:Choice Requires="x14">
            <control shapeId="5132" r:id="rId9" name="Check Box 12">
              <controlPr defaultSize="0" autoFill="0" autoLine="0" autoPict="0">
                <anchor moveWithCells="1">
                  <from>
                    <xdr:col>15</xdr:col>
                    <xdr:colOff>76200</xdr:colOff>
                    <xdr:row>96</xdr:row>
                    <xdr:rowOff>19050</xdr:rowOff>
                  </from>
                  <to>
                    <xdr:col>17</xdr:col>
                    <xdr:colOff>361950</xdr:colOff>
                    <xdr:row>97</xdr:row>
                    <xdr:rowOff>57150</xdr:rowOff>
                  </to>
                </anchor>
              </controlPr>
            </control>
          </mc:Choice>
        </mc:AlternateContent>
        <mc:AlternateContent xmlns:mc="http://schemas.openxmlformats.org/markup-compatibility/2006">
          <mc:Choice Requires="x14">
            <control shapeId="5134" r:id="rId10" name="Check Box 14">
              <controlPr defaultSize="0" autoFill="0" autoLine="0" autoPict="0">
                <anchor moveWithCells="1">
                  <from>
                    <xdr:col>4</xdr:col>
                    <xdr:colOff>57150</xdr:colOff>
                    <xdr:row>105</xdr:row>
                    <xdr:rowOff>133350</xdr:rowOff>
                  </from>
                  <to>
                    <xdr:col>5</xdr:col>
                    <xdr:colOff>590550</xdr:colOff>
                    <xdr:row>107</xdr:row>
                    <xdr:rowOff>19050</xdr:rowOff>
                  </to>
                </anchor>
              </controlPr>
            </control>
          </mc:Choice>
        </mc:AlternateContent>
        <mc:AlternateContent xmlns:mc="http://schemas.openxmlformats.org/markup-compatibility/2006">
          <mc:Choice Requires="x14">
            <control shapeId="5136" r:id="rId11" name="Check Box 16">
              <controlPr defaultSize="0" autoFill="0" autoLine="0" autoPict="0">
                <anchor moveWithCells="1">
                  <from>
                    <xdr:col>6</xdr:col>
                    <xdr:colOff>203200</xdr:colOff>
                    <xdr:row>105</xdr:row>
                    <xdr:rowOff>152400</xdr:rowOff>
                  </from>
                  <to>
                    <xdr:col>8</xdr:col>
                    <xdr:colOff>146050</xdr:colOff>
                    <xdr:row>107</xdr:row>
                    <xdr:rowOff>50800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3:AK75"/>
  <sheetViews>
    <sheetView topLeftCell="A7" zoomScaleNormal="100" workbookViewId="0">
      <selection activeCell="P22" sqref="P22"/>
    </sheetView>
  </sheetViews>
  <sheetFormatPr defaultRowHeight="14.5" x14ac:dyDescent="0.35"/>
  <cols>
    <col min="1" max="1" width="13.1796875" customWidth="1"/>
    <col min="4" max="4" width="29.54296875" customWidth="1"/>
    <col min="9" max="9" width="9.54296875" bestFit="1" customWidth="1"/>
    <col min="12" max="12" width="4.81640625" customWidth="1"/>
    <col min="15" max="15" width="10.26953125" customWidth="1"/>
    <col min="16" max="16" width="10.7265625" customWidth="1"/>
    <col min="17" max="17" width="10.54296875" customWidth="1"/>
    <col min="18" max="18" width="11.453125" customWidth="1"/>
    <col min="19" max="19" width="12.453125" customWidth="1"/>
    <col min="22" max="22" width="9.7265625" customWidth="1"/>
  </cols>
  <sheetData>
    <row r="3" spans="1:37" x14ac:dyDescent="0.35">
      <c r="A3" s="5" t="s">
        <v>74</v>
      </c>
      <c r="C3" s="13"/>
      <c r="D3" s="14" t="s">
        <v>0</v>
      </c>
      <c r="E3" s="15" t="s">
        <v>1</v>
      </c>
    </row>
    <row r="4" spans="1:37" x14ac:dyDescent="0.35">
      <c r="A4" s="6" t="s">
        <v>64</v>
      </c>
      <c r="C4" s="16" t="s">
        <v>76</v>
      </c>
      <c r="D4" t="str">
        <f>Dashboard!D6</f>
        <v>2025-26</v>
      </c>
      <c r="E4" s="17" t="str">
        <f>Dashboard!D8</f>
        <v>Dec-25</v>
      </c>
      <c r="H4">
        <f>MONTH(E4)</f>
        <v>12</v>
      </c>
      <c r="J4">
        <f>MONTH(E4)</f>
        <v>12</v>
      </c>
      <c r="O4">
        <f>VLOOKUP(D4,GDP[],2,0)</f>
        <v>35713886</v>
      </c>
      <c r="P4">
        <f>VLOOKUP(P6,GDP[],2,0)</f>
        <v>29535667</v>
      </c>
      <c r="Q4">
        <f>VLOOKUP(Q6,GDP[],2,0)</f>
        <v>26949646</v>
      </c>
      <c r="R4">
        <f>VLOOKUP(R6,GDP[],2,0)</f>
        <v>23597399</v>
      </c>
      <c r="S4">
        <f>VLOOKUP(S6,GDP[],2,0)</f>
        <v>19854096</v>
      </c>
    </row>
    <row r="5" spans="1:37" x14ac:dyDescent="0.35">
      <c r="A5" s="6" t="s">
        <v>22</v>
      </c>
      <c r="C5" s="16"/>
      <c r="E5" s="17"/>
      <c r="AG5" t="str">
        <f>CONCATENATE("Apr-",MID($D$4,3,2))</f>
        <v>Apr-25</v>
      </c>
      <c r="AH5" t="str">
        <f>CONCATENATE("Apr-",MID($D$6,3,2))</f>
        <v>Apr-24</v>
      </c>
      <c r="AI5" t="str">
        <f>CONCATENATE("Apr-",MID(P$6,3,2))</f>
        <v>Apr-23</v>
      </c>
      <c r="AJ5" t="str">
        <f t="shared" ref="AJ5:AK5" si="0">CONCATENATE("Apr-",MID(Q$6,3,2))</f>
        <v>Apr-22</v>
      </c>
      <c r="AK5" t="str">
        <f t="shared" si="0"/>
        <v>Apr-21</v>
      </c>
    </row>
    <row r="6" spans="1:37" x14ac:dyDescent="0.35">
      <c r="A6" s="6" t="s">
        <v>42</v>
      </c>
      <c r="C6" s="18" t="s">
        <v>75</v>
      </c>
      <c r="D6" s="19" t="str">
        <f>CONCATENATE(LEFT(D4,4)-1,"-",RIGHT(D4,2)-1)</f>
        <v>2024-25</v>
      </c>
      <c r="E6" s="20" t="str">
        <f>CONCATENATE(LEFT(E4,4),RIGHT(E4,2)-1)</f>
        <v>Dec-24</v>
      </c>
      <c r="O6">
        <f>VLOOKUP(D6,GDP[],2,0)</f>
        <v>33068145</v>
      </c>
      <c r="P6" t="str">
        <f>CONCATENATE(LEFT(D4,4)-2,"-",RIGHT(D4,2)-2)</f>
        <v>2023-24</v>
      </c>
      <c r="Q6" t="str">
        <f>CONCATENATE(LEFT(D4,4)-3,"-",RIGHT(D4,2)-3)</f>
        <v>2022-23</v>
      </c>
      <c r="R6" t="str">
        <f>CONCATENATE(LEFT(D4,4)-4,"-",RIGHT(D4,2)-4)</f>
        <v>2021-22</v>
      </c>
      <c r="S6" t="str">
        <f>CONCATENATE(LEFT(D4,4)-5,"-",RIGHT(D4,2)-5)</f>
        <v>2020-21</v>
      </c>
      <c r="U6" t="str">
        <f>P6</f>
        <v>2023-24</v>
      </c>
      <c r="W6" t="str">
        <f>Q6</f>
        <v>2022-23</v>
      </c>
      <c r="Y6" t="str">
        <f>R6</f>
        <v>2021-22</v>
      </c>
      <c r="AA6" t="str">
        <f>S6</f>
        <v>2020-21</v>
      </c>
      <c r="AG6" t="str">
        <f>CONCATENATE("May-",MID($D$4,3,2))</f>
        <v>May-25</v>
      </c>
      <c r="AH6" t="str">
        <f>CONCATENATE("May-",MID($D$6,3,2))</f>
        <v>May-24</v>
      </c>
      <c r="AI6" t="str">
        <f>CONCATENATE("May-",MID(P$6,3,2))</f>
        <v>May-23</v>
      </c>
      <c r="AJ6" t="str">
        <f t="shared" ref="AJ6:AK6" si="1">CONCATENATE("May-",MID(Q$6,3,2))</f>
        <v>May-22</v>
      </c>
      <c r="AK6" t="str">
        <f t="shared" si="1"/>
        <v>May-21</v>
      </c>
    </row>
    <row r="7" spans="1:37" x14ac:dyDescent="0.35">
      <c r="A7" s="6" t="s">
        <v>145</v>
      </c>
      <c r="G7" t="s">
        <v>76</v>
      </c>
      <c r="I7" t="s">
        <v>75</v>
      </c>
      <c r="P7" t="str">
        <f>CONCATENATE(LEFT(E4,4),RIGHT(E4,2)-2)</f>
        <v>Dec-23</v>
      </c>
      <c r="Q7" t="str">
        <f>CONCATENATE(LEFT(E4,4),RIGHT(E4,2)-3)</f>
        <v>Dec-22</v>
      </c>
      <c r="R7" t="str">
        <f>CONCATENATE(LEFT(E4,4),RIGHT(E4,2)-4)</f>
        <v>Dec-21</v>
      </c>
      <c r="S7" t="str">
        <f>CONCATENATE(LEFT(E4,4),RIGHT(E4,2)-5)</f>
        <v>Dec-20</v>
      </c>
      <c r="AG7" t="str">
        <f>CONCATENATE("Jun-",MID($D$4,3,2))</f>
        <v>Jun-25</v>
      </c>
      <c r="AH7" t="str">
        <f>CONCATENATE("Jun-",MID($D$6,3,2))</f>
        <v>Jun-24</v>
      </c>
      <c r="AI7" t="str">
        <f>CONCATENATE("Jun-",MID(P$6,3,2))</f>
        <v>Jun-23</v>
      </c>
      <c r="AJ7" t="str">
        <f t="shared" ref="AJ7:AK7" si="2">CONCATENATE("Jun-",MID(Q$6,3,2))</f>
        <v>Jun-22</v>
      </c>
      <c r="AK7" t="str">
        <f t="shared" si="2"/>
        <v>Jun-21</v>
      </c>
    </row>
    <row r="8" spans="1:37" x14ac:dyDescent="0.35">
      <c r="A8" s="6" t="s">
        <v>110</v>
      </c>
      <c r="E8" t="s">
        <v>76</v>
      </c>
      <c r="F8" t="s">
        <v>75</v>
      </c>
      <c r="G8" t="s">
        <v>52</v>
      </c>
      <c r="H8" t="s">
        <v>66</v>
      </c>
      <c r="I8" t="s">
        <v>52</v>
      </c>
      <c r="J8" t="s">
        <v>66</v>
      </c>
      <c r="K8" t="s">
        <v>77</v>
      </c>
      <c r="L8" s="8" t="s">
        <v>93</v>
      </c>
      <c r="M8" t="s">
        <v>96</v>
      </c>
      <c r="N8" t="s">
        <v>104</v>
      </c>
      <c r="O8" t="s">
        <v>205</v>
      </c>
      <c r="U8" t="s">
        <v>52</v>
      </c>
      <c r="V8" t="s">
        <v>66</v>
      </c>
      <c r="W8" t="s">
        <v>52</v>
      </c>
      <c r="X8" t="s">
        <v>66</v>
      </c>
      <c r="Y8" t="s">
        <v>52</v>
      </c>
      <c r="Z8" t="s">
        <v>66</v>
      </c>
      <c r="AA8" t="s">
        <v>52</v>
      </c>
      <c r="AB8" t="s">
        <v>66</v>
      </c>
      <c r="AG8" t="str">
        <f>CONCATENATE("Jul-",MID($D$4,3,2))</f>
        <v>Jul-25</v>
      </c>
      <c r="AH8" t="str">
        <f>CONCATENATE("Jul-",MID($D$6,3,2))</f>
        <v>Jul-24</v>
      </c>
      <c r="AI8" t="str">
        <f>CONCATENATE("Jul-",MID(P$6,3,2))</f>
        <v>Jul-23</v>
      </c>
      <c r="AJ8" t="str">
        <f t="shared" ref="AJ8:AK8" si="3">CONCATENATE("Jul-",MID(Q$6,3,2))</f>
        <v>Jul-22</v>
      </c>
      <c r="AK8" t="str">
        <f t="shared" si="3"/>
        <v>Jul-21</v>
      </c>
    </row>
    <row r="9" spans="1:37" x14ac:dyDescent="0.35">
      <c r="A9" s="6" t="s">
        <v>109</v>
      </c>
      <c r="D9" t="s">
        <v>71</v>
      </c>
      <c r="E9">
        <f>INDEX(actual2[Total Receipts],MATCH($E$4,actual2[Month],0))</f>
        <v>2525156</v>
      </c>
      <c r="F9">
        <f>INDEX(actual2[Total Receipts],MATCH($E$6,actual2[Month],0))</f>
        <v>2318005</v>
      </c>
      <c r="G9">
        <f t="array" ref="G9">INDEX(BERE2[Total Receipts],MATCH($D$4&amp;$G$8,BERE2[FY]&amp;BERE2[Month],0))</f>
        <v>3496409</v>
      </c>
      <c r="H9" t="e">
        <f t="array" ref="H9">INDEX(BERE2[Total Receipts],MATCH($D$4&amp;$H$8,BERE2[FY]&amp;BERE2[Month],0))</f>
        <v>#N/A</v>
      </c>
      <c r="I9">
        <f t="array" ref="I9">INDEX(BERE2[Total Receipts],MATCH($D$6&amp;$I$8,BERE2[FY]&amp;BERE2[Month],0))</f>
        <v>3207200</v>
      </c>
      <c r="J9">
        <f t="array" ref="J9">INDEX(BERE2[Total Receipts],MATCH($D$6&amp;$J$8,BERE2[FY]&amp;BERE2[Month],0))</f>
        <v>3146960</v>
      </c>
      <c r="K9" s="7">
        <f>(E9-F9)/ABS(F9)</f>
        <v>8.9366071255238877E-2</v>
      </c>
      <c r="L9" s="10">
        <f>(E9-F9)/ABS(F9)</f>
        <v>8.9366071255238877E-2</v>
      </c>
      <c r="M9" s="11">
        <f>E9/G9</f>
        <v>0.72221413455920058</v>
      </c>
      <c r="N9" s="11" t="e">
        <f>E9/H9</f>
        <v>#N/A</v>
      </c>
      <c r="O9" s="7">
        <f>E9/O$4</f>
        <v>7.0705159332143247E-2</v>
      </c>
      <c r="P9">
        <f>INDEX(actual2[Total Receipts],MATCH(P$7,actual2[Month],0))</f>
        <v>2071939</v>
      </c>
      <c r="Q9">
        <f>INDEX(actual2[Total Receipts],MATCH(Q$7,actual2[Month],0))</f>
        <v>1825100</v>
      </c>
      <c r="R9">
        <f>INDEX(actual2[Total Receipts],MATCH(R$7,actual2[Month],0))</f>
        <v>1761692</v>
      </c>
      <c r="S9">
        <f>INDEX(actual2[Total Receipts],MATCH(S$7,actual2[Month],0))</f>
        <v>1121678</v>
      </c>
      <c r="T9" s="7"/>
      <c r="U9" s="7"/>
      <c r="V9" s="7"/>
      <c r="W9" s="7"/>
      <c r="X9" s="7"/>
      <c r="Y9" s="7"/>
      <c r="Z9" s="7"/>
      <c r="AA9" s="7"/>
      <c r="AB9" s="7"/>
      <c r="AC9" s="7"/>
      <c r="AD9" s="7"/>
      <c r="AE9" s="11"/>
      <c r="AF9" s="11"/>
      <c r="AG9" t="str">
        <f>CONCATENATE("Aug-",MID($D$4,3,2))</f>
        <v>Aug-25</v>
      </c>
      <c r="AH9" t="str">
        <f>CONCATENATE("Aug-",MID($D$6,3,2))</f>
        <v>Aug-24</v>
      </c>
      <c r="AI9" t="str">
        <f>CONCATENATE("Aug-",MID(P$6,3,2))</f>
        <v>Aug-23</v>
      </c>
      <c r="AJ9" t="str">
        <f t="shared" ref="AJ9:AK9" si="4">CONCATENATE("Aug-",MID(Q$6,3,2))</f>
        <v>Aug-22</v>
      </c>
      <c r="AK9" t="str">
        <f t="shared" si="4"/>
        <v>Aug-21</v>
      </c>
    </row>
    <row r="10" spans="1:37" ht="20.5" customHeight="1" x14ac:dyDescent="0.35">
      <c r="A10" s="6" t="s">
        <v>106</v>
      </c>
      <c r="L10" s="10"/>
      <c r="AG10" t="str">
        <f>CONCATENATE("Sep-",MID($D$4,3,2))</f>
        <v>Sep-25</v>
      </c>
      <c r="AH10" t="str">
        <f>CONCATENATE("Sep-",MID($D$6,3,2))</f>
        <v>Sep-24</v>
      </c>
      <c r="AI10" t="str">
        <f>CONCATENATE("Sep-",MID(P$6,3,2))</f>
        <v>Sep-23</v>
      </c>
      <c r="AJ10" t="str">
        <f t="shared" ref="AJ10:AK10" si="5">CONCATENATE("Sep-",MID(Q$6,3,2))</f>
        <v>Sep-22</v>
      </c>
      <c r="AK10" t="str">
        <f t="shared" si="5"/>
        <v>Sep-21</v>
      </c>
    </row>
    <row r="11" spans="1:37" x14ac:dyDescent="0.35">
      <c r="A11" s="6" t="s">
        <v>158</v>
      </c>
      <c r="D11" t="s">
        <v>92</v>
      </c>
      <c r="E11">
        <f>INDEX(actual2[Total Expenditure],MATCH($E$4,actual2[Month],0))</f>
        <v>3380998</v>
      </c>
      <c r="F11">
        <f>INDEX(actual2[Total Expenditure],MATCH($E$6,actual2[Month],0))</f>
        <v>3232094</v>
      </c>
      <c r="G11">
        <f t="array" ref="G11">INDEX(BERE2[Total Expenditure],MATCH($D$4&amp;$G$8,BERE2[FY]&amp;BERE2[Month],0))</f>
        <v>5065345</v>
      </c>
      <c r="H11" t="e">
        <f t="array" ref="H11">INDEX(BERE2[Total Expenditure],MATCH($D$4&amp;$H$8,BERE2[FY]&amp;BERE2[Month],0))</f>
        <v>#N/A</v>
      </c>
      <c r="I11">
        <f t="array" ref="I11">INDEX(BERE2[Total Expenditure],MATCH($D$6&amp;$I$8,BERE2[FY]&amp;BERE2[Month],0))</f>
        <v>4820512</v>
      </c>
      <c r="J11">
        <f t="array" ref="J11">INDEX(BERE2[Total Expenditure],MATCH($D$6&amp;$J$8,BERE2[FY]&amp;BERE2[Month],0))</f>
        <v>4716487</v>
      </c>
      <c r="K11" s="7">
        <f>(E11-F11)/ABS(F11)</f>
        <v>4.60704422581769E-2</v>
      </c>
      <c r="L11" s="10">
        <f>(E11-F11)/ABS(F11)</f>
        <v>4.60704422581769E-2</v>
      </c>
      <c r="M11" s="11">
        <f>E11/G11</f>
        <v>0.66747635156144347</v>
      </c>
      <c r="N11" s="11" t="e">
        <f>E11/H11</f>
        <v>#N/A</v>
      </c>
      <c r="O11" s="7">
        <f>E11/O$4</f>
        <v>9.4669003535487573E-2</v>
      </c>
      <c r="P11">
        <f>INDEX(actual2[Total Expenditure],MATCH(P$7,actual2[Month],0))</f>
        <v>3054217</v>
      </c>
      <c r="Q11">
        <f>INDEX(actual2[Total Expenditure],MATCH(Q$7,actual2[Month],0))</f>
        <v>2818076</v>
      </c>
      <c r="R11">
        <f>INDEX(actual2[Total Expenditure],MATCH(R$7,actual2[Month],0))</f>
        <v>2521058</v>
      </c>
      <c r="S11">
        <f>INDEX(actual2[Total Expenditure],MATCH(S$7,actual2[Month],0))</f>
        <v>2280147</v>
      </c>
      <c r="T11" s="7"/>
      <c r="U11">
        <f t="array" ref="U11">INDEX(BERE2[Total Expenditure],MATCH($U$6&amp;U$8,BERE2[FY]&amp;BERE2[Month],0))</f>
        <v>4503097</v>
      </c>
      <c r="V11">
        <f t="array" ref="V11">INDEX(BERE2[Total Expenditure],MATCH($U$6&amp;V$8,BERE2[FY]&amp;BERE2[Month],0))</f>
        <v>4490486</v>
      </c>
      <c r="W11">
        <f t="array" ref="W11">INDEX(BERE2[Total Expenditure],MATCH($W$6&amp;W$8,BERE2[FY]&amp;BERE2[Month],0))</f>
        <v>3944909</v>
      </c>
      <c r="X11">
        <f t="array" ref="X11">INDEX(BERE2[Total Expenditure],MATCH($W$6&amp;X$8,BERE2[FY]&amp;BERE2[Month],0))</f>
        <v>4187232</v>
      </c>
      <c r="Y11">
        <f t="array" ref="Y11">INDEX(BERE2[Total Expenditure],MATCH($Y$6&amp;Y$8,BERE2[FY]&amp;BERE2[Month],0))</f>
        <v>3483236</v>
      </c>
      <c r="Z11">
        <f t="array" ref="Z11">INDEX(BERE2[Total Expenditure],MATCH($Y$6&amp;Z$8,BERE2[FY]&amp;BERE2[Month],0))</f>
        <v>3770000</v>
      </c>
      <c r="AA11">
        <f t="array" ref="AA11">INDEX(BERE2[Total Expenditure],MATCH($AA$6&amp;AA$8,BERE2[FY]&amp;BERE2[Month],0))</f>
        <v>3042230</v>
      </c>
      <c r="AB11">
        <f t="array" ref="AB11">INDEX(BERE2[Total Expenditure],MATCH($AA$6&amp;AB$8,BERE2[FY]&amp;BERE2[Month],0))</f>
        <v>3450305</v>
      </c>
      <c r="AC11" s="7"/>
      <c r="AD11" s="7"/>
      <c r="AE11" s="11"/>
      <c r="AF11" s="11"/>
      <c r="AG11" t="str">
        <f>CONCATENATE("Oct-",MID($D$4,3,2))</f>
        <v>Oct-25</v>
      </c>
      <c r="AH11" t="str">
        <f>CONCATENATE("Oct-",MID($D$6,3,2))</f>
        <v>Oct-24</v>
      </c>
      <c r="AI11" t="str">
        <f>CONCATENATE("Oct-",MID(P$6,3,2))</f>
        <v>Oct-23</v>
      </c>
      <c r="AJ11" t="str">
        <f t="shared" ref="AJ11:AK11" si="6">CONCATENATE("Oct-",MID(Q$6,3,2))</f>
        <v>Oct-22</v>
      </c>
      <c r="AK11" t="str">
        <f t="shared" si="6"/>
        <v>Oct-21</v>
      </c>
    </row>
    <row r="12" spans="1:37" ht="17.5" customHeight="1" x14ac:dyDescent="0.35">
      <c r="A12" s="6" t="s">
        <v>165</v>
      </c>
      <c r="L12" s="10"/>
      <c r="AG12" t="str">
        <f>CONCATENATE("Nov-",MID($D$4,3,2))</f>
        <v>Nov-25</v>
      </c>
      <c r="AH12" t="str">
        <f>CONCATENATE("Nov-",MID($D$6,3,2))</f>
        <v>Nov-24</v>
      </c>
      <c r="AI12" t="str">
        <f>CONCATENATE("Nov-",MID(P$6,3,2))</f>
        <v>Nov-23</v>
      </c>
      <c r="AJ12" t="str">
        <f t="shared" ref="AJ12:AK12" si="7">CONCATENATE("Nov-",MID(Q$6,3,2))</f>
        <v>Nov-22</v>
      </c>
      <c r="AK12" t="str">
        <f t="shared" si="7"/>
        <v>Nov-21</v>
      </c>
    </row>
    <row r="13" spans="1:37" x14ac:dyDescent="0.35">
      <c r="A13" s="6" t="s">
        <v>177</v>
      </c>
      <c r="D13" t="s">
        <v>45</v>
      </c>
      <c r="E13">
        <f>INDEX(actual2[Fiscal Deficit],MATCH($E$4,actual2[Month],0))</f>
        <v>855842</v>
      </c>
      <c r="F13">
        <f>INDEX(actual2[Fiscal Deficit],MATCH($E$6,actual2[Month],0))</f>
        <v>914089</v>
      </c>
      <c r="G13">
        <f t="array" ref="G13">INDEX(BERE2[Fiscal Deficit],MATCH($D$4&amp;$G$8,BERE2[FY]&amp;BERE2[Month],0))</f>
        <v>1568936</v>
      </c>
      <c r="H13" t="e">
        <f t="array" ref="H13">INDEX(BERE2[Fiscal Deficit],MATCH($D$4&amp;$H$8,BERE2[FY]&amp;BERE2[Month],0))</f>
        <v>#N/A</v>
      </c>
      <c r="I13">
        <f t="array" ref="I13">INDEX(BERE2[Fiscal Deficit],MATCH($D$6&amp;$I$8,BERE2[FY]&amp;BERE2[Month],0))</f>
        <v>1613312</v>
      </c>
      <c r="J13">
        <f t="array" ref="J13">INDEX(BERE2[Fiscal Deficit],MATCH($D$6&amp;$J$8,BERE2[FY]&amp;BERE2[Month],0))</f>
        <v>1569527</v>
      </c>
      <c r="K13" s="7">
        <f>(E13-F13)/ABS(F13)</f>
        <v>-6.3721366300218032E-2</v>
      </c>
      <c r="L13" s="10">
        <f>(E13-F13)/ABS(F13)</f>
        <v>-6.3721366300218032E-2</v>
      </c>
      <c r="M13" s="11">
        <f>E13/G13</f>
        <v>0.54549197672817762</v>
      </c>
      <c r="N13" s="11" t="e">
        <f>E13/H13</f>
        <v>#N/A</v>
      </c>
      <c r="O13" s="7">
        <f>E13/O$4</f>
        <v>2.3963844203344326E-2</v>
      </c>
      <c r="P13">
        <f>INDEX(actual2[Fiscal Deficit],MATCH(P$7,actual2[Month],0))</f>
        <v>982278</v>
      </c>
      <c r="Q13">
        <f>INDEX(actual2[Fiscal Deficit],MATCH(Q$7,actual2[Month],0))</f>
        <v>992976</v>
      </c>
      <c r="R13">
        <f>INDEX(actual2[Fiscal Deficit],MATCH(R$7,actual2[Month],0))</f>
        <v>759366</v>
      </c>
      <c r="S13">
        <f>INDEX(actual2[Fiscal Deficit],MATCH(S$7,actual2[Month],0))</f>
        <v>1158469</v>
      </c>
      <c r="T13" s="7"/>
      <c r="U13">
        <f t="array" ref="U13">INDEX(BERE2[Fiscal Deficit],MATCH($U$6&amp;U$8,BERE2[FY]&amp;BERE2[Month],0))</f>
        <v>1786816</v>
      </c>
      <c r="V13">
        <f t="array" ref="V13">INDEX(BERE2[Fiscal Deficit],MATCH($U$6&amp;V$8,BERE2[FY]&amp;BERE2[Month],0))</f>
        <v>1734773</v>
      </c>
      <c r="W13">
        <f t="array" ref="W13">INDEX(BERE2[Fiscal Deficit],MATCH($W$6&amp;W$8,BERE2[FY]&amp;BERE2[Month],0))</f>
        <v>1661196</v>
      </c>
      <c r="X13">
        <f t="array" ref="X13">INDEX(BERE2[Fiscal Deficit],MATCH($W$6&amp;X$8,BERE2[FY]&amp;BERE2[Month],0))</f>
        <v>1755319</v>
      </c>
      <c r="Y13">
        <f t="array" ref="Y13">INDEX(BERE2[Fiscal Deficit],MATCH($Y$6&amp;Y$8,BERE2[FY]&amp;BERE2[Month],0))</f>
        <v>1506812</v>
      </c>
      <c r="Z13">
        <f t="array" ref="Z13">INDEX(BERE2[Fiscal Deficit],MATCH($Y$6&amp;Z$8,BERE2[FY]&amp;BERE2[Month],0))</f>
        <v>1591089</v>
      </c>
      <c r="AA13">
        <f t="array" ref="AA13">INDEX(BERE2[Fiscal Deficit],MATCH($AA$6&amp;AA$8,BERE2[FY]&amp;BERE2[Month],0))</f>
        <v>796337</v>
      </c>
      <c r="AB13">
        <f t="array" ref="AB13">INDEX(BERE2[Fiscal Deficit],MATCH($AA$6&amp;AB$8,BERE2[FY]&amp;BERE2[Month],0))</f>
        <v>1848655</v>
      </c>
      <c r="AC13" s="7"/>
      <c r="AD13" s="7"/>
      <c r="AE13" s="11"/>
      <c r="AF13" s="11"/>
      <c r="AG13" t="str">
        <f>CONCATENATE("Dec-",MID($D$4,3,2))</f>
        <v>Dec-25</v>
      </c>
      <c r="AH13" t="str">
        <f>CONCATENATE("Dec-",MID($D$6,3,2))</f>
        <v>Dec-24</v>
      </c>
      <c r="AI13" t="str">
        <f>CONCATENATE("Dec-",MID(P$6,3,2))</f>
        <v>Dec-23</v>
      </c>
      <c r="AJ13" t="str">
        <f t="shared" ref="AJ13:AK13" si="8">CONCATENATE("Dec-",MID(Q$6,3,2))</f>
        <v>Dec-22</v>
      </c>
      <c r="AK13" t="str">
        <f t="shared" si="8"/>
        <v>Dec-21</v>
      </c>
    </row>
    <row r="14" spans="1:37" ht="17.5" customHeight="1" x14ac:dyDescent="0.35">
      <c r="A14" s="6" t="s">
        <v>190</v>
      </c>
      <c r="AG14" t="str">
        <f>CONCATENATE("Jan-",MID($D$4,6,2))</f>
        <v>Jan-26</v>
      </c>
      <c r="AH14" t="str">
        <f>CONCATENATE("Jan-",MID($D$6,6,2))</f>
        <v>Jan-25</v>
      </c>
      <c r="AI14" t="str">
        <f>CONCATENATE("Jan-",MID(P$6,6,2))</f>
        <v>Jan-24</v>
      </c>
      <c r="AJ14" t="str">
        <f t="shared" ref="AJ14:AK14" si="9">CONCATENATE("Jan-",MID(Q$6,6,2))</f>
        <v>Jan-23</v>
      </c>
      <c r="AK14" t="str">
        <f t="shared" si="9"/>
        <v>Jan-22</v>
      </c>
    </row>
    <row r="15" spans="1:37" x14ac:dyDescent="0.35">
      <c r="A15" s="6" t="s">
        <v>203</v>
      </c>
      <c r="D15" t="s">
        <v>68</v>
      </c>
      <c r="E15">
        <f>INDEX(actual2[Net Tax Revenue],MATCH($E$4,actual2[Month],0))</f>
        <v>1939254</v>
      </c>
      <c r="F15">
        <f>INDEX(actual2[Net Tax Revenue],MATCH($E$6,actual2[Month],0))</f>
        <v>1843053</v>
      </c>
      <c r="G15">
        <f t="array" ref="G15">INDEX(BERE2[Net Tax Revenue],MATCH($D$4&amp;$G$8,BERE2[FY]&amp;BERE2[Month],0))</f>
        <v>2837409</v>
      </c>
      <c r="H15" t="e">
        <f t="array" ref="H15">INDEX(BERE2[Net Tax Revenue],MATCH($D$4&amp;$H$8,BERE2[FY]&amp;BERE2[Month],0))</f>
        <v>#N/A</v>
      </c>
      <c r="I15">
        <f t="array" ref="I15">INDEX(BERE2[Net Tax Revenue],MATCH($D$6&amp;$I$8,BERE2[FY]&amp;BERE2[Month],0))</f>
        <v>2583499</v>
      </c>
      <c r="J15">
        <f t="array" ref="J15">INDEX(BERE2[Net Tax Revenue],MATCH($D$6&amp;$J$8,BERE2[FY]&amp;BERE2[Month],0))</f>
        <v>2556960</v>
      </c>
      <c r="K15" s="7">
        <f>(E15-F15)/ABS(F15)</f>
        <v>5.2196545622941931E-2</v>
      </c>
      <c r="L15" s="10">
        <f>(E15-F15)/ABS(F15)</f>
        <v>5.2196545622941931E-2</v>
      </c>
      <c r="M15" s="11">
        <f>E15/G15</f>
        <v>0.68345945191546231</v>
      </c>
      <c r="N15" s="11" t="e">
        <f>E15/H15</f>
        <v>#N/A</v>
      </c>
      <c r="O15" s="7">
        <f>E15/O$4</f>
        <v>5.4299719722463134E-2</v>
      </c>
      <c r="P15">
        <f>INDEX(actual2[Net Tax Revenue],MATCH(P$7,actual2[Month],0))</f>
        <v>1729931</v>
      </c>
      <c r="Q15">
        <f>INDEX(actual2[Net Tax Revenue],MATCH(Q$7,actual2[Month],0))</f>
        <v>1555692</v>
      </c>
      <c r="R15">
        <f>INDEX(actual2[Net Tax Revenue],MATCH(R$7,actual2[Month],0))</f>
        <v>1473809</v>
      </c>
      <c r="S15">
        <f>INDEX(actual2[Net Tax Revenue],MATCH(S$7,actual2[Month],0))</f>
        <v>962399</v>
      </c>
      <c r="T15" s="7"/>
      <c r="U15" s="7"/>
      <c r="V15" s="7"/>
      <c r="W15" s="7"/>
      <c r="X15" s="7"/>
      <c r="Y15" s="7"/>
      <c r="Z15" s="7"/>
      <c r="AA15" s="7"/>
      <c r="AB15" s="7"/>
      <c r="AC15" s="7"/>
      <c r="AD15" s="7"/>
      <c r="AE15" s="11"/>
      <c r="AF15" s="11"/>
      <c r="AG15" t="str">
        <f>CONCATENATE("Feb-",MID($D$4,6,2))</f>
        <v>Feb-26</v>
      </c>
      <c r="AH15" t="str">
        <f>CONCATENATE("Feb-",MID($D$6,6,2))</f>
        <v>Feb-25</v>
      </c>
      <c r="AI15" t="str">
        <f>CONCATENATE("Feb-",MID(P$6,6,2))</f>
        <v>Feb-24</v>
      </c>
      <c r="AJ15" t="str">
        <f t="shared" ref="AJ15:AK15" si="10">CONCATENATE("Feb-",MID(Q$6,6,2))</f>
        <v>Feb-23</v>
      </c>
      <c r="AK15" t="str">
        <f t="shared" si="10"/>
        <v>Feb-22</v>
      </c>
    </row>
    <row r="16" spans="1:37" ht="17.5" customHeight="1" x14ac:dyDescent="0.6">
      <c r="A16" s="6" t="s">
        <v>237</v>
      </c>
      <c r="D16" s="9"/>
      <c r="AG16" t="str">
        <f>CONCATENATE("Mar-",MID($D$4,6,2))</f>
        <v>Mar-26</v>
      </c>
      <c r="AH16" t="str">
        <f>CONCATENATE("Mar-",MID($D$6,6,2))</f>
        <v>Mar-25</v>
      </c>
      <c r="AI16" t="str">
        <f>CONCATENATE("Mar-",MID(P$6,6,2))</f>
        <v>Mar-24</v>
      </c>
      <c r="AJ16" t="str">
        <f t="shared" ref="AJ16:AK16" si="11">CONCATENATE("Mar-",MID(Q$6,6,2))</f>
        <v>Mar-23</v>
      </c>
      <c r="AK16" t="str">
        <f t="shared" si="11"/>
        <v>Mar-22</v>
      </c>
    </row>
    <row r="17" spans="4:35" x14ac:dyDescent="0.35">
      <c r="D17" t="s">
        <v>69</v>
      </c>
      <c r="E17">
        <f>INDEX(actual2[Non Tax Revenue],MATCH($E$4,actual2[Month],0))</f>
        <v>539855</v>
      </c>
      <c r="F17">
        <f>INDEX(actual2[Non Tax Revenue],MATCH($E$6,actual2[Month],0))</f>
        <v>447657</v>
      </c>
      <c r="G17">
        <f t="array" ref="G17">INDEX(BERE2[Non Tax Revenue],MATCH($D$4&amp;$G$8,BERE2[FY]&amp;BERE2[Month],0))</f>
        <v>583000</v>
      </c>
      <c r="H17" t="e">
        <f t="array" ref="H17">INDEX(BERE2[Non Tax Revenue],MATCH($D$4&amp;$H$8,BERE2[FY]&amp;BERE2[Month],0))</f>
        <v>#N/A</v>
      </c>
      <c r="I17">
        <f t="array" ref="I17">INDEX(BERE2[Non Tax Revenue],MATCH($D$6&amp;$I$8,BERE2[FY]&amp;BERE2[Month],0))</f>
        <v>545701</v>
      </c>
      <c r="J17">
        <f t="array" ref="J17">INDEX(BERE2[Non Tax Revenue],MATCH($D$6&amp;$J$8,BERE2[FY]&amp;BERE2[Month],0))</f>
        <v>531000</v>
      </c>
      <c r="K17" s="7">
        <f>(E17-F17)/ABS(F17)</f>
        <v>0.2059567928123541</v>
      </c>
      <c r="L17" s="10">
        <f>(E17-F17)/ABS(F17)</f>
        <v>0.2059567928123541</v>
      </c>
      <c r="M17" s="11">
        <f>E17/G17</f>
        <v>0.92599485420240135</v>
      </c>
      <c r="N17" s="11" t="e">
        <f>E17/H17</f>
        <v>#N/A</v>
      </c>
      <c r="O17" s="7">
        <f>E17/O$4</f>
        <v>1.5116109179493936E-2</v>
      </c>
      <c r="P17">
        <f>INDEX(actual2[Non Tax Revenue],MATCH(P$7,actual2[Month],0))</f>
        <v>312358</v>
      </c>
      <c r="Q17">
        <f>INDEX(actual2[Non Tax Revenue],MATCH(Q$7,actual2[Month],0))</f>
        <v>214302</v>
      </c>
      <c r="R17">
        <f>INDEX(actual2[Non Tax Revenue],MATCH(R$7,actual2[Month],0))</f>
        <v>259414</v>
      </c>
      <c r="S17">
        <f>INDEX(actual2[Non Tax Revenue],MATCH(S$7,actual2[Month],0))</f>
        <v>126181</v>
      </c>
      <c r="T17" s="7"/>
      <c r="U17" s="7"/>
      <c r="V17" s="7"/>
      <c r="W17" s="7"/>
      <c r="X17" s="7"/>
      <c r="Y17" s="7"/>
      <c r="Z17" s="7"/>
      <c r="AA17" s="7"/>
      <c r="AB17" s="7"/>
      <c r="AC17" s="7"/>
      <c r="AD17" s="7"/>
      <c r="AE17" s="11"/>
      <c r="AF17" s="11"/>
    </row>
    <row r="19" spans="4:35" x14ac:dyDescent="0.35">
      <c r="D19" t="s">
        <v>70</v>
      </c>
      <c r="E19">
        <f>INDEX(actual2[Non Debt Capital Receipts],MATCH($E$4,actual2[Month],0))</f>
        <v>46047</v>
      </c>
      <c r="F19">
        <f>INDEX(actual2[Non Debt Capital Receipts],MATCH($E$6,actual2[Month],0))</f>
        <v>27295</v>
      </c>
      <c r="G19">
        <f t="array" ref="G19">INDEX(BERE2[Non Debt Capital Receipts],MATCH($D$4&amp;$G$8,BERE2[FY]&amp;BERE2[Month],0))</f>
        <v>76000</v>
      </c>
      <c r="H19" t="e">
        <f t="array" ref="H19">INDEX(BERE2[Non Debt Capital Receipts],MATCH($D$4&amp;$H$8,BERE2[FY]&amp;BERE2[Month],0))</f>
        <v>#N/A</v>
      </c>
      <c r="I19">
        <f t="array" ref="I19">INDEX(BERE2[Non Debt Capital Receipts],MATCH($D$6&amp;$I$8,BERE2[FY]&amp;BERE2[Month],0))</f>
        <v>78000</v>
      </c>
      <c r="J19">
        <f t="array" ref="J19">INDEX(BERE2[Non Debt Capital Receipts],MATCH($D$6&amp;$J$8,BERE2[FY]&amp;BERE2[Month],0))</f>
        <v>59000</v>
      </c>
      <c r="K19" s="7">
        <f>(E19-F19)/ABS(F19)</f>
        <v>0.68701227331013004</v>
      </c>
      <c r="L19" s="10">
        <f>(E19-F19)/ABS(F19)</f>
        <v>0.68701227331013004</v>
      </c>
      <c r="M19" s="11">
        <f>E19/G19</f>
        <v>0.60588157894736838</v>
      </c>
      <c r="N19" s="11" t="e">
        <f>E19/H19</f>
        <v>#N/A</v>
      </c>
      <c r="O19" s="7">
        <f>E19/O$4</f>
        <v>1.2893304301861746E-3</v>
      </c>
      <c r="P19">
        <f>INDEX(actual2[Non Debt Capital Receipts],MATCH(P$7,actual2[Month],0))</f>
        <v>29650</v>
      </c>
      <c r="Q19">
        <f>INDEX(actual2[Non Debt Capital Receipts],MATCH(Q$7,actual2[Month],0))</f>
        <v>55106</v>
      </c>
      <c r="R19">
        <f>INDEX(actual2[Non Debt Capital Receipts],MATCH(R$7,actual2[Month],0))</f>
        <v>28469</v>
      </c>
      <c r="S19">
        <f>INDEX(actual2[Non Debt Capital Receipts],MATCH(S$7,actual2[Month],0))</f>
        <v>33098</v>
      </c>
      <c r="T19" s="7"/>
      <c r="U19" s="7"/>
      <c r="V19" s="7"/>
      <c r="W19" s="7"/>
      <c r="X19" s="7"/>
      <c r="Y19" s="7"/>
      <c r="Z19" s="7"/>
      <c r="AA19" s="7"/>
      <c r="AB19" s="7"/>
      <c r="AC19" s="7"/>
      <c r="AD19" s="7"/>
      <c r="AE19" s="11"/>
      <c r="AF19" s="11"/>
    </row>
    <row r="20" spans="4:35" x14ac:dyDescent="0.35">
      <c r="M20" s="11"/>
      <c r="N20" s="11"/>
      <c r="O20" s="11"/>
      <c r="T20" s="11"/>
      <c r="U20" s="11"/>
      <c r="V20" s="11"/>
      <c r="W20" s="11"/>
      <c r="X20" s="11"/>
      <c r="Y20" s="11"/>
      <c r="Z20" s="11"/>
      <c r="AA20" s="11"/>
      <c r="AB20" s="11"/>
      <c r="AC20" s="11"/>
      <c r="AD20" s="11"/>
      <c r="AE20" s="11"/>
      <c r="AF20" s="11"/>
    </row>
    <row r="21" spans="4:35" x14ac:dyDescent="0.35">
      <c r="D21" t="s">
        <v>20</v>
      </c>
      <c r="E21">
        <f>INDEX(actual1[Revenue Expenditure],MATCH($E$4,actual1[Month],0))</f>
        <v>2593063</v>
      </c>
      <c r="F21">
        <f>INDEX(actual1[Revenue Expenditure],MATCH($E$6,actual1[Month],0))</f>
        <v>2546757</v>
      </c>
      <c r="G21">
        <f t="array" ref="G21">INDEX(BERE1[Revenue Expenditure],MATCH($D$4&amp;$G$8,BERE2[FY]&amp;BERE1[Month],0))</f>
        <v>3944255</v>
      </c>
      <c r="H21" t="e">
        <f t="array" ref="H21">INDEX(BERE1[Revenue Expenditure],MATCH($D$4&amp;$H$8,BERE1[FY]&amp;BERE2[Month],0))</f>
        <v>#N/A</v>
      </c>
      <c r="I21">
        <f t="array" ref="I21">INDEX(BERE1[Revenue Expenditure],MATCH($D$6&amp;$I$8,BERE1[FY]&amp;BERE1[Month],0))</f>
        <v>3709401</v>
      </c>
      <c r="J21">
        <f t="array" ref="J21">INDEX(BERE1[Revenue Expenditure],MATCH($D$6&amp;$J$8,BERE1[FY]&amp;BERE1[Month],0))</f>
        <v>3698058</v>
      </c>
      <c r="K21" s="7">
        <f>(E21-F21)/ABS(F21)</f>
        <v>1.8182339343722233E-2</v>
      </c>
      <c r="L21" s="10">
        <f>(E21-F21)/ABS(F21)</f>
        <v>1.8182339343722233E-2</v>
      </c>
      <c r="M21" s="11">
        <f>E21/G21</f>
        <v>0.65742782857599213</v>
      </c>
      <c r="N21" s="11" t="e">
        <f>E21/H21</f>
        <v>#N/A</v>
      </c>
      <c r="O21" s="7">
        <f>E21/O$4</f>
        <v>7.2606576612805451E-2</v>
      </c>
      <c r="P21">
        <f>INDEX(actual1[Revenue Expenditure],MATCH(P$7,actual1[Month],0))</f>
        <v>2380587</v>
      </c>
      <c r="Q21">
        <f>INDEX(actual1[Revenue Expenditure],MATCH(Q$7,actual1[Month],0))</f>
        <v>2328132</v>
      </c>
      <c r="R21">
        <f>INDEX(actual1[Revenue Expenditure],MATCH(R$7,actual1[Month],0))</f>
        <v>2129414</v>
      </c>
      <c r="S21">
        <f>INDEX(actual1[Revenue Expenditure],MATCH(S$7,actual1[Month],0))</f>
        <v>1971173</v>
      </c>
      <c r="T21" s="7"/>
      <c r="U21">
        <f t="array" ref="U21">INDEX(BERE1[Revenue Expenditure],MATCH($U$6&amp;U$8,BERE1[FY]&amp;BERE1[Month],0))</f>
        <v>3502724</v>
      </c>
      <c r="V21">
        <f t="array" ref="V21">INDEX(BERE1[Revenue Expenditure],MATCH($U$6&amp;V$8,BERE1[FY]&amp;BERE1[Month],0))</f>
        <v>3540931</v>
      </c>
      <c r="W21">
        <f t="array" ref="W21">INDEX(BERE1[Revenue Expenditure],MATCH($W$6&amp;W$8,BERE1[FY]&amp;BERE1[Month],0))</f>
        <v>3195257</v>
      </c>
      <c r="X21">
        <f t="array" ref="X21">INDEX(BERE1[Revenue Expenditure],MATCH($W$6&amp;X$8,BERE1[FY]&amp;BERE1[Month],0))</f>
        <v>3459464</v>
      </c>
      <c r="Y21">
        <f t="array" ref="Y21">INDEX(BERE1[Revenue Expenditure],MATCH($Y$6&amp;Y$8,BERE1[FY]&amp;BERE1[Month],0))</f>
        <v>2929128</v>
      </c>
      <c r="Z21">
        <f t="array" ref="Z21">INDEX(BERE1[Revenue Expenditure],MATCH($Y$6&amp;Z$8,BERE1[FY]&amp;BERE1[Month],0))</f>
        <v>3168067</v>
      </c>
      <c r="AA21">
        <f t="array" ref="AA21">INDEX(BERE1[Revenue Expenditure],MATCH($AA$6&amp;AA$8,BERE1[FY]&amp;BERE1[Month],0))</f>
        <v>2630221</v>
      </c>
      <c r="AB21">
        <f t="array" ref="AB21">INDEX(BERE1[Revenue Expenditure],MATCH($AA$6&amp;AB$8,BERE1[FY]&amp;BERE1[Month],0))</f>
        <v>3011916</v>
      </c>
      <c r="AC21" s="7"/>
      <c r="AD21" s="7"/>
      <c r="AE21" s="11"/>
      <c r="AF21" s="11"/>
    </row>
    <row r="22" spans="4:35" x14ac:dyDescent="0.35">
      <c r="M22" s="11"/>
      <c r="N22" s="11"/>
      <c r="O22" s="11"/>
      <c r="T22" s="11"/>
      <c r="U22" s="11"/>
      <c r="V22" s="11"/>
      <c r="W22" s="11"/>
      <c r="X22" s="11"/>
      <c r="Y22" s="11"/>
      <c r="Z22" s="11"/>
      <c r="AA22" s="11"/>
      <c r="AB22" s="11"/>
      <c r="AC22" s="11"/>
      <c r="AD22" s="11"/>
      <c r="AE22" s="11"/>
      <c r="AF22" s="11"/>
      <c r="AH22" t="str">
        <f>D4</f>
        <v>2025-26</v>
      </c>
      <c r="AI22" t="str">
        <f>D6</f>
        <v>2024-25</v>
      </c>
    </row>
    <row r="23" spans="4:35" x14ac:dyDescent="0.35">
      <c r="D23" t="s">
        <v>21</v>
      </c>
      <c r="E23">
        <f>INDEX(actual1[Capital Expenditure],MATCH($E$4,actual1[Month],0))</f>
        <v>787935</v>
      </c>
      <c r="F23">
        <f>INDEX(actual1[Capital Expenditure],MATCH($E$6,actual1[Month],0))</f>
        <v>685337</v>
      </c>
      <c r="G23">
        <f t="array" ref="G23">INDEX(BERE1[Capital Expenditure],MATCH($D$4&amp;$G$8,BERE1[FY]&amp;BERE1[Month],0))</f>
        <v>1121090</v>
      </c>
      <c r="H23" t="e">
        <f t="array" ref="H23">INDEX(BERE1[Capital Expenditure],MATCH($D$4&amp;$H$8,BERE1[FY]&amp;BERE1[Month],0))</f>
        <v>#N/A</v>
      </c>
      <c r="I23">
        <f t="array" ref="I23">INDEX(BERE1[Capital Expenditure],MATCH($D$6&amp;$I$8,BERE1[FY]&amp;BERE1[Month],0))</f>
        <v>1111111</v>
      </c>
      <c r="J23">
        <f t="array" ref="J23">INDEX(BERE1[Capital Expenditure],MATCH($D$6&amp;$J$8,BERE1[FY]&amp;BERE1[Month],0))</f>
        <v>1018429</v>
      </c>
      <c r="K23" s="7">
        <f>(E23-F23)/ABS(F23)</f>
        <v>0.14970445197034452</v>
      </c>
      <c r="L23" s="10">
        <f>(E23-F23)/ABS(F23)</f>
        <v>0.14970445197034452</v>
      </c>
      <c r="M23" s="11">
        <f>E23/G23</f>
        <v>0.70282938925509997</v>
      </c>
      <c r="N23" s="11" t="e">
        <f>E23/H23</f>
        <v>#N/A</v>
      </c>
      <c r="O23" s="7">
        <f>E23/O$4</f>
        <v>2.2062426922682118E-2</v>
      </c>
      <c r="P23">
        <f>INDEX(actual1[Capital Expenditure],MATCH(P$7,actual1[Month],0))</f>
        <v>673630</v>
      </c>
      <c r="Q23">
        <f>INDEX(actual1[Capital Expenditure],MATCH(Q$7,actual1[Month],0))</f>
        <v>489944</v>
      </c>
      <c r="R23">
        <f>INDEX(actual1[Capital Expenditure],MATCH(R$7,actual1[Month],0))</f>
        <v>391644</v>
      </c>
      <c r="S23">
        <f>INDEX(actual1[Capital Expenditure],MATCH(S$7,actual1[Month],0))</f>
        <v>308974</v>
      </c>
      <c r="T23" s="7"/>
      <c r="U23">
        <f t="array" ref="U23">INDEX(BERE1[Capital Expenditure],MATCH($U$6&amp;U$8,BERE1[FY]&amp;BERE1[Month],0))</f>
        <v>1000373</v>
      </c>
      <c r="V23">
        <f t="array" ref="V23">INDEX(BERE1[Capital Expenditure],MATCH($U$6&amp;V$8,BERE1[FY]&amp;BERE1[Month],0))</f>
        <v>949555</v>
      </c>
      <c r="W23">
        <f t="array" ref="W23">INDEX(BERE1[Capital Expenditure],MATCH($W$6&amp;W$8,BERE1[FY]&amp;BERE1[Month],0))</f>
        <v>749652</v>
      </c>
      <c r="X23">
        <f t="array" ref="X23">INDEX(BERE1[Capital Expenditure],MATCH($W$6&amp;X$8,BERE1[FY]&amp;BERE1[Month],0))</f>
        <v>727768</v>
      </c>
      <c r="Y23">
        <f t="array" ref="Y23">INDEX(BERE1[Capital Expenditure],MATCH($Y$6&amp;Y$8,BERE1[FY]&amp;BERE1[Month],0))</f>
        <v>554108</v>
      </c>
      <c r="Z23">
        <f t="array" ref="Z23">INDEX(BERE1[Capital Expenditure],MATCH($Y$6&amp;Z$8,BERE1[FY]&amp;BERE1[Month],0))</f>
        <v>601933</v>
      </c>
      <c r="AA23">
        <f t="array" ref="AA23">INDEX(BERE1[Capital Expenditure],MATCH($AA$6&amp;AA$8,BERE1[FY]&amp;BERE1[Month],0))</f>
        <v>412009</v>
      </c>
      <c r="AB23">
        <f t="array" ref="AB23">INDEX(BERE1[Capital Expenditure],MATCH($AA$6&amp;AB$8,BERE1[FY]&amp;BERE1[Month],0))</f>
        <v>438389</v>
      </c>
      <c r="AC23" s="7"/>
      <c r="AD23" s="7"/>
      <c r="AE23" s="11"/>
      <c r="AF23" s="11"/>
      <c r="AG23" t="s">
        <v>78</v>
      </c>
      <c r="AH23">
        <f>INDEX(actual2[Total Receipts],MATCH(AG5,actual2[Month],0))</f>
        <v>279288</v>
      </c>
      <c r="AI23">
        <f>INDEX(actual2[Total Receipts],MATCH(AH5,actual2[Month],0))</f>
        <v>213334</v>
      </c>
    </row>
    <row r="24" spans="4:35" x14ac:dyDescent="0.35">
      <c r="M24" s="11"/>
      <c r="N24" s="11"/>
      <c r="O24" s="11"/>
      <c r="T24" s="11"/>
      <c r="U24" s="11"/>
      <c r="V24" s="11"/>
      <c r="W24" s="11"/>
      <c r="X24" s="11"/>
      <c r="Y24" s="11"/>
      <c r="Z24" s="11"/>
      <c r="AA24" s="11"/>
      <c r="AB24" s="11"/>
      <c r="AC24" s="11"/>
      <c r="AD24" s="11"/>
      <c r="AE24" s="11"/>
      <c r="AF24" s="11"/>
      <c r="AG24" t="s">
        <v>79</v>
      </c>
      <c r="AH24">
        <f>INDEX(actual2[Total Receipts],MATCH(AG6,actual2[Month],0))</f>
        <v>732963</v>
      </c>
      <c r="AI24">
        <f>INDEX(actual2[Total Receipts],MATCH(AH6,actual2[Month],0))</f>
        <v>572845</v>
      </c>
    </row>
    <row r="25" spans="4:35" x14ac:dyDescent="0.35">
      <c r="D25" t="s">
        <v>99</v>
      </c>
      <c r="E25">
        <f>INDEX(actual1[Interest Payments],MATCH($E$4,actual1[Month],0))</f>
        <v>911059</v>
      </c>
      <c r="F25">
        <f>INDEX(actual1[Interest Payments],MATCH($E$6,actual1[Month],0))</f>
        <v>808313</v>
      </c>
      <c r="G25">
        <f t="array" ref="G25">INDEX(BERE1[Interest Payments],MATCH($D$4&amp;$G$8,BERE1[FY]&amp;BERE1[Month],0))</f>
        <v>1276338</v>
      </c>
      <c r="H25" t="e">
        <f t="array" ref="H25">INDEX(BERE1[Interest Payments],MATCH($D$4&amp;$H$8,BERE1[FY]&amp;BERE1[Month],0))</f>
        <v>#N/A</v>
      </c>
      <c r="I25">
        <f t="array" ref="I25">INDEX(BERE1[Interest Payments],MATCH($D$6&amp;$I$8,BERE1[FY]&amp;BERE1[Month],0))</f>
        <v>1162940</v>
      </c>
      <c r="J25">
        <f t="array" ref="J25">INDEX(BERE1[Interest Payments],MATCH($D$6&amp;$J$8,BERE1[FY]&amp;BERE1[Month],0))</f>
        <v>1137940</v>
      </c>
      <c r="K25" s="7">
        <f>(E25-F25)/ABS(F25)</f>
        <v>0.1271116510559647</v>
      </c>
      <c r="L25" s="10">
        <f>(E25-F25)/ABS(F25)</f>
        <v>0.1271116510559647</v>
      </c>
      <c r="M25" s="11">
        <f>E25/G25</f>
        <v>0.71380700096682859</v>
      </c>
      <c r="N25" s="11" t="e">
        <f>E25/H25</f>
        <v>#N/A</v>
      </c>
      <c r="O25" s="7">
        <f>E25/O$4</f>
        <v>2.5509937507220581E-2</v>
      </c>
      <c r="P25">
        <f>INDEX(actual1[Interest Payments],MATCH(P$7,actual1[Month],0))</f>
        <v>748207</v>
      </c>
      <c r="Q25">
        <f>INDEX(actual1[Interest Payments],MATCH(Q$7,actual1[Month],0))</f>
        <v>680853</v>
      </c>
      <c r="R25">
        <f>INDEX(actual1[Interest Payments],MATCH(R$7,actual1[Month],0))</f>
        <v>565864</v>
      </c>
      <c r="S25">
        <f>INDEX(actual1[Interest Payments],MATCH(S$7,actual1[Month],0))</f>
        <v>472171</v>
      </c>
      <c r="T25" s="7"/>
      <c r="U25">
        <f t="array" ref="U25">INDEX(BERE1[Interest Payments],MATCH($U$6&amp;U$8,BERE1[FY]&amp;BERE1[Month],0))</f>
        <v>1079971</v>
      </c>
      <c r="V25">
        <f t="array" ref="V25">INDEX(BERE1[Interest Payments],MATCH($U$6&amp;V$8,BERE1[FY]&amp;BERE1[Month],0))</f>
        <v>1055427</v>
      </c>
      <c r="W25">
        <f t="array" ref="W25">INDEX(BERE1[Interest Payments],MATCH($W$6&amp;W$8,BERE1[FY]&amp;BERE1[Month],0))</f>
        <v>940651</v>
      </c>
      <c r="X25">
        <f t="array" ref="X25">INDEX(BERE1[Interest Payments],MATCH($W$6&amp;X$8,BERE1[FY]&amp;BERE1[Month],0))</f>
        <v>940651</v>
      </c>
      <c r="Y25">
        <f t="array" ref="Y25">INDEX(BERE1[Interest Payments],MATCH($Y$6&amp;Y$8,BERE1[FY]&amp;BERE1[Month],0))</f>
        <v>809701</v>
      </c>
      <c r="Z25">
        <f t="array" ref="Z25">INDEX(BERE1[Interest Payments],MATCH($Y$6&amp;Z$8,BERE1[FY]&amp;BERE1[Month],0))</f>
        <v>813791</v>
      </c>
      <c r="AA25">
        <f t="array" ref="AA25">INDEX(BERE1[Interest Payments],MATCH($AA$6&amp;AA$8,BERE1[FY]&amp;BERE1[Month],0))</f>
        <v>708203</v>
      </c>
      <c r="AB25">
        <f t="array" ref="AB25">INDEX(BERE1[Interest Payments],MATCH($AA$6&amp;AB$8,BERE1[FY]&amp;BERE1[Month],0))</f>
        <v>692900</v>
      </c>
      <c r="AC25" s="7"/>
      <c r="AD25" s="7"/>
      <c r="AE25" s="11"/>
      <c r="AF25" s="11"/>
      <c r="AG25" t="s">
        <v>80</v>
      </c>
      <c r="AH25">
        <f>INDEX(actual2[Total Receipts],MATCH(AG7,actual2[Month],0))</f>
        <v>941395</v>
      </c>
      <c r="AI25">
        <f>INDEX(actual2[Total Receipts],MATCH(AH7,actual2[Month],0))</f>
        <v>834197</v>
      </c>
    </row>
    <row r="26" spans="4:35" x14ac:dyDescent="0.35">
      <c r="M26" s="11"/>
      <c r="N26" s="11"/>
      <c r="O26" s="11"/>
      <c r="T26" s="11"/>
      <c r="U26" s="11"/>
      <c r="V26" s="11"/>
      <c r="W26" s="11"/>
      <c r="X26" s="11"/>
      <c r="Y26" s="11"/>
      <c r="Z26" s="11"/>
      <c r="AA26" s="11"/>
      <c r="AB26" s="11"/>
      <c r="AC26" s="11"/>
      <c r="AD26" s="11"/>
      <c r="AE26" s="11"/>
      <c r="AF26" s="11"/>
      <c r="AG26" t="s">
        <v>81</v>
      </c>
      <c r="AH26">
        <f>INDEX(actual2[Total Receipts],MATCH(AG8,actual2[Month],0))</f>
        <v>1095209</v>
      </c>
      <c r="AI26">
        <f>INDEX(actual2[Total Receipts],MATCH(AH8,actual2[Month],0))</f>
        <v>1023406</v>
      </c>
    </row>
    <row r="27" spans="4:35" x14ac:dyDescent="0.35">
      <c r="D27" t="s">
        <v>100</v>
      </c>
      <c r="E27">
        <f>INDEX(actual1[Defence  Services],MATCH($E$4,actual1[Month],0))</f>
        <v>233023</v>
      </c>
      <c r="F27">
        <f>INDEX(actual1[Defence  Services],MATCH($E$6,actual1[Month],0))</f>
        <v>215520</v>
      </c>
      <c r="G27">
        <f t="array" ref="G27">INDEX(BERE1[Defence  Services],MATCH($D$4&amp;$G$8,BERE1[FY]&amp;BERE1[Month],0))</f>
        <v>311732</v>
      </c>
      <c r="H27" t="e">
        <f t="array" ref="H27">INDEX(BERE1[Defence  Services],MATCH($D$4&amp;$H$8,BERE1[FY]&amp;BERE1[Month],0))</f>
        <v>#N/A</v>
      </c>
      <c r="I27">
        <f t="array" ref="I27">INDEX(BERE1[Defence  Services],MATCH($D$6&amp;$I$8,BERE1[FY]&amp;BERE1[Month],0))</f>
        <v>282773</v>
      </c>
      <c r="J27">
        <f t="array" ref="J27">INDEX(BERE1[Defence  Services],MATCH($D$6&amp;$J$8,BERE1[FY]&amp;BERE1[Month],0))</f>
        <v>297222</v>
      </c>
      <c r="K27" s="7">
        <f>(E27-F27)/ABS(F27)</f>
        <v>8.1212880475129923E-2</v>
      </c>
      <c r="L27" s="10">
        <f>(E27-F27)/ABS(F27)</f>
        <v>8.1212880475129923E-2</v>
      </c>
      <c r="M27" s="11">
        <f>E27/G27</f>
        <v>0.74751068225270423</v>
      </c>
      <c r="N27" s="11" t="e">
        <f>E27/H27</f>
        <v>#N/A</v>
      </c>
      <c r="O27" s="7">
        <f>E27/O$4</f>
        <v>6.52471702463294E-3</v>
      </c>
      <c r="P27">
        <f>INDEX(actual1[Defence  Services],MATCH(P$7,actual1[Month],0))</f>
        <v>215181</v>
      </c>
      <c r="Q27">
        <f>INDEX(actual1[Defence  Services],MATCH(Q$7,actual1[Month],0))</f>
        <v>184962</v>
      </c>
      <c r="R27">
        <f>INDEX(actual1[Defence  Services],MATCH(R$7,actual1[Month],0))</f>
        <v>179859</v>
      </c>
      <c r="S27">
        <f>INDEX(actual1[Defence  Services],MATCH(S$7,actual1[Month],0))</f>
        <v>153857</v>
      </c>
      <c r="T27" s="7"/>
      <c r="U27">
        <f t="array" ref="U27">INDEX(BERE1[Defence  Services],MATCH($U$6&amp;U$8,BERE1[FY]&amp;BERE1[Month],0))</f>
        <v>270120</v>
      </c>
      <c r="V27">
        <f t="array" ref="V27">INDEX(BERE1[Defence  Services],MATCH($U$6&amp;V$8,BERE1[FY]&amp;BERE1[Month],0))</f>
        <v>298669</v>
      </c>
      <c r="W27">
        <f t="array" ref="W27">INDEX(BERE1[Defence  Services],MATCH($W$6&amp;W$8,BERE1[FY]&amp;BERE1[Month],0))</f>
        <v>233001</v>
      </c>
      <c r="X27">
        <f t="array" ref="X27">INDEX(BERE1[Defence  Services],MATCH($W$6&amp;X$8,BERE1[FY]&amp;BERE1[Month],0))</f>
        <v>259500</v>
      </c>
      <c r="Y27">
        <f t="array" ref="Y27">INDEX(BERE1[Defence  Services],MATCH($Y$6&amp;Y$8,BERE1[FY]&amp;BERE1[Month],0))</f>
        <v>212028</v>
      </c>
      <c r="Z27">
        <f t="array" ref="Z27">INDEX(BERE1[Defence  Services],MATCH($Y$6&amp;Z$8,BERE1[FY]&amp;BERE1[Month],0))</f>
        <v>229567</v>
      </c>
      <c r="AA27">
        <f t="array" ref="AA27">INDEX(BERE1[Defence  Services],MATCH($AA$6&amp;AA$8,BERE1[FY]&amp;BERE1[Month],0))</f>
        <v>209319</v>
      </c>
      <c r="AB27">
        <f t="array" ref="AB27">INDEX(BERE1[Defence  Services],MATCH($AA$6&amp;AB$8,BERE1[FY]&amp;BERE1[Month],0))</f>
        <v>209312</v>
      </c>
      <c r="AC27" s="7"/>
      <c r="AD27" s="7"/>
      <c r="AE27" s="11"/>
      <c r="AF27" s="11"/>
      <c r="AG27" t="s">
        <v>82</v>
      </c>
      <c r="AH27">
        <f>INDEX(actual2[Total Receipts],MATCH(AG9,actual2[Month],0))</f>
        <v>1282709</v>
      </c>
      <c r="AI27">
        <f>INDEX(actual2[Total Receipts],MATCH(AH9,actual2[Month],0))</f>
        <v>1217178</v>
      </c>
    </row>
    <row r="28" spans="4:35" x14ac:dyDescent="0.35">
      <c r="M28" s="11"/>
      <c r="N28" s="11"/>
      <c r="O28" s="11"/>
      <c r="T28" s="11"/>
      <c r="U28" s="11"/>
      <c r="V28" s="11"/>
      <c r="W28" s="11"/>
      <c r="X28" s="11"/>
      <c r="Y28" s="11"/>
      <c r="Z28" s="11"/>
      <c r="AA28" s="11"/>
      <c r="AB28" s="11"/>
      <c r="AC28" s="11"/>
      <c r="AD28" s="11"/>
      <c r="AE28" s="11"/>
      <c r="AF28" s="11"/>
      <c r="AG28" t="s">
        <v>83</v>
      </c>
      <c r="AH28">
        <f>INDEX(actual2[Total Receipts],MATCH(AG10,actual2[Month],0))</f>
        <v>1730216</v>
      </c>
      <c r="AI28">
        <f>INDEX(actual2[Total Receipts],MATCH(AH10,actual2[Month],0))</f>
        <v>1636974</v>
      </c>
    </row>
    <row r="29" spans="4:35" x14ac:dyDescent="0.35">
      <c r="D29" t="s">
        <v>101</v>
      </c>
      <c r="E29">
        <f>INDEX(actual1[Grants in Aid  to States &amp; UTs],MATCH($E$4,actual1[Month],0))</f>
        <v>247273</v>
      </c>
      <c r="F29">
        <f>INDEX(actual1[Grants in Aid  to States &amp; UTs],MATCH($E$6,actual1[Month],0))</f>
        <v>348245</v>
      </c>
      <c r="G29">
        <f t="array" ref="G29">INDEX(BERE1[Grants in Aid  to States &amp; UTs],MATCH($D$4&amp;$G$8,BERE1[FY]&amp;BERE1[Month],0))</f>
        <v>720056</v>
      </c>
      <c r="H29" t="e">
        <f t="array" ref="H29">INDEX(BERE1[Grants in Aid  to States &amp; UTs],MATCH($D$4&amp;$H$8,BERE1[FY]&amp;BERE1[Month],0))</f>
        <v>#N/A</v>
      </c>
      <c r="I29" s="21">
        <f t="array" ref="I29">INDEX(BERE1[Grants in Aid  to States &amp; UTs],MATCH($D$6&amp;$I$8,BERE1[FY]&amp;BERE1[Month],0))</f>
        <v>641460</v>
      </c>
      <c r="J29">
        <f t="array" ref="J29">INDEX(BERE1[Grants in Aid  to States &amp; UTs],MATCH($D$6&amp;$J$8,BERE1[FY]&amp;BERE1[Month],0))</f>
        <v>594207</v>
      </c>
      <c r="K29" s="7">
        <f>(E29-F29)/ABS(F29)</f>
        <v>-0.28994529713276573</v>
      </c>
      <c r="L29" s="10">
        <f>(E29-F29)/ABS(F29)</f>
        <v>-0.28994529713276573</v>
      </c>
      <c r="M29" s="11">
        <f>E29/G29</f>
        <v>0.34340801271012256</v>
      </c>
      <c r="N29" s="11" t="e">
        <f>E29/H29</f>
        <v>#N/A</v>
      </c>
      <c r="O29" s="7">
        <f>E29/O$4</f>
        <v>6.9237214902909197E-3</v>
      </c>
      <c r="P29">
        <f>INDEX(actual1[Grants in Aid  to States &amp; UTs],MATCH(P$7,actual1[Month],0))</f>
        <v>349946</v>
      </c>
      <c r="Q29">
        <f>INDEX(actual1[Grants in Aid  to States &amp; UTs],MATCH(Q$7,actual1[Month],0))</f>
        <v>387918</v>
      </c>
      <c r="R29">
        <f>INDEX(actual1[Grants in Aid  to States &amp; UTs],MATCH(R$7,actual1[Month],0))</f>
        <v>426909</v>
      </c>
      <c r="S29">
        <f>INDEX(actual1[Grants in Aid  to States &amp; UTs],MATCH(S$7,actual1[Month],0))</f>
        <v>439785</v>
      </c>
      <c r="T29" s="7"/>
      <c r="U29">
        <f t="array" ref="U29">INDEX(BERE1[Grants in Aid  to States &amp; UTs],MATCH($U$6&amp;U$8,BERE1[FY]&amp;BERE1[Month],0))</f>
        <v>659736</v>
      </c>
      <c r="V29">
        <f t="array" ref="V29">INDEX(BERE1[Grants in Aid  to States &amp; UTs],MATCH($U$6&amp;V$8,BERE1[FY]&amp;BERE1[Month],0))</f>
        <v>590531</v>
      </c>
      <c r="W29">
        <f t="array" ref="W29">INDEX(BERE1[Grants in Aid  to States &amp; UTs],MATCH($W$6&amp;W$8,BERE1[FY]&amp;BERE1[Month],0))</f>
        <v>617057</v>
      </c>
      <c r="X29">
        <f t="array" ref="X29">INDEX(BERE1[Grants in Aid  to States &amp; UTs],MATCH($W$6&amp;X$8,BERE1[FY]&amp;BERE1[Month],0))</f>
        <v>613196</v>
      </c>
      <c r="Y29">
        <f t="array" ref="Y29">INDEX(BERE1[Grants in Aid  to States &amp; UTs],MATCH($Y$6&amp;Y$8,BERE1[FY]&amp;BERE1[Month],0))</f>
        <v>605812</v>
      </c>
      <c r="Z29">
        <f t="array" ref="Z29">INDEX(BERE1[Grants in Aid  to States &amp; UTs],MATCH($Y$6&amp;Z$8,BERE1[FY]&amp;BERE1[Month],0))</f>
        <v>587918</v>
      </c>
      <c r="AA29">
        <f t="array" ref="AA29">INDEX(BERE1[Grants in Aid  to States &amp; UTs],MATCH($AA$6&amp;AA$8,BERE1[FY]&amp;BERE1[Month],0))</f>
        <v>562046</v>
      </c>
      <c r="AB29">
        <f t="array" ref="AB29">INDEX(BERE1[Grants in Aid  to States &amp; UTs],MATCH($AA$6&amp;AB$8,BERE1[FY]&amp;BERE1[Month],0))</f>
        <v>559025</v>
      </c>
      <c r="AC29" s="7"/>
      <c r="AD29" s="7"/>
      <c r="AE29" s="11"/>
      <c r="AF29" s="11"/>
      <c r="AG29" t="s">
        <v>84</v>
      </c>
      <c r="AH29">
        <f>INDEX(actual2[Total Receipts],MATCH(AG11,actual2[Month],0))</f>
        <v>1800475</v>
      </c>
      <c r="AI29">
        <f>INDEX(actual2[Total Receipts],MATCH(AH11,actual2[Month],0))</f>
        <v>1723074</v>
      </c>
    </row>
    <row r="30" spans="4:35" x14ac:dyDescent="0.35">
      <c r="M30" s="11"/>
      <c r="N30" s="11"/>
      <c r="O30" s="11"/>
      <c r="T30" s="11"/>
      <c r="U30" s="11"/>
      <c r="V30" s="11"/>
      <c r="W30" s="11"/>
      <c r="X30" s="11"/>
      <c r="Y30" s="11"/>
      <c r="Z30" s="11"/>
      <c r="AA30" s="11"/>
      <c r="AB30" s="11"/>
      <c r="AC30" s="11"/>
      <c r="AD30" s="11"/>
      <c r="AE30" s="11"/>
      <c r="AF30" s="11"/>
      <c r="AG30" t="s">
        <v>85</v>
      </c>
      <c r="AH30">
        <f>INDEX(actual2[Total Receipts],MATCH(AG12,actual2[Month],0))</f>
        <v>1949239</v>
      </c>
      <c r="AI30">
        <f>INDEX(actual2[Total Receipts],MATCH(AH12,actual2[Month],0))</f>
        <v>1894408</v>
      </c>
    </row>
    <row r="31" spans="4:35" x14ac:dyDescent="0.35">
      <c r="D31" t="s">
        <v>98</v>
      </c>
      <c r="E31">
        <f>INDEX(actual1[Pensions],MATCH($E$4,actual1[Month],0))</f>
        <v>226030</v>
      </c>
      <c r="F31">
        <f>INDEX(actual1[Pensions],MATCH($E$6,actual1[Month],0))</f>
        <v>215263</v>
      </c>
      <c r="G31">
        <f t="array" ref="G31">INDEX(BERE1[Pensions],MATCH($D$4&amp;$G$8,BERE1[FY]&amp;BERE1[Month],0))</f>
        <v>276618</v>
      </c>
      <c r="H31" t="e">
        <f t="array" ref="H31">INDEX(BERE1[Pensions],MATCH($D$4&amp;$H$8,BERE1[FY]&amp;BERE1[Month],0))</f>
        <v>#N/A</v>
      </c>
      <c r="I31" s="21">
        <f t="array" ref="I31">INDEX(BERE1[Pensions],MATCH($D$6&amp;$I$8,BERE1[FY]&amp;BERE1[Month],0))</f>
        <v>243296</v>
      </c>
      <c r="J31">
        <f t="array" ref="J31">INDEX(BERE1[Pensions],MATCH($D$6&amp;$J$8,BERE1[FY]&amp;BERE1[Month],0))</f>
        <v>275103</v>
      </c>
      <c r="K31" s="7">
        <f>(E31-F31)/ABS(F31)</f>
        <v>5.0017885098693225E-2</v>
      </c>
      <c r="L31" s="10">
        <f>(E31-F31)/ABS(F31)</f>
        <v>5.0017885098693225E-2</v>
      </c>
      <c r="M31" s="11">
        <f>E31/G31</f>
        <v>0.81711963791221109</v>
      </c>
      <c r="N31" s="11" t="e">
        <f>E31/H31</f>
        <v>#N/A</v>
      </c>
      <c r="O31" s="7">
        <f>E31/O$4</f>
        <v>6.3289108331700452E-3</v>
      </c>
      <c r="P31">
        <f>INDEX(actual1[Pensions],MATCH(P$7,actual1[Month],0))</f>
        <v>191905</v>
      </c>
      <c r="Q31">
        <f>INDEX(actual1[Pensions],MATCH(Q$7,actual1[Month],0))</f>
        <v>168439</v>
      </c>
      <c r="R31">
        <f>INDEX(actual1[Pensions],MATCH(R$7,actual1[Month],0))</f>
        <v>146150</v>
      </c>
      <c r="S31">
        <f>INDEX(actual1[Pensions],MATCH(S$7,actual1[Month],0))</f>
        <v>159146</v>
      </c>
      <c r="T31" s="7"/>
      <c r="U31">
        <f t="array" ref="U31">INDEX(BERE1[Pensions],MATCH($U$6&amp;U$8,BERE1[FY]&amp;BERE1[Month],0))</f>
        <v>234359</v>
      </c>
      <c r="V31">
        <f t="array" ref="V31">INDEX(BERE1[Pensions],MATCH($U$6&amp;V$8,BERE1[FY]&amp;BERE1[Month],0))</f>
        <v>238049</v>
      </c>
      <c r="W31">
        <f t="array" ref="W31">INDEX(BERE1[Pensions],MATCH($W$6&amp;W$8,BERE1[FY]&amp;BERE1[Month],0))</f>
        <v>207132</v>
      </c>
      <c r="X31">
        <f t="array" ref="X31">INDEX(BERE1[Pensions],MATCH($W$6&amp;X$8,BERE1[FY]&amp;BERE1[Month],0))</f>
        <v>244780</v>
      </c>
      <c r="Y31">
        <f t="array" ref="Y31">INDEX(BERE1[Pensions],MATCH($Y$6&amp;Y$8,BERE1[FY]&amp;BERE1[Month],0))</f>
        <v>190328</v>
      </c>
      <c r="Z31">
        <f t="array" ref="Z31">INDEX(BERE1[Pensions],MATCH($Y$6&amp;Z$8,BERE1[FY]&amp;BERE1[Month],0))</f>
        <v>198962</v>
      </c>
      <c r="AA31">
        <f t="array" ref="AA31">INDEX(BERE1[Pensions],MATCH($AA$6&amp;AA$8,BERE1[FY]&amp;BERE1[Month],0))</f>
        <v>210682</v>
      </c>
      <c r="AB31">
        <f t="array" ref="AB31">INDEX(BERE1[Pensions],MATCH($AA$6&amp;AB$8,BERE1[FY]&amp;BERE1[Month],0))</f>
        <v>204393</v>
      </c>
      <c r="AC31" s="7"/>
      <c r="AD31" s="7"/>
      <c r="AE31" s="11"/>
      <c r="AF31" s="11"/>
      <c r="AG31" t="s">
        <v>86</v>
      </c>
      <c r="AH31">
        <f>INDEX(actual2[Total Receipts],MATCH(AG13,actual2[Month],0))</f>
        <v>2525156</v>
      </c>
      <c r="AI31">
        <f>INDEX(actual2[Total Receipts],MATCH(AH13,actual2[Month],0))</f>
        <v>2318005</v>
      </c>
    </row>
    <row r="32" spans="4:35" x14ac:dyDescent="0.35">
      <c r="M32" s="11"/>
      <c r="N32" s="11"/>
      <c r="O32" s="11"/>
      <c r="T32" s="11"/>
      <c r="U32" s="11"/>
      <c r="V32" s="11"/>
      <c r="W32" s="11"/>
      <c r="X32" s="11"/>
      <c r="Y32" s="11"/>
      <c r="Z32" s="11"/>
      <c r="AA32" s="11"/>
      <c r="AB32" s="11"/>
      <c r="AC32" s="11"/>
      <c r="AD32" s="11"/>
      <c r="AE32" s="11"/>
      <c r="AF32" s="11"/>
      <c r="AG32" t="s">
        <v>87</v>
      </c>
      <c r="AH32" t="e">
        <f>INDEX(actual2[Total Receipts],MATCH(AG14,actual2[Month],0))</f>
        <v>#N/A</v>
      </c>
      <c r="AI32">
        <f>INDEX(actual2[Total Receipts],MATCH(AH14,actual2[Month],0))</f>
        <v>2400412</v>
      </c>
    </row>
    <row r="33" spans="4:35" x14ac:dyDescent="0.35">
      <c r="D33" t="s">
        <v>51</v>
      </c>
      <c r="E33">
        <f>INDEX(actual1[Major Subsidies],MATCH($E$4,actual1[Month],0))</f>
        <v>317490</v>
      </c>
      <c r="F33">
        <f>INDEX(actual1[Major Subsidies],MATCH($E$6,actual1[Month],0))</f>
        <v>306994</v>
      </c>
      <c r="G33">
        <f t="array" ref="G33">INDEX(BERE1[Major Subsidies],MATCH($D$4&amp;$G$8,BERE1[FY]&amp;BERE1[Month],0))</f>
        <v>383407</v>
      </c>
      <c r="H33" t="e">
        <f t="array" ref="H33">INDEX(BERE1[Major Subsidies],MATCH($D$4&amp;$H$8,BERE1[FY]&amp;BERE1[Month],0))</f>
        <v>#N/A</v>
      </c>
      <c r="I33" s="21">
        <f t="array" ref="I33">INDEX(BERE1[Major Subsidies],MATCH($D$6&amp;$I$8,BERE1[FY]&amp;BERE1[Month],0))</f>
        <v>381175</v>
      </c>
      <c r="J33">
        <f t="array" ref="J33">INDEX(BERE1[Major Subsidies],MATCH($D$6&amp;$J$8,BERE1[FY]&amp;BERE1[Month],0))</f>
        <v>383419</v>
      </c>
      <c r="K33" s="7">
        <f>(E33-F33)/ABS(F33)</f>
        <v>3.4189593281953395E-2</v>
      </c>
      <c r="L33" s="10">
        <f>(E33-F33)/ABS(F33)</f>
        <v>3.4189593281953395E-2</v>
      </c>
      <c r="M33" s="11">
        <f>E33/G33</f>
        <v>0.82807564807110978</v>
      </c>
      <c r="N33" s="11" t="e">
        <f>E33/H33</f>
        <v>#N/A</v>
      </c>
      <c r="O33" s="7">
        <f>E33/O$4</f>
        <v>8.889819494859787E-3</v>
      </c>
      <c r="P33">
        <f>INDEX(actual1[Major Subsidies],MATCH(P$7,actual1[Month],0))</f>
        <v>276804</v>
      </c>
      <c r="Q33">
        <f>INDEX(actual1[Major Subsidies],MATCH(Q$7,actual1[Month],0))</f>
        <v>350524</v>
      </c>
      <c r="R33">
        <f>INDEX(actual1[Major Subsidies],MATCH(R$7,actual1[Month],0))</f>
        <v>271374</v>
      </c>
      <c r="S33">
        <f>INDEX(actual1[Major Subsidies],MATCH(S$7,actual1[Month],0))</f>
        <v>227352</v>
      </c>
      <c r="T33" s="7"/>
      <c r="U33">
        <f t="array" ref="U33">INDEX(BERE1[Major Subsidies],MATCH($U$6&amp;U$8,BERE1[FY]&amp;BERE1[Month],0))</f>
        <v>374707</v>
      </c>
      <c r="V33">
        <f t="array" ref="V33">INDEX(BERE1[Major Subsidies],MATCH($U$6&amp;V$8,BERE1[FY]&amp;BERE1[Month],0))</f>
        <v>413466</v>
      </c>
      <c r="W33">
        <f t="array" ref="W33">INDEX(BERE1[Major Subsidies],MATCH($W$6&amp;W$8,BERE1[FY]&amp;BERE1[Month],0))</f>
        <v>317866</v>
      </c>
      <c r="X33">
        <f t="array" ref="X33">INDEX(BERE1[Major Subsidies],MATCH($W$6&amp;X$8,BERE1[FY]&amp;BERE1[Month],0))</f>
        <v>521585</v>
      </c>
      <c r="Y33">
        <f t="array" ref="Y33">INDEX(BERE1[Major Subsidies],MATCH($Y$6&amp;Y$8,BERE1[FY]&amp;BERE1[Month],0))</f>
        <v>336439</v>
      </c>
      <c r="Z33">
        <f t="array" ref="Z33">INDEX(BERE1[Major Subsidies],MATCH($Y$6&amp;Z$8,BERE1[FY]&amp;BERE1[Month],0))</f>
        <v>422108</v>
      </c>
      <c r="AA33">
        <f t="array" ref="AA33">INDEX(BERE1[Major Subsidies],MATCH($AA$6&amp;AA$8,BERE1[FY]&amp;BERE1[Month],0))</f>
        <v>227794</v>
      </c>
      <c r="AB33">
        <f t="array" ref="AB33">INDEX(BERE1[Major Subsidies],MATCH($AA$6&amp;AB$8,BERE1[FY]&amp;BERE1[Month],0))</f>
        <v>595620</v>
      </c>
      <c r="AC33" s="7"/>
      <c r="AD33" s="7"/>
      <c r="AE33" s="11"/>
      <c r="AF33" s="11"/>
      <c r="AG33" t="s">
        <v>88</v>
      </c>
      <c r="AH33" t="e">
        <f>INDEX(actual2[Total Receipts],MATCH(AG15,actual2[Month],0))</f>
        <v>#N/A</v>
      </c>
      <c r="AI33">
        <f>INDEX(actual2[Total Receipts],MATCH(AH15,actual2[Month],0))</f>
        <v>2546317</v>
      </c>
    </row>
    <row r="34" spans="4:35" x14ac:dyDescent="0.35">
      <c r="M34" s="11"/>
      <c r="N34" s="11"/>
      <c r="O34" s="11"/>
      <c r="T34" s="11"/>
      <c r="U34" s="11"/>
      <c r="V34" s="11"/>
      <c r="W34" s="11"/>
      <c r="X34" s="11"/>
      <c r="Y34" s="11"/>
      <c r="Z34" s="11"/>
      <c r="AA34" s="11"/>
      <c r="AB34" s="11"/>
      <c r="AC34" s="11"/>
      <c r="AD34" s="11"/>
      <c r="AE34" s="11"/>
      <c r="AF34" s="11"/>
      <c r="AG34" t="s">
        <v>89</v>
      </c>
      <c r="AH34" t="e">
        <f>INDEX(actual2[Total Receipts],MATCH(AG16,actual2[Month],0))</f>
        <v>#N/A</v>
      </c>
      <c r="AI34">
        <f>INDEX(actual2[Total Receipts],MATCH(AH16,actual2[Month],0))</f>
        <v>3078247</v>
      </c>
    </row>
    <row r="35" spans="4:35" x14ac:dyDescent="0.35">
      <c r="D35" t="s">
        <v>72</v>
      </c>
      <c r="E35">
        <f>INDEX(actual2[Other Revenue Expenditure],MATCH($E$4,actual2[Month],0))</f>
        <v>658188</v>
      </c>
      <c r="F35">
        <f>INDEX(actual2[Other Revenue Expenditure],MATCH($E$6,actual2[Month],0))</f>
        <v>652422</v>
      </c>
      <c r="G35">
        <f t="array" ref="G35">INDEX(BERE2[Other Revenue Expenditure],MATCH($D$4&amp;$G$8,BERE2[FY]&amp;BERE2[Month],0))</f>
        <v>976104</v>
      </c>
      <c r="H35" t="e">
        <f t="array" ref="H35">INDEX(BERE2[Other Revenue Expenditure],MATCH($D$4&amp;$H$8,BERE2[FY]&amp;BERE2[Month],0))</f>
        <v>#N/A</v>
      </c>
      <c r="I35">
        <f t="array" ref="I35">INDEX(BERE2[Other Revenue Expenditure],MATCH($D$6&amp;$I$8,BERE2[FY]&amp;BERE2[Month],0))</f>
        <v>997757</v>
      </c>
      <c r="J35">
        <f t="array" ref="J35">INDEX(BERE2[Other Revenue Expenditure],MATCH($D$6&amp;$J$8,BERE2[FY]&amp;BERE2[Month],0))</f>
        <v>1010167</v>
      </c>
      <c r="K35" s="7">
        <f>(E35-F35)/ABS(F35)</f>
        <v>8.8378380863919359E-3</v>
      </c>
      <c r="L35" s="10">
        <f>(E35-F35)/ABS(F35)</f>
        <v>8.8378380863919359E-3</v>
      </c>
      <c r="M35" s="11">
        <f>E35/G35</f>
        <v>0.67430109906321456</v>
      </c>
      <c r="N35" s="11" t="e">
        <f>E35/H35</f>
        <v>#N/A</v>
      </c>
      <c r="O35" s="7">
        <f>E35/O$4</f>
        <v>1.8429470262631181E-2</v>
      </c>
      <c r="P35">
        <f>INDEX(actual2[Other Revenue Expenditure],MATCH(P$7,actual2[Month],0))</f>
        <v>598544</v>
      </c>
      <c r="Q35">
        <f>INDEX(actual2[Other Revenue Expenditure],MATCH(Q$7,actual2[Month],0))</f>
        <v>555436</v>
      </c>
      <c r="R35">
        <f>INDEX(actual2[Other Revenue Expenditure],MATCH(R$7,actual2[Month],0))</f>
        <v>539258</v>
      </c>
      <c r="S35">
        <f>INDEX(actual2[Other Revenue Expenditure],MATCH(S$7,actual2[Month],0))</f>
        <v>518862</v>
      </c>
      <c r="T35" s="7"/>
      <c r="U35">
        <f t="array" ref="U35">INDEX(BERE2[Other Revenue Expenditure],MATCH($U$6&amp;U$8,BERE2[FY]&amp;BERE2[Month],0))</f>
        <v>883831</v>
      </c>
      <c r="V35">
        <f t="array" ref="V35">INDEX(BERE2[Other Revenue Expenditure],MATCH($U$6&amp;V$8,BERE2[FY]&amp;BERE2[Month],0))</f>
        <v>944789</v>
      </c>
      <c r="W35">
        <f t="array" ref="W35">INDEX(BERE2[Other Revenue Expenditure],MATCH($W$6&amp;W$8,BERE2[FY]&amp;BERE2[Month],0))</f>
        <v>879550</v>
      </c>
      <c r="X35">
        <f t="array" ref="X35">INDEX(BERE2[Other Revenue Expenditure],MATCH($W$6&amp;X$8,BERE2[FY]&amp;BERE2[Month],0))</f>
        <v>879752</v>
      </c>
      <c r="Y35">
        <f t="array" ref="Y35">INDEX(BERE2[Other Revenue Expenditure],MATCH($Y$6&amp;Y$8,BERE2[FY]&amp;BERE2[Month],0))</f>
        <v>774820</v>
      </c>
      <c r="Z35">
        <f t="array" ref="Z35">INDEX(BERE2[Other Revenue Expenditure],MATCH($Y$6&amp;Z$8,BERE2[FY]&amp;BERE2[Month],0))</f>
        <v>915721</v>
      </c>
      <c r="AA35">
        <f t="array" ref="AA35">INDEX(BERE2[Other Revenue Expenditure],MATCH($AA$6&amp;AA$8,BERE2[FY]&amp;BERE2[Month],0))</f>
        <v>712177</v>
      </c>
      <c r="AB35">
        <f t="array" ref="AB35">INDEX(BERE2[Other Revenue Expenditure],MATCH($AA$6&amp;AB$8,BERE2[FY]&amp;BERE2[Month],0))</f>
        <v>750666</v>
      </c>
      <c r="AC35" s="7"/>
      <c r="AD35" s="7"/>
      <c r="AE35" s="11"/>
      <c r="AF35" s="11"/>
    </row>
    <row r="36" spans="4:35" x14ac:dyDescent="0.35">
      <c r="M36" s="11"/>
      <c r="N36" s="11"/>
      <c r="O36" s="11"/>
      <c r="T36" s="11"/>
      <c r="U36" s="11"/>
      <c r="V36" s="11"/>
      <c r="W36" s="11"/>
      <c r="X36" s="11"/>
      <c r="Y36" s="11"/>
      <c r="Z36" s="11"/>
      <c r="AA36" s="11"/>
      <c r="AB36" s="11"/>
      <c r="AC36" s="11"/>
      <c r="AD36" s="11"/>
      <c r="AE36" s="11"/>
      <c r="AF36" s="11"/>
    </row>
    <row r="37" spans="4:35" x14ac:dyDescent="0.35">
      <c r="D37" t="s">
        <v>47</v>
      </c>
      <c r="E37">
        <f>INDEX(actual2[Revenue Deficit],MATCH($E$4,actual2[Month],0))</f>
        <v>113954</v>
      </c>
      <c r="F37">
        <f>INDEX(actual2[Revenue Deficit],MATCH($E$6,actual2[Month],0))</f>
        <v>256047</v>
      </c>
      <c r="G37">
        <f t="array" ref="G37">INDEX(BERE2[Revenue Deficit],MATCH($D$4&amp;$G$8,BERE2[FY]&amp;BERE2[Month],0))</f>
        <v>523846</v>
      </c>
      <c r="H37" t="e">
        <f t="array" ref="H37">INDEX(BERE2[Revenue Deficit],MATCH($D$4&amp;$H$8,BERE2[FY]&amp;BERE2[Month],0))</f>
        <v>#N/A</v>
      </c>
      <c r="I37">
        <f t="array" ref="I37">INDEX(BERE2[Revenue Deficit],MATCH($D$6&amp;$I$8,BERE2[FY]&amp;BERE2[Month],0))</f>
        <v>580201</v>
      </c>
      <c r="J37">
        <f t="array" ref="J37">INDEX(BERE2[Revenue Deficit],MATCH($D$6&amp;$J$8,BERE2[FY]&amp;BERE2[Month],0))</f>
        <v>610098</v>
      </c>
      <c r="K37" s="7">
        <f>(E37-F37)/ABS(F37)</f>
        <v>-0.55494889610110643</v>
      </c>
      <c r="L37" s="10">
        <f>(E37-F37)/ABS(F37)</f>
        <v>-0.55494889610110643</v>
      </c>
      <c r="M37" s="11">
        <f>E37/G37</f>
        <v>0.21753339721979362</v>
      </c>
      <c r="N37" s="11" t="e">
        <f>E37/H37</f>
        <v>#N/A</v>
      </c>
      <c r="O37" s="7">
        <f>E37/O$4</f>
        <v>3.19074771084838E-3</v>
      </c>
      <c r="P37">
        <f>INDEX(actual2[Revenue Deficit],MATCH(P$7,actual2[Month],0))</f>
        <v>338298</v>
      </c>
      <c r="Q37">
        <f>INDEX(actual2[Revenue Deficit],MATCH(Q$7,actual2[Month],0))</f>
        <v>558138</v>
      </c>
      <c r="R37">
        <f>INDEX(actual2[Revenue Deficit],MATCH(R$7,actual2[Month],0))</f>
        <v>396191</v>
      </c>
      <c r="S37">
        <f>INDEX(actual2[Revenue Deficit],MATCH(S$7,actual2[Month],0))</f>
        <v>882593</v>
      </c>
      <c r="T37" s="7"/>
      <c r="U37">
        <f t="array" ref="U37">INDEX(BERE2[Revenue Deficit],MATCH($U$6&amp;U$8,BERE2[FY]&amp;BERE2[Month],0))</f>
        <v>870443</v>
      </c>
      <c r="V37">
        <f t="array" ref="V37">INDEX(BERE2[Revenue Deficit],MATCH($U$6&amp;V$8,BERE2[FY]&amp;BERE2[Month],0))</f>
        <v>841218</v>
      </c>
      <c r="W37">
        <f t="array" ref="W37">INDEX(BERE2[Revenue Deficit],MATCH($W$6&amp;W$8,BERE2[FY]&amp;BERE2[Month],0))</f>
        <v>990835</v>
      </c>
      <c r="X37">
        <f t="array" ref="X37">INDEX(BERE2[Revenue Deficit],MATCH($W$6&amp;X$8,BERE2[FY]&amp;BERE2[Month],0))</f>
        <v>1111051</v>
      </c>
      <c r="Y37">
        <f t="array" ref="Y37">INDEX(BERE2[Revenue Deficit],MATCH($Y$6&amp;Y$8,BERE2[FY]&amp;BERE2[Month],0))</f>
        <v>1140704</v>
      </c>
      <c r="Z37">
        <f t="array" ref="Z37">INDEX(BERE2[Revenue Deficit],MATCH($Y$6&amp;Z$8,BERE2[FY]&amp;BERE2[Month],0))</f>
        <v>1089131</v>
      </c>
      <c r="AA37">
        <f t="array" ref="AA37">INDEX(BERE2[Revenue Deficit],MATCH($AA$6&amp;AA$8,BERE2[FY]&amp;BERE2[Month],0))</f>
        <v>609295</v>
      </c>
      <c r="AB37">
        <f t="array" ref="AB37">INDEX(BERE2[Revenue Deficit],MATCH($AA$6&amp;AB$8,BERE2[FY]&amp;BERE2[Month],0))</f>
        <v>1456763</v>
      </c>
      <c r="AC37" s="7"/>
      <c r="AD37" s="7"/>
      <c r="AE37" s="11"/>
      <c r="AF37" s="11"/>
    </row>
    <row r="38" spans="4:35" x14ac:dyDescent="0.35">
      <c r="M38" s="11"/>
      <c r="N38" s="11"/>
      <c r="O38" s="11"/>
      <c r="T38" s="11"/>
      <c r="U38" s="11"/>
      <c r="V38" s="11"/>
      <c r="W38" s="11"/>
      <c r="X38" s="11"/>
      <c r="Y38" s="11"/>
      <c r="Z38" s="11"/>
      <c r="AA38" s="11"/>
      <c r="AB38" s="11"/>
      <c r="AC38" s="11"/>
      <c r="AD38" s="11"/>
      <c r="AE38" s="11"/>
      <c r="AF38" s="11"/>
    </row>
    <row r="39" spans="4:35" x14ac:dyDescent="0.35">
      <c r="D39" t="s">
        <v>50</v>
      </c>
      <c r="E39">
        <f>INDEX(actual2[Effective Revenue Deficit],MATCH($E$4,actual2[Month],0))</f>
        <v>-63645</v>
      </c>
      <c r="F39">
        <f>INDEX(actual2[Effective Revenue Deficit],MATCH($E$6,actual2[Month],0))</f>
        <v>56517</v>
      </c>
      <c r="G39">
        <f t="array" ref="G39">INDEX(BERE2[Effective Revenue Deficit],MATCH($D$4&amp;$G$8,BERE2[FY]&amp;BERE2[Month],0))</f>
        <v>96654</v>
      </c>
      <c r="H39" t="e">
        <f t="array" ref="H39">INDEX(BERE2[Effective Revenue Deficit],MATCH($D$4&amp;$H$8,BERE2[FY]&amp;BERE2[Month],0))</f>
        <v>#N/A</v>
      </c>
      <c r="I39">
        <f t="array" ref="I39">INDEX(BERE2[Effective Revenue Deficit],MATCH($D$6&amp;$I$8,BERE2[FY]&amp;BERE2[Month],0))</f>
        <v>189423</v>
      </c>
      <c r="J39">
        <f t="array" ref="J39">INDEX(BERE2[Effective Revenue Deficit],MATCH($D$6&amp;$J$8,BERE2[FY]&amp;BERE2[Month],0))</f>
        <v>310207</v>
      </c>
      <c r="K39" s="7">
        <f>(E39-F39)/ABS(F39)</f>
        <v>-2.1261213440203832</v>
      </c>
      <c r="L39" s="10">
        <f>(E39-F39)/ABS(F39)</f>
        <v>-2.1261213440203832</v>
      </c>
      <c r="M39" s="11">
        <f>E39/G39</f>
        <v>-0.6584828356819169</v>
      </c>
      <c r="N39" s="11" t="e">
        <f>E39/H39</f>
        <v>#N/A</v>
      </c>
      <c r="O39" s="7">
        <f>E39/O$4</f>
        <v>-1.782079945038745E-3</v>
      </c>
      <c r="P39">
        <f>INDEX(actual2[Effective Revenue Deficit],MATCH(P$7,actual2[Month],0))</f>
        <v>124975</v>
      </c>
      <c r="Q39">
        <f>INDEX(actual2[Effective Revenue Deficit],MATCH(Q$7,actual2[Month],0))</f>
        <v>372605</v>
      </c>
      <c r="R39">
        <f>INDEX(actual2[Effective Revenue Deficit],MATCH(R$7,actual2[Month],0))</f>
        <v>238241</v>
      </c>
      <c r="S39">
        <f>INDEX(actual2[Effective Revenue Deficit],MATCH(S$7,actual2[Month],0))</f>
        <v>726886</v>
      </c>
      <c r="T39" s="7"/>
      <c r="U39">
        <f t="array" ref="U39">INDEX(BERE2[Effective Revenue Deficit],MATCH($U$6&amp;U$8,BERE2[FY]&amp;BERE2[Month],0))</f>
        <v>500455</v>
      </c>
      <c r="V39">
        <f t="array" ref="V39">INDEX(BERE2[Effective Revenue Deficit],MATCH($U$6&amp;V$8,BERE2[FY]&amp;BERE2[Month],0))</f>
        <v>520028</v>
      </c>
      <c r="W39">
        <f t="array" ref="W39">INDEX(BERE2[Effective Revenue Deficit],MATCH($W$6&amp;W$8,BERE2[FY]&amp;BERE2[Month],0))</f>
        <v>673192</v>
      </c>
      <c r="X39">
        <f t="array" ref="X39">INDEX(BERE2[Effective Revenue Deficit],MATCH($W$6&amp;X$8,BERE2[FY]&amp;BERE2[Month],0))</f>
        <v>785463</v>
      </c>
      <c r="Y39">
        <f t="array" ref="Y39">INDEX(BERE2[Effective Revenue Deficit],MATCH($Y$6&amp;Y$8,BERE2[FY]&amp;BERE2[Month],0))</f>
        <v>921592</v>
      </c>
      <c r="Z39">
        <f t="array" ref="Z39">INDEX(BERE2[Effective Revenue Deficit],MATCH($Y$6&amp;Z$8,BERE2[FY]&amp;BERE2[Month],0))</f>
        <v>851446</v>
      </c>
      <c r="AA39">
        <f t="array" ref="AA39">INDEX(BERE2[Effective Revenue Deficit],MATCH($AA$6&amp;AA$8,BERE2[FY]&amp;BERE2[Month],0))</f>
        <v>402795</v>
      </c>
      <c r="AB39">
        <f t="array" ref="AB39">INDEX(BERE2[Effective Revenue Deficit],MATCH($AA$6&amp;AB$8,BERE2[FY]&amp;BERE2[Month],0))</f>
        <v>1226387</v>
      </c>
      <c r="AC39" s="7"/>
      <c r="AD39" s="7"/>
      <c r="AE39" s="11"/>
      <c r="AF39" s="11"/>
    </row>
    <row r="40" spans="4:35" x14ac:dyDescent="0.35">
      <c r="M40" s="11"/>
      <c r="N40" s="11"/>
      <c r="O40" s="11"/>
      <c r="T40" s="11"/>
      <c r="U40" s="11"/>
      <c r="V40" s="11"/>
      <c r="W40" s="11"/>
      <c r="X40" s="11"/>
      <c r="Y40" s="11"/>
      <c r="Z40" s="11"/>
      <c r="AA40" s="11"/>
      <c r="AB40" s="11"/>
      <c r="AC40" s="11"/>
      <c r="AD40" s="11"/>
      <c r="AE40" s="11"/>
      <c r="AF40" s="11"/>
    </row>
    <row r="41" spans="4:35" x14ac:dyDescent="0.35">
      <c r="D41" t="s">
        <v>46</v>
      </c>
      <c r="E41">
        <f>INDEX(actual2[Primary Deficit],MATCH($E$4,actual2[Month],0))</f>
        <v>-55217</v>
      </c>
      <c r="F41">
        <f>INDEX(actual2[Primary Deficit],MATCH($E$6,actual2[Month],0))</f>
        <v>105776</v>
      </c>
      <c r="G41">
        <f t="array" ref="G41">INDEX(BERE2[Primary Deficit],MATCH($D$4&amp;$G$8,BERE2[FY]&amp;BERE2[Month],0))</f>
        <v>292598</v>
      </c>
      <c r="H41" t="e">
        <f t="array" ref="H41">INDEX(BERE2[Primary Deficit],MATCH($D$4&amp;$H$8,BERE2[FY]&amp;BERE2[Month],0))</f>
        <v>#N/A</v>
      </c>
      <c r="I41">
        <f t="array" ref="I41">INDEX(BERE2[Primary Deficit],MATCH($D$6&amp;$I$8,BERE2[FY]&amp;BERE2[Month],0))</f>
        <v>450372</v>
      </c>
      <c r="J41">
        <f t="array" ref="J41">INDEX(BERE2[Primary Deficit],MATCH($D$6&amp;$J$8,BERE2[FY]&amp;BERE2[Month],0))</f>
        <v>431587</v>
      </c>
      <c r="K41" s="7">
        <f>(E41-F41)/ABS(F41)</f>
        <v>-1.5220182271970957</v>
      </c>
      <c r="L41" s="10">
        <f>(E41-F41)/ABS(F41)</f>
        <v>-1.5220182271970957</v>
      </c>
      <c r="M41" s="11">
        <f>E41/G41</f>
        <v>-0.18871284150951134</v>
      </c>
      <c r="N41" s="11" t="e">
        <f>E41/H41</f>
        <v>#N/A</v>
      </c>
      <c r="O41" s="7">
        <f>E41/O$4</f>
        <v>-1.546093303876257E-3</v>
      </c>
      <c r="P41">
        <f>INDEX(actual2[Primary Deficit],MATCH(P$7,actual2[Month],0))</f>
        <v>234071</v>
      </c>
      <c r="Q41">
        <f>INDEX(actual2[Primary Deficit],MATCH(Q$7,actual2[Month],0))</f>
        <v>312123</v>
      </c>
      <c r="R41">
        <f>INDEX(actual2[Primary Deficit],MATCH(R$7,actual2[Month],0))</f>
        <v>193502</v>
      </c>
      <c r="S41">
        <f>INDEX(actual2[Primary Deficit],MATCH(S$7,actual2[Month],0))</f>
        <v>686298</v>
      </c>
      <c r="T41" s="7"/>
      <c r="U41">
        <f t="array" ref="U41">INDEX(BERE2[Primary Deficit],MATCH($U$6&amp;U$8,BERE2[FY]&amp;BERE2[Month],0))</f>
        <v>706845</v>
      </c>
      <c r="V41">
        <f t="array" ref="V41">INDEX(BERE2[Primary Deficit],MATCH($U$6&amp;V$8,BERE2[FY]&amp;BERE2[Month],0))</f>
        <v>679346</v>
      </c>
      <c r="W41">
        <f t="array" ref="W41">INDEX(BERE2[Primary Deficit],MATCH($W$6&amp;W$8,BERE2[FY]&amp;BERE2[Month],0))</f>
        <v>720545</v>
      </c>
      <c r="X41">
        <f t="array" ref="X41">INDEX(BERE2[Primary Deficit],MATCH($W$6&amp;X$8,BERE2[FY]&amp;BERE2[Month],0))</f>
        <v>814668</v>
      </c>
      <c r="Y41">
        <f t="array" ref="Y41">INDEX(BERE2[Primary Deficit],MATCH($Y$6&amp;Y$8,BERE2[FY]&amp;BERE2[Month],0))</f>
        <v>697111</v>
      </c>
      <c r="Z41">
        <f t="array" ref="Z41">INDEX(BERE2[Primary Deficit],MATCH($Y$6&amp;Z$8,BERE2[FY]&amp;BERE2[Month],0))</f>
        <v>777298</v>
      </c>
      <c r="AA41">
        <f t="array" ref="AA41">INDEX(BERE2[Primary Deficit],MATCH($AA$6&amp;AA$8,BERE2[FY]&amp;BERE2[Month],0))</f>
        <v>88134</v>
      </c>
      <c r="AB41">
        <f t="array" ref="AB41">INDEX(BERE2[Primary Deficit],MATCH($AA$6&amp;AB$8,BERE2[FY]&amp;BERE2[Month],0))</f>
        <v>1155755</v>
      </c>
      <c r="AC41" s="7"/>
      <c r="AD41" s="7"/>
      <c r="AE41" s="11"/>
      <c r="AF41" s="11"/>
    </row>
    <row r="43" spans="4:35" x14ac:dyDescent="0.35">
      <c r="D43" t="s">
        <v>2</v>
      </c>
      <c r="E43">
        <f>INDEX(actual1[Corporation Tax],MATCH($E$4,actual1[Month],0))</f>
        <v>832766</v>
      </c>
      <c r="F43">
        <f>INDEX(actual1[Corporation Tax],MATCH($E$6,actual1[Month],0))</f>
        <v>740926</v>
      </c>
      <c r="G43">
        <f t="array" ref="G43">INDEX(BERE1[Corporation Tax],MATCH($D$4&amp;$G$8,BERE2[FY]&amp;BERE1[Month],0))</f>
        <v>1082000</v>
      </c>
      <c r="H43" t="e">
        <f t="array" ref="H43">INDEX(BERE1[Corporation Tax],MATCH($D$4&amp;$H$8,BERE1[FY]&amp;BERE2[Month],0))</f>
        <v>#N/A</v>
      </c>
      <c r="I43">
        <f t="array" ref="I43">INDEX(BERE1[Corporation Tax],MATCH($D$6&amp;$I$8,BERE1[FY]&amp;BERE1[Month],0))</f>
        <v>1020000</v>
      </c>
      <c r="J43">
        <f t="array" ref="J43">INDEX(BERE1[Corporation Tax],MATCH($D$6&amp;$J$8,BERE1[FY]&amp;BERE1[Month],0))</f>
        <v>980000</v>
      </c>
      <c r="K43" s="7">
        <f>(E43-F43)/ABS(F43)</f>
        <v>0.12395299935486134</v>
      </c>
      <c r="L43" s="10">
        <f>(E43-F43)/ABS(F43)</f>
        <v>0.12395299935486134</v>
      </c>
      <c r="M43" s="11">
        <f>E43/G43</f>
        <v>0.76965434380776343</v>
      </c>
      <c r="N43" s="11" t="e">
        <f>E43/H43</f>
        <v>#N/A</v>
      </c>
      <c r="O43" s="7">
        <f>E43/O$4</f>
        <v>2.3317708971798811E-2</v>
      </c>
      <c r="P43">
        <f>INDEX(actual1[Corporation Tax],MATCH(P$7,actual1[Month],0))</f>
        <v>721671</v>
      </c>
      <c r="Q43">
        <f>INDEX(actual1[Corporation Tax],MATCH(Q$7,actual1[Month],0))</f>
        <v>608168</v>
      </c>
      <c r="R43">
        <f>INDEX(actual1[Corporation Tax],MATCH(R$7,actual1[Month],0))</f>
        <v>520332</v>
      </c>
      <c r="S43">
        <f>INDEX(actual1[Corporation Tax],MATCH(S$7,actual1[Month],0))</f>
        <v>312532</v>
      </c>
      <c r="T43" s="7"/>
      <c r="U43" s="7"/>
      <c r="V43" s="7"/>
      <c r="W43" s="7"/>
      <c r="X43" s="7"/>
      <c r="Y43" s="7"/>
      <c r="Z43" s="7"/>
      <c r="AA43" s="7"/>
      <c r="AB43" s="7"/>
      <c r="AC43" s="7"/>
      <c r="AD43" s="7"/>
    </row>
    <row r="45" spans="4:35" x14ac:dyDescent="0.35">
      <c r="D45" t="s">
        <v>3</v>
      </c>
      <c r="E45">
        <f>INDEX(actual1[Income Tax],MATCH($E$4,actual1[Month],0))</f>
        <v>872696</v>
      </c>
      <c r="F45">
        <f>INDEX(actual1[Income Tax],MATCH($E$6,actual1[Month],0))</f>
        <v>837817</v>
      </c>
      <c r="G45">
        <f t="array" ref="G45">INDEX(BERE1[Income Tax],MATCH($D$4&amp;$G$8,BERE2[FY]&amp;BERE1[Month],0))</f>
        <v>1357000</v>
      </c>
      <c r="H45" t="e">
        <f t="array" ref="H45">INDEX(BERE1[Income Tax],MATCH($D$4&amp;$H$8,BERE1[FY]&amp;BERE2[Month],0))</f>
        <v>#N/A</v>
      </c>
      <c r="I45">
        <f t="array" ref="I45">INDEX(BERE1[Income Tax],MATCH($D$6&amp;$I$8,BERE1[FY]&amp;BERE1[Month],0))</f>
        <v>1150000</v>
      </c>
      <c r="J45">
        <f t="array" ref="J45">INDEX(BERE1[Income Tax],MATCH($D$6&amp;$J$8,BERE1[FY]&amp;BERE1[Month],0))</f>
        <v>1199300</v>
      </c>
      <c r="K45" s="7">
        <f>(E45-F45)/ABS(F45)</f>
        <v>4.1630809592070821E-2</v>
      </c>
      <c r="L45" s="10">
        <f>(E45-F45)/ABS(F45)</f>
        <v>4.1630809592070821E-2</v>
      </c>
      <c r="M45" s="11">
        <f>E45/G45</f>
        <v>0.64310685335298456</v>
      </c>
      <c r="N45" s="11" t="e">
        <f>E45/H45</f>
        <v>#N/A</v>
      </c>
      <c r="O45" s="7">
        <f>E45/O$4</f>
        <v>2.4435761485042541E-2</v>
      </c>
      <c r="P45">
        <f>INDEX(actual1[Income Tax],MATCH(P$7,actual1[Month],0))</f>
        <v>685597</v>
      </c>
      <c r="Q45">
        <f>INDEX(actual1[Income Tax],MATCH(Q$7,actual1[Month],0))</f>
        <v>534108</v>
      </c>
      <c r="R45">
        <f>INDEX(actual1[Income Tax],MATCH(R$7,actual1[Month],0))</f>
        <v>448102</v>
      </c>
      <c r="S45">
        <f>INDEX(actual1[Income Tax],MATCH(S$7,actual1[Month],0))</f>
        <v>297806</v>
      </c>
      <c r="T45" s="7"/>
      <c r="U45" s="7"/>
      <c r="V45" s="7"/>
      <c r="W45" s="7"/>
      <c r="X45" s="7"/>
      <c r="Y45" s="7"/>
      <c r="Z45" s="7"/>
      <c r="AA45" s="7"/>
      <c r="AB45" s="7"/>
      <c r="AC45" s="7"/>
      <c r="AD45" s="7"/>
    </row>
    <row r="47" spans="4:35" x14ac:dyDescent="0.35">
      <c r="D47" t="s">
        <v>65</v>
      </c>
      <c r="E47">
        <f>INDEX(actual1[Securities Transcation Tax],MATCH($E$4,actual1[Month],0))</f>
        <v>40220</v>
      </c>
      <c r="F47">
        <f>INDEX(actual1[Securities Transcation Tax],MATCH($E$6,actual1[Month],0))</f>
        <v>40136</v>
      </c>
      <c r="G47">
        <f t="array" ref="G47">INDEX(BERE1[Securities Transcation Tax],MATCH($D$4&amp;$G$8,BERE2[FY]&amp;BERE1[Month],0))</f>
        <v>78000</v>
      </c>
      <c r="H47" t="e">
        <f t="array" ref="H47">INDEX(BERE1[Securities Transcation Tax],MATCH($D$4&amp;$H$8,BERE1[FY]&amp;BERE2[Month],0))</f>
        <v>#N/A</v>
      </c>
      <c r="I47">
        <f t="array" ref="I47">INDEX(BERE1[Securities Transcation Tax],MATCH($D$6&amp;$I$8,BERE1[FY]&amp;BERE1[Month],0))</f>
        <v>37000</v>
      </c>
      <c r="J47">
        <f t="array" ref="J47">INDEX(BERE1[Securities Transcation Tax],MATCH($D$6&amp;$J$8,BERE1[FY]&amp;BERE1[Month],0))</f>
        <v>55000</v>
      </c>
      <c r="K47" s="7">
        <f>(E47-F47)/ABS(F47)</f>
        <v>2.0928841937412797E-3</v>
      </c>
      <c r="L47" s="10">
        <f>(E47-F47)/ABS(F47)</f>
        <v>2.0928841937412797E-3</v>
      </c>
      <c r="M47" s="11">
        <f>E47/G47</f>
        <v>0.51564102564102565</v>
      </c>
      <c r="N47" s="11" t="e">
        <f>E47/H47</f>
        <v>#N/A</v>
      </c>
      <c r="O47" s="7">
        <f>E47/O$4</f>
        <v>1.1261726041237854E-3</v>
      </c>
      <c r="P47">
        <f>INDEX(actual1[Securities Transcation Tax],MATCH(P$7,actual1[Month],0))</f>
        <v>21630</v>
      </c>
      <c r="Q47">
        <f>INDEX(actual1[Securities Transcation Tax],MATCH(Q$7,actual1[Month],0))</f>
        <v>18104</v>
      </c>
      <c r="R47">
        <f>INDEX(actual1[Securities Transcation Tax],MATCH(R$7,actual1[Month],0))</f>
        <v>17348</v>
      </c>
      <c r="S47">
        <f>INDEX(actual1[Securities Transcation Tax],MATCH(S$7,actual1[Month],0))</f>
        <v>11443</v>
      </c>
      <c r="T47" s="7"/>
      <c r="U47" s="7"/>
      <c r="V47" s="7"/>
      <c r="W47" s="7"/>
      <c r="X47" s="7"/>
      <c r="Y47" s="7"/>
      <c r="Z47" s="7"/>
      <c r="AA47" s="7"/>
      <c r="AB47" s="7"/>
      <c r="AC47" s="7"/>
      <c r="AD47" s="7"/>
    </row>
    <row r="48" spans="4:35" x14ac:dyDescent="0.35">
      <c r="K48" s="7"/>
      <c r="L48" s="10"/>
      <c r="M48" s="11"/>
      <c r="N48" s="11"/>
    </row>
    <row r="49" spans="4:30" x14ac:dyDescent="0.35">
      <c r="D49" t="s">
        <v>4</v>
      </c>
      <c r="E49">
        <f>INDEX(actual1[CGST],MATCH($E$4,actual1[Month],0))</f>
        <v>710615</v>
      </c>
      <c r="F49">
        <f>INDEX(actual1[CGST],MATCH($E$6,actual1[Month],0))</f>
        <v>673256</v>
      </c>
      <c r="G49">
        <f t="array" ref="G49">INDEX(BERE1[CGST],MATCH($D$4&amp;$G$8,BERE2[FY]&amp;BERE1[Month],0))</f>
        <v>1010890</v>
      </c>
      <c r="H49" t="e">
        <f t="array" ref="H49">INDEX(BERE1[CGST],MATCH($D$4&amp;$H$8,BERE1[FY]&amp;BERE2[Month],0))</f>
        <v>#N/A</v>
      </c>
      <c r="I49">
        <f t="array" ref="I49">INDEX(BERE1[CGST],MATCH($D$6&amp;$I$8,BERE1[FY]&amp;BERE1[Month],0))</f>
        <v>910890</v>
      </c>
      <c r="J49">
        <f t="array" ref="J49">INDEX(BERE1[CGST],MATCH($D$6&amp;$J$8,BERE1[FY]&amp;BERE1[Month],0))</f>
        <v>908459</v>
      </c>
      <c r="K49" s="7">
        <f>(E49-F49)/ABS(F49)</f>
        <v>5.5490036479437239E-2</v>
      </c>
      <c r="L49" s="10">
        <f>(E49-F49)/ABS(F49)</f>
        <v>5.5490036479437239E-2</v>
      </c>
      <c r="M49" s="11">
        <f t="shared" ref="M49" si="12">E49/G49</f>
        <v>0.70295976812511751</v>
      </c>
      <c r="N49" s="11" t="e">
        <f t="shared" ref="N49" si="13">E49/H49</f>
        <v>#N/A</v>
      </c>
      <c r="O49" s="7">
        <f>E49/O$4</f>
        <v>1.9897442692178611E-2</v>
      </c>
      <c r="P49">
        <f>INDEX(actual1[CGST],MATCH(P$7,actual1[Month],0))</f>
        <v>602701</v>
      </c>
      <c r="Q49">
        <f>INDEX(actual1[CGST],MATCH(Q$7,actual1[Month],0))</f>
        <v>532194</v>
      </c>
      <c r="R49">
        <f>INDEX(actual1[CGST],MATCH(R$7,actual1[Month],0))</f>
        <v>410063</v>
      </c>
      <c r="S49">
        <f>INDEX(actual1[CGST],MATCH(S$7,actual1[Month],0))</f>
        <v>288223</v>
      </c>
      <c r="T49" s="7"/>
      <c r="U49" s="7"/>
      <c r="V49" s="7"/>
      <c r="W49" s="7"/>
      <c r="X49" s="7"/>
      <c r="Y49" s="7"/>
      <c r="Z49" s="7"/>
      <c r="AA49" s="7"/>
      <c r="AB49" s="7"/>
      <c r="AC49" s="7"/>
      <c r="AD49" s="7"/>
    </row>
    <row r="50" spans="4:30" x14ac:dyDescent="0.35">
      <c r="K50" s="7"/>
      <c r="L50" s="10"/>
      <c r="M50" s="11"/>
      <c r="N50" s="11"/>
    </row>
    <row r="51" spans="4:30" x14ac:dyDescent="0.35">
      <c r="D51" t="s">
        <v>5</v>
      </c>
      <c r="E51">
        <f>INDEX(actual1[IGST],MATCH($E$4,actual1[Month],0))</f>
        <v>15641</v>
      </c>
      <c r="F51">
        <f>INDEX(actual1[IGST],MATCH($E$6,actual1[Month],0))</f>
        <v>-31590</v>
      </c>
      <c r="G51">
        <f t="array" ref="G51">INDEX(BERE1[IGST],MATCH($D$4&amp;$G$8,BERE2[FY]&amp;BERE1[Month],0))</f>
        <v>0</v>
      </c>
      <c r="H51" t="e">
        <f t="array" ref="H51">INDEX(BERE1[IGST],MATCH($D$4&amp;$H$8,BERE1[FY]&amp;BERE2[Month],0))</f>
        <v>#N/A</v>
      </c>
      <c r="I51">
        <f t="array" ref="I51">INDEX(BERE1[IGST],MATCH($D$6&amp;$I$8,BERE1[FY]&amp;BERE1[Month],0))</f>
        <v>0</v>
      </c>
      <c r="J51">
        <f t="array" ref="J51">INDEX(BERE1[IGST],MATCH($D$6&amp;$J$8,BERE1[FY]&amp;BERE1[Month],0))</f>
        <v>0</v>
      </c>
      <c r="K51" s="7">
        <f>(E51-F51)/ABS(F51)</f>
        <v>1.4951250395694839</v>
      </c>
      <c r="L51" s="10">
        <f>(E51-F51)/ABS(F51)</f>
        <v>1.4951250395694839</v>
      </c>
      <c r="M51" s="11" t="e">
        <f t="shared" ref="M51:M61" si="14">E51/G51</f>
        <v>#DIV/0!</v>
      </c>
      <c r="N51" s="11" t="e">
        <f t="shared" ref="N51:N61" si="15">E51/H51</f>
        <v>#N/A</v>
      </c>
      <c r="O51" s="7">
        <f>E51/O$4</f>
        <v>4.3795290156887438E-4</v>
      </c>
      <c r="P51">
        <f>INDEX(actual1[IGST],MATCH(P$7,actual1[Month],0))</f>
        <v>-24071</v>
      </c>
      <c r="Q51">
        <f>INDEX(actual1[IGST],MATCH(Q$7,actual1[Month],0))</f>
        <v>142</v>
      </c>
      <c r="R51">
        <f>INDEX(actual1[IGST],MATCH(R$7,actual1[Month],0))</f>
        <v>36786</v>
      </c>
      <c r="S51">
        <f>INDEX(actual1[IGST],MATCH(S$7,actual1[Month],0))</f>
        <v>48158</v>
      </c>
      <c r="T51" s="7"/>
      <c r="U51" s="7"/>
      <c r="V51" s="7"/>
      <c r="W51" s="7"/>
      <c r="X51" s="7"/>
      <c r="Y51" s="7"/>
      <c r="Z51" s="7"/>
      <c r="AA51" s="7"/>
      <c r="AB51" s="7"/>
      <c r="AC51" s="7"/>
      <c r="AD51" s="7"/>
    </row>
    <row r="52" spans="4:30" x14ac:dyDescent="0.35">
      <c r="K52" s="7"/>
      <c r="L52" s="10"/>
      <c r="M52" s="11"/>
      <c r="N52" s="11"/>
    </row>
    <row r="53" spans="4:30" x14ac:dyDescent="0.35">
      <c r="D53" t="s">
        <v>6</v>
      </c>
      <c r="E53">
        <f>INDEX(actual1[UTGST],MATCH($E$4,actual1[Month],0))</f>
        <v>4698</v>
      </c>
      <c r="F53">
        <f>INDEX(actual1[UTGST],MATCH($E$6,actual1[Month],0))</f>
        <v>2696</v>
      </c>
      <c r="G53">
        <f t="array" ref="G53">INDEX(BERE1[UTGST],MATCH($D$4&amp;$G$8,BERE2[FY]&amp;BERE1[Month],0))</f>
        <v>5355</v>
      </c>
      <c r="H53" t="e">
        <f t="array" ref="H53">INDEX(BERE1[UTGST],MATCH($D$4&amp;$H$8,BERE1[FY]&amp;BERE2[Month],0))</f>
        <v>#N/A</v>
      </c>
      <c r="I53">
        <f t="array" ref="I53">INDEX(BERE1[UTGST],MATCH($D$6&amp;$I$8,BERE1[FY]&amp;BERE1[Month],0))</f>
        <v>4900</v>
      </c>
      <c r="J53">
        <f t="array" ref="J53">INDEX(BERE1[UTGST],MATCH($D$6&amp;$J$8,BERE1[FY]&amp;BERE1[Month],0))</f>
        <v>4940</v>
      </c>
      <c r="K53" s="7">
        <f>(E53-F53)/ABS(F53)</f>
        <v>0.74258160237388726</v>
      </c>
      <c r="L53" s="10">
        <f>(E53-F53)/ABS(F53)</f>
        <v>0.74258160237388726</v>
      </c>
      <c r="M53" s="11">
        <f t="shared" si="14"/>
        <v>0.87731092436974789</v>
      </c>
      <c r="N53" s="11" t="e">
        <f t="shared" si="15"/>
        <v>#N/A</v>
      </c>
      <c r="O53" s="7">
        <f>E53/O$4</f>
        <v>1.3154547225692549E-4</v>
      </c>
      <c r="P53">
        <f>INDEX(actual1[UTGST],MATCH(P$7,actual1[Month],0))</f>
        <v>3491</v>
      </c>
      <c r="Q53">
        <f>INDEX(actual1[UTGST],MATCH(Q$7,actual1[Month],0))</f>
        <v>2717</v>
      </c>
      <c r="R53">
        <f>INDEX(actual1[UTGST],MATCH(R$7,actual1[Month],0))</f>
        <v>1772</v>
      </c>
      <c r="S53">
        <f>INDEX(actual1[UTGST],MATCH(S$7,actual1[Month],0))</f>
        <v>1365</v>
      </c>
      <c r="T53" s="7"/>
      <c r="U53" s="7"/>
      <c r="V53" s="7"/>
      <c r="W53" s="7"/>
      <c r="X53" s="7"/>
      <c r="Y53" s="7"/>
      <c r="Z53" s="7"/>
      <c r="AA53" s="7"/>
      <c r="AB53" s="7"/>
      <c r="AC53" s="7"/>
      <c r="AD53" s="7"/>
    </row>
    <row r="54" spans="4:30" x14ac:dyDescent="0.35">
      <c r="K54" s="7"/>
      <c r="L54" s="10"/>
      <c r="M54" s="11"/>
      <c r="N54" s="11"/>
    </row>
    <row r="55" spans="4:30" x14ac:dyDescent="0.35">
      <c r="D55" t="s">
        <v>7</v>
      </c>
      <c r="E55">
        <f>INDEX(actual1[Compensation Cess],MATCH($E$4,actual1[Month],0))</f>
        <v>89777</v>
      </c>
      <c r="F55">
        <f>INDEX(actual1[Compensation Cess],MATCH($E$6,actual1[Month],0))</f>
        <v>111556</v>
      </c>
      <c r="G55">
        <f t="array" ref="G55">INDEX(BERE1[Compensation Cess],MATCH($D$4&amp;$G$8,BERE2[FY]&amp;BERE1[Month],0))</f>
        <v>167110</v>
      </c>
      <c r="H55" t="e">
        <f t="array" ref="H55">INDEX(BERE1[Compensation Cess],MATCH($D$4&amp;$H$8,BERE1[FY]&amp;BERE2[Month],0))</f>
        <v>#N/A</v>
      </c>
      <c r="I55">
        <f t="array" ref="I55">INDEX(BERE1[Compensation Cess],MATCH($D$6&amp;$I$8,BERE1[FY]&amp;BERE1[Month],0))</f>
        <v>151009</v>
      </c>
      <c r="J55">
        <f t="array" ref="J55">INDEX(BERE1[Compensation Cess],MATCH($D$6&amp;$J$8,BERE1[FY]&amp;BERE1[Month],0))</f>
        <v>153440</v>
      </c>
      <c r="K55" s="7">
        <f>(E55-F55)/ABS(F55)</f>
        <v>-0.19522930187529133</v>
      </c>
      <c r="L55" s="10">
        <f>(E55-F55)/ABS(F55)</f>
        <v>-0.19522930187529133</v>
      </c>
      <c r="M55" s="11">
        <f t="shared" si="14"/>
        <v>0.53723296032553403</v>
      </c>
      <c r="N55" s="11" t="e">
        <f t="shared" si="15"/>
        <v>#N/A</v>
      </c>
      <c r="O55" s="7">
        <f>E55/O$4</f>
        <v>2.5137841342720308E-3</v>
      </c>
      <c r="P55">
        <f>INDEX(actual1[Compensation Cess],MATCH(P$7,actual1[Month],0))</f>
        <v>104615</v>
      </c>
      <c r="Q55">
        <f>INDEX(actual1[Compensation Cess],MATCH(Q$7,actual1[Month],0))</f>
        <v>93408</v>
      </c>
      <c r="R55">
        <f>INDEX(actual1[Compensation Cess],MATCH(R$7,actual1[Month],0))</f>
        <v>75935</v>
      </c>
      <c r="S55">
        <f>INDEX(actual1[Compensation Cess],MATCH(S$7,actual1[Month],0))</f>
        <v>59081</v>
      </c>
      <c r="T55" s="7"/>
      <c r="U55" s="7"/>
      <c r="V55" s="7"/>
      <c r="W55" s="7"/>
      <c r="X55" s="7"/>
      <c r="Y55" s="7"/>
      <c r="Z55" s="7"/>
      <c r="AA55" s="7"/>
      <c r="AB55" s="7"/>
      <c r="AC55" s="7"/>
      <c r="AD55" s="7"/>
    </row>
    <row r="56" spans="4:30" x14ac:dyDescent="0.35">
      <c r="K56" s="7"/>
      <c r="L56" s="10"/>
      <c r="M56" s="11"/>
      <c r="N56" s="11"/>
    </row>
    <row r="57" spans="4:30" x14ac:dyDescent="0.35">
      <c r="D57" t="s">
        <v>8</v>
      </c>
      <c r="E57">
        <f>INDEX(actual1[Customs],MATCH($E$4,actual1[Month],0))</f>
        <v>195719</v>
      </c>
      <c r="F57">
        <f>INDEX(actual1[Customs],MATCH($E$6,actual1[Month],0))</f>
        <v>170175</v>
      </c>
      <c r="G57">
        <f t="array" ref="G57">INDEX(BERE1[Customs],MATCH($D$4&amp;$G$8,BERE2[FY]&amp;BERE1[Month],0))</f>
        <v>240000</v>
      </c>
      <c r="H57" t="e">
        <f t="array" ref="H57">INDEX(BERE1[Customs],MATCH($D$4&amp;$H$8,BERE1[FY]&amp;BERE2[Month],0))</f>
        <v>#N/A</v>
      </c>
      <c r="I57">
        <f t="array" ref="I57">INDEX(BERE1[Customs],MATCH($D$6&amp;$I$8,BERE1[FY]&amp;BERE1[Month],0))</f>
        <v>237745</v>
      </c>
      <c r="J57">
        <f t="array" ref="J57">INDEX(BERE1[Customs],MATCH($D$6&amp;$J$8,BERE1[FY]&amp;BERE1[Month],0))</f>
        <v>235000</v>
      </c>
      <c r="K57" s="7">
        <f>(E57-F57)/ABS(F57)</f>
        <v>0.15010430439253711</v>
      </c>
      <c r="L57" s="10">
        <f>(E57-F57)/ABS(F57)</f>
        <v>0.15010430439253711</v>
      </c>
      <c r="M57" s="11">
        <f t="shared" si="14"/>
        <v>0.81549583333333331</v>
      </c>
      <c r="N57" s="11" t="e">
        <f t="shared" si="15"/>
        <v>#N/A</v>
      </c>
      <c r="O57" s="7">
        <f>E57/O$4</f>
        <v>5.4801933343237973E-3</v>
      </c>
      <c r="P57">
        <f>INDEX(actual1[Customs],MATCH(P$7,actual1[Month],0))</f>
        <v>158193</v>
      </c>
      <c r="Q57">
        <f>INDEX(actual1[Customs],MATCH(Q$7,actual1[Month],0))</f>
        <v>158507</v>
      </c>
      <c r="R57">
        <f>INDEX(actual1[Customs],MATCH(R$7,actual1[Month],0))</f>
        <v>141080</v>
      </c>
      <c r="S57">
        <f>INDEX(actual1[Customs],MATCH(S$7,actual1[Month],0))</f>
        <v>79598</v>
      </c>
      <c r="T57" s="7"/>
      <c r="U57" s="7"/>
      <c r="V57" s="7"/>
      <c r="W57" s="7"/>
      <c r="X57" s="7"/>
      <c r="Y57" s="7"/>
      <c r="Z57" s="7"/>
      <c r="AA57" s="7"/>
      <c r="AB57" s="7"/>
      <c r="AC57" s="7"/>
      <c r="AD57" s="7"/>
    </row>
    <row r="58" spans="4:30" x14ac:dyDescent="0.35">
      <c r="K58" s="7"/>
      <c r="L58" s="10"/>
      <c r="M58" s="11"/>
      <c r="N58" s="11"/>
    </row>
    <row r="59" spans="4:30" x14ac:dyDescent="0.35">
      <c r="D59" t="s">
        <v>9</v>
      </c>
      <c r="E59">
        <f>INDEX(actual1[Union Excise],MATCH($E$4,actual1[Month],0))</f>
        <v>219410</v>
      </c>
      <c r="F59">
        <f>INDEX(actual1[Union Excise],MATCH($E$6,actual1[Month],0))</f>
        <v>199630</v>
      </c>
      <c r="G59">
        <f t="array" ref="G59">INDEX(BERE1[Union Excise],MATCH($D$4&amp;$G$8,BERE2[FY]&amp;BERE1[Month],0))</f>
        <v>317000</v>
      </c>
      <c r="H59" t="e">
        <f t="array" ref="H59">INDEX(BERE1[Union Excise],MATCH($D$4&amp;$H$8,BERE1[FY]&amp;BERE2[Month],0))</f>
        <v>#N/A</v>
      </c>
      <c r="I59">
        <f t="array" ref="I59">INDEX(BERE1[Union Excise],MATCH($D$6&amp;$I$8,BERE1[FY]&amp;BERE1[Month],0))</f>
        <v>319000</v>
      </c>
      <c r="J59">
        <f t="array" ref="J59">INDEX(BERE1[Union Excise],MATCH($D$6&amp;$J$8,BERE1[FY]&amp;BERE1[Month],0))</f>
        <v>305000</v>
      </c>
      <c r="K59" s="7">
        <f>(E59-F59)/ABS(F59)</f>
        <v>9.9083304112608322E-2</v>
      </c>
      <c r="L59" s="10">
        <f>(E59-F59)/ABS(F59)</f>
        <v>9.9083304112608322E-2</v>
      </c>
      <c r="M59" s="11">
        <f t="shared" si="14"/>
        <v>0.69214511041009463</v>
      </c>
      <c r="N59" s="11" t="e">
        <f t="shared" si="15"/>
        <v>#N/A</v>
      </c>
      <c r="O59" s="7">
        <f>E59/O$4</f>
        <v>6.1435487585977059E-3</v>
      </c>
      <c r="P59">
        <f>INDEX(actual1[Union Excise],MATCH(P$7,actual1[Month],0))</f>
        <v>202469</v>
      </c>
      <c r="Q59">
        <f>INDEX(actual1[Union Excise],MATCH(Q$7,actual1[Month],0))</f>
        <v>217825</v>
      </c>
      <c r="R59">
        <f>INDEX(actual1[Union Excise],MATCH(R$7,actual1[Month],0))</f>
        <v>271862</v>
      </c>
      <c r="S59">
        <f>INDEX(actual1[Union Excise],MATCH(S$7,actual1[Month],0))</f>
        <v>235993</v>
      </c>
      <c r="T59" s="7"/>
      <c r="U59" s="7"/>
      <c r="V59" s="7"/>
      <c r="W59" s="7"/>
      <c r="X59" s="7"/>
      <c r="Y59" s="7"/>
      <c r="Z59" s="7"/>
      <c r="AA59" s="7"/>
      <c r="AB59" s="7"/>
      <c r="AC59" s="7"/>
      <c r="AD59" s="7"/>
    </row>
    <row r="60" spans="4:30" x14ac:dyDescent="0.35">
      <c r="K60" s="7"/>
      <c r="L60" s="10"/>
      <c r="M60" s="11"/>
      <c r="N60" s="11"/>
    </row>
    <row r="61" spans="4:30" x14ac:dyDescent="0.35">
      <c r="D61" t="s">
        <v>10</v>
      </c>
      <c r="E61">
        <f>INDEX(actual1[Service Tax],MATCH($E$4,actual1[Month],0))</f>
        <v>-1186</v>
      </c>
      <c r="F61">
        <f>INDEX(actual1[Service Tax],MATCH($E$6,actual1[Month],0))</f>
        <v>36</v>
      </c>
      <c r="G61">
        <f t="array" ref="G61">INDEX(BERE1[Service Tax],MATCH($D$4&amp;$G$8,BERE2[FY]&amp;BERE1[Month],0))</f>
        <v>100</v>
      </c>
      <c r="H61" t="e">
        <f t="array" ref="H61">INDEX(BERE1[Service Tax],MATCH($D$4&amp;$H$8,BERE1[FY]&amp;BERE2[Month],0))</f>
        <v>#N/A</v>
      </c>
      <c r="I61">
        <f t="array" ref="I61">INDEX(BERE1[Service Tax],MATCH($D$6&amp;$I$8,BERE1[FY]&amp;BERE1[Month],0))</f>
        <v>100</v>
      </c>
      <c r="J61">
        <f t="array" ref="J61">INDEX(BERE1[Service Tax],MATCH($D$6&amp;$J$8,BERE1[FY]&amp;BERE1[Month],0))</f>
        <v>100</v>
      </c>
      <c r="K61" s="7">
        <f>(E61-F61)/ABS(F61)</f>
        <v>-33.944444444444443</v>
      </c>
      <c r="L61" s="10">
        <f>(E61-F61)/ABS(F61)</f>
        <v>-33.944444444444443</v>
      </c>
      <c r="M61" s="11">
        <f t="shared" si="14"/>
        <v>-11.86</v>
      </c>
      <c r="N61" s="11" t="e">
        <f t="shared" si="15"/>
        <v>#N/A</v>
      </c>
      <c r="O61" s="7">
        <f>E61/O$4</f>
        <v>-3.3208371668095712E-5</v>
      </c>
      <c r="P61">
        <f>INDEX(actual1[Service Tax],MATCH(P$7,actual1[Month],0))</f>
        <v>397</v>
      </c>
      <c r="Q61">
        <f>INDEX(actual1[Service Tax],MATCH(Q$7,actual1[Month],0))</f>
        <v>139</v>
      </c>
      <c r="R61">
        <f>INDEX(actual1[Service Tax],MATCH(R$7,actual1[Month],0))</f>
        <v>577</v>
      </c>
      <c r="S61">
        <f>INDEX(actual1[Service Tax],MATCH(S$7,actual1[Month],0))</f>
        <v>1183</v>
      </c>
      <c r="T61" s="7"/>
      <c r="U61" s="7"/>
      <c r="V61" s="7"/>
      <c r="W61" s="7"/>
      <c r="X61" s="7"/>
      <c r="Y61" s="7"/>
      <c r="Z61" s="7"/>
      <c r="AA61" s="7"/>
      <c r="AB61" s="7"/>
      <c r="AC61" s="7"/>
      <c r="AD61" s="7"/>
    </row>
    <row r="63" spans="4:30" x14ac:dyDescent="0.35">
      <c r="D63" t="s">
        <v>13</v>
      </c>
      <c r="E63">
        <f>INDEX(actual1[Devolution to State],MATCH($E$4,actual1[Month],0))</f>
        <v>1038164</v>
      </c>
      <c r="F63">
        <f>INDEX(actual1[Devolution to State],MATCH($E$6,actual1[Month],0))</f>
        <v>901150</v>
      </c>
      <c r="G63">
        <f t="array" ref="G63">INDEX(BERE1[Devolution to State],MATCH($D$4&amp;$G$8,BERE2[FY]&amp;BERE1[Month],0))</f>
        <v>1422444</v>
      </c>
      <c r="H63" t="e">
        <f t="array" ref="H63">INDEX(BERE1[Devolution to State],MATCH($D$4&amp;$H$8,BERE2[FY]&amp;BERE1[Month],0))</f>
        <v>#N/A</v>
      </c>
      <c r="I63">
        <f t="array" ref="I63">INDEX(BERE1[Devolution to State],MATCH($D$6&amp;$I$8,BERE2[FY]&amp;BERE1[Month],0))</f>
        <v>1247211</v>
      </c>
      <c r="J63">
        <f t="array" ref="J63">INDEX(BERE1[Devolution to State],MATCH($D$6&amp;$J$8,BERE2[FY]&amp;BERE1[Month],0))</f>
        <v>1286885</v>
      </c>
      <c r="P63">
        <f>INDEX(actual1[Devolution to State],MATCH(P$7,actual1[Month],0))</f>
        <v>747288</v>
      </c>
      <c r="Q63">
        <f>INDEX(actual1[Devolution to State],MATCH(Q$7,actual1[Month],0))</f>
        <v>609437</v>
      </c>
      <c r="R63">
        <f>INDEX(actual1[Devolution to State],MATCH(R$7,actual1[Month],0))</f>
        <v>450310</v>
      </c>
      <c r="S63">
        <f>INDEX(actual1[Devolution to State],MATCH(S$7,actual1[Month],0))</f>
        <v>371640</v>
      </c>
    </row>
    <row r="65" spans="4:19" x14ac:dyDescent="0.35">
      <c r="D65" t="s">
        <v>12</v>
      </c>
      <c r="E65">
        <f>INDEX(actual1[Surcharge for financing of NCCF],MATCH($E$4,actual1[Month],0))</f>
        <v>6849</v>
      </c>
      <c r="F65">
        <f>INDEX(actual1[Surcharge for financing of NCCF],MATCH($E$6,actual1[Month],0))</f>
        <v>6225</v>
      </c>
      <c r="P65">
        <f>INDEX(actual1[Surcharge for financing of NCCF],MATCH(P$7,actual1[Month],0))</f>
        <v>5280</v>
      </c>
      <c r="Q65">
        <f>INDEX(actual1[Surcharge for financing of NCCF],MATCH(Q$7,actual1[Month],0))</f>
        <v>5569</v>
      </c>
      <c r="R65">
        <f>INDEX(actual1[Surcharge for financing of NCCF],MATCH(R$7,actual1[Month],0))</f>
        <v>4876</v>
      </c>
      <c r="S65">
        <f>INDEX(actual1[Surcharge for financing of NCCF],MATCH(S$7,actual1[Month],0))</f>
        <v>4087</v>
      </c>
    </row>
    <row r="67" spans="4:19" x14ac:dyDescent="0.35">
      <c r="D67" t="s">
        <v>14</v>
      </c>
      <c r="E67">
        <f>INDEX(actual1[Interest receipts],MATCH($E$4,actual1[Month],0))</f>
        <v>27976</v>
      </c>
      <c r="F67">
        <f>INDEX(actual1[Interest receipts],MATCH($E$6,actual1[Month],0))</f>
        <v>29903</v>
      </c>
      <c r="P67">
        <f>INDEX(actual1[Interest receipts],MATCH(P$7,actual1[Month],0))</f>
        <v>26959</v>
      </c>
      <c r="Q67">
        <f>INDEX(actual1[Interest receipts],MATCH(Q$7,actual1[Month],0))</f>
        <v>18870</v>
      </c>
      <c r="R67">
        <f>INDEX(actual1[Interest receipts],MATCH(R$7,actual1[Month],0))</f>
        <v>16055</v>
      </c>
      <c r="S67">
        <f>INDEX(actual1[Interest receipts],MATCH(S$7,actual1[Month],0))</f>
        <v>11267</v>
      </c>
    </row>
    <row r="69" spans="4:19" x14ac:dyDescent="0.35">
      <c r="D69" t="s">
        <v>15</v>
      </c>
      <c r="E69">
        <f>INDEX(actual1[Dividends and Profits],MATCH($E$4,actual1[Month],0))</f>
        <v>350269</v>
      </c>
      <c r="F69">
        <f>INDEX(actual1[Dividends and Profits],MATCH($E$6,actual1[Month],0))</f>
        <v>284772</v>
      </c>
      <c r="P69">
        <f>INDEX(actual1[Dividends and Profits],MATCH(P$7,actual1[Month],0))</f>
        <v>147232</v>
      </c>
      <c r="Q69">
        <f>INDEX(actual1[Dividends and Profits],MATCH(Q$7,actual1[Month],0))</f>
        <v>76362</v>
      </c>
      <c r="R69">
        <f>INDEX(actual1[Dividends and Profits],MATCH(R$7,actual1[Month],0))</f>
        <v>137068</v>
      </c>
      <c r="S69">
        <f>INDEX(actual1[Dividends and Profits],MATCH(S$7,actual1[Month],0))</f>
        <v>70848</v>
      </c>
    </row>
    <row r="71" spans="4:19" x14ac:dyDescent="0.35">
      <c r="D71" t="s">
        <v>16</v>
      </c>
      <c r="E71">
        <f>INDEX(actual1[Other Non Tax Receipts],MATCH($E$4,actual1[Month],0))</f>
        <v>161610</v>
      </c>
      <c r="F71">
        <f>INDEX(actual1[Other Non Tax Receipts],MATCH($E$6,actual1[Month],0))</f>
        <v>132982</v>
      </c>
      <c r="P71">
        <f>INDEX(actual1[Other Non Tax Receipts],MATCH(P$7,actual1[Month],0))</f>
        <v>138167</v>
      </c>
      <c r="Q71">
        <f>INDEX(actual1[Other Non Tax Receipts],MATCH(Q$7,actual1[Month],0))</f>
        <v>119070</v>
      </c>
      <c r="R71">
        <f>INDEX(actual1[Other Non Tax Receipts],MATCH(R$7,actual1[Month],0))</f>
        <v>106291</v>
      </c>
      <c r="S71">
        <f>INDEX(actual1[Other Non Tax Receipts],MATCH(S$7,actual1[Month],0))</f>
        <v>44066</v>
      </c>
    </row>
    <row r="73" spans="4:19" x14ac:dyDescent="0.35">
      <c r="D73" t="s">
        <v>17</v>
      </c>
      <c r="E73">
        <f>INDEX(actual1[Recovery of Loans &amp; Advances],MATCH($E$4,actual1[Month],0))</f>
        <v>18226</v>
      </c>
      <c r="F73">
        <f>INDEX(actual1[Recovery of Loans &amp; Advances],MATCH($E$6,actual1[Month],0))</f>
        <v>18301</v>
      </c>
      <c r="P73">
        <f>INDEX(actual1[Recovery of Loans &amp; Advances],MATCH(P$7,actual1[Month],0))</f>
        <v>19597</v>
      </c>
      <c r="Q73">
        <f>INDEX(actual1[Recovery of Loans &amp; Advances],MATCH(Q$7,actual1[Month],0))</f>
        <v>16435</v>
      </c>
      <c r="R73">
        <f>INDEX(actual1[Recovery of Loans &amp; Advances],MATCH(R$7,actual1[Month],0))</f>
        <v>19105</v>
      </c>
      <c r="S73">
        <f>INDEX(actual1[Recovery of Loans &amp; Advances],MATCH(S$7,actual1[Month],0))</f>
        <v>14202</v>
      </c>
    </row>
    <row r="75" spans="4:19" x14ac:dyDescent="0.35">
      <c r="D75" t="s">
        <v>211</v>
      </c>
      <c r="E75">
        <f>INDEX(actual1[Disinvestment Receipts],MATCH($E$4,actual1[Month],0))</f>
        <v>27821</v>
      </c>
      <c r="F75">
        <f>INDEX(actual1[Disinvestment Receipts],MATCH($E$6,actual1[Month],0))</f>
        <v>8994</v>
      </c>
      <c r="P75">
        <f>INDEX(actual1[Disinvestment Receipts],MATCH(P$7,actual1[Month],0))</f>
        <v>10053</v>
      </c>
      <c r="Q75">
        <f>INDEX(actual1[Disinvestment Receipts],MATCH(Q$7,actual1[Month],0))</f>
        <v>38671</v>
      </c>
      <c r="R75">
        <f>INDEX(actual1[Disinvestment Receipts],MATCH(R$7,actual1[Month],0))</f>
        <v>9364</v>
      </c>
      <c r="S75">
        <f>INDEX(actual1[Disinvestment Receipts],MATCH(S$7,actual1[Month],0))</f>
        <v>18896</v>
      </c>
    </row>
  </sheetData>
  <sheetProtection selectLockedCells="1"/>
  <phoneticPr fontId="4" type="noConversion"/>
  <dataValidations disablePrompts="1" count="1">
    <dataValidation type="list" allowBlank="1" showInputMessage="1" showErrorMessage="1" sqref="D4" xr:uid="{00000000-0002-0000-0A00-000000000000}">
      <formula1>$A$4:$A$10</formula1>
    </dataValidation>
  </dataValidations>
  <pageMargins left="0.7" right="0.7" top="0.75" bottom="0.75" header="0.3" footer="0.3"/>
  <pageSetup orientation="portrait" horizontalDpi="0" verticalDpi="0"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C4:H166"/>
  <sheetViews>
    <sheetView workbookViewId="0"/>
  </sheetViews>
  <sheetFormatPr defaultRowHeight="14.5" x14ac:dyDescent="0.35"/>
  <cols>
    <col min="3" max="3" width="14" customWidth="1"/>
    <col min="4" max="4" width="12.54296875" customWidth="1"/>
  </cols>
  <sheetData>
    <row r="4" spans="3:7" x14ac:dyDescent="0.35">
      <c r="D4" t="str">
        <f>IF(MONTH(Dashboard!D8)&lt;4,"RE","BE")</f>
        <v>BE</v>
      </c>
      <c r="E4" t="str">
        <f>Sheet5!E4</f>
        <v>Dec-25</v>
      </c>
      <c r="F4" t="str">
        <f>IF(MONTH(Dashboard!D8)&lt;4,"RE","BE")</f>
        <v>BE</v>
      </c>
      <c r="G4" t="str">
        <f>Sheet5!E6</f>
        <v>Dec-24</v>
      </c>
    </row>
    <row r="5" spans="3:7" x14ac:dyDescent="0.35">
      <c r="C5" t="s">
        <v>159</v>
      </c>
      <c r="D5">
        <f>IF(MONTH(Dashboard!$D$8)&lt;4,Sheet5!H43,Sheet5!G43)</f>
        <v>1082000</v>
      </c>
      <c r="E5">
        <f>Sheet5!E43</f>
        <v>832766</v>
      </c>
      <c r="F5">
        <f>IF(MONTH(Dashboard!$D$8)&lt;4,Sheet5!J43,Sheet5!I43)</f>
        <v>1020000</v>
      </c>
      <c r="G5">
        <f>Sheet5!F43</f>
        <v>740926</v>
      </c>
    </row>
    <row r="6" spans="3:7" x14ac:dyDescent="0.35">
      <c r="C6" t="s">
        <v>3</v>
      </c>
      <c r="D6">
        <f>IF(MONTH(Dashboard!$D$8)&lt;4,Sheet5!H45,Sheet5!G45)</f>
        <v>1357000</v>
      </c>
      <c r="E6">
        <f>Sheet5!E45</f>
        <v>872696</v>
      </c>
      <c r="F6">
        <f>IF(MONTH(Dashboard!$D$8)&lt;4,Sheet5!J45,Sheet5!I45)</f>
        <v>1150000</v>
      </c>
      <c r="G6">
        <f>Sheet5!F45</f>
        <v>837817</v>
      </c>
    </row>
    <row r="7" spans="3:7" x14ac:dyDescent="0.35">
      <c r="C7" t="s">
        <v>160</v>
      </c>
      <c r="D7">
        <f>IF(MONTH(Dashboard!$D$8)&lt;4,Sheet5!H47,Sheet5!G47)</f>
        <v>78000</v>
      </c>
      <c r="E7">
        <f>Sheet5!E47</f>
        <v>40220</v>
      </c>
      <c r="F7">
        <f>IF(MONTH(Dashboard!$D$8)&lt;4,Sheet5!J47,Sheet5!I47)</f>
        <v>37000</v>
      </c>
      <c r="G7">
        <f>Sheet5!F47</f>
        <v>40136</v>
      </c>
    </row>
    <row r="8" spans="3:7" x14ac:dyDescent="0.35">
      <c r="C8" t="s">
        <v>4</v>
      </c>
      <c r="D8">
        <f>IF(MONTH(Dashboard!$D$8)&lt;4,Sheet5!H49,Sheet5!G49)</f>
        <v>1010890</v>
      </c>
      <c r="E8">
        <f>Sheet5!E49</f>
        <v>710615</v>
      </c>
      <c r="F8">
        <f>IF(MONTH(Dashboard!$D$8)&lt;4,Sheet5!J49,Sheet5!I49)</f>
        <v>910890</v>
      </c>
      <c r="G8">
        <f>Sheet5!F49</f>
        <v>673256</v>
      </c>
    </row>
    <row r="9" spans="3:7" x14ac:dyDescent="0.35">
      <c r="C9" t="s">
        <v>5</v>
      </c>
      <c r="D9">
        <f>IF(MONTH(Dashboard!$D$8)&lt;4,Sheet5!H51,Sheet5!G51)</f>
        <v>0</v>
      </c>
      <c r="E9">
        <f>Sheet5!E51</f>
        <v>15641</v>
      </c>
      <c r="F9">
        <f>IF(MONTH(Dashboard!$D$8)&lt;4,Sheet5!J51,Sheet5!I51)</f>
        <v>0</v>
      </c>
      <c r="G9">
        <f>Sheet5!F51</f>
        <v>-31590</v>
      </c>
    </row>
    <row r="10" spans="3:7" x14ac:dyDescent="0.35">
      <c r="C10" t="s">
        <v>6</v>
      </c>
      <c r="D10">
        <f>IF(MONTH(Dashboard!$D$8)&lt;4,Sheet5!H53,Sheet5!G53)</f>
        <v>5355</v>
      </c>
      <c r="E10">
        <f>Sheet5!E53</f>
        <v>4698</v>
      </c>
      <c r="F10">
        <f>IF(MONTH(Dashboard!$D$8)&lt;4,Sheet5!J53,Sheet5!I53)</f>
        <v>4900</v>
      </c>
      <c r="G10">
        <f>Sheet5!F53</f>
        <v>2696</v>
      </c>
    </row>
    <row r="11" spans="3:7" x14ac:dyDescent="0.35">
      <c r="C11" t="s">
        <v>161</v>
      </c>
      <c r="D11">
        <f>IF(MONTH(Dashboard!$D$8)&lt;4,Sheet5!H55,Sheet5!G55)</f>
        <v>167110</v>
      </c>
      <c r="E11">
        <f>Sheet5!E55</f>
        <v>89777</v>
      </c>
      <c r="F11">
        <f>IF(MONTH(Dashboard!$D$8)&lt;4,Sheet5!J55,Sheet5!I55)</f>
        <v>151009</v>
      </c>
      <c r="G11">
        <f>Sheet5!F55</f>
        <v>111556</v>
      </c>
    </row>
    <row r="12" spans="3:7" x14ac:dyDescent="0.35">
      <c r="C12" t="s">
        <v>8</v>
      </c>
      <c r="D12">
        <f>IF(MONTH(Dashboard!$D$8)&lt;4,Sheet5!H57,Sheet5!G57)</f>
        <v>240000</v>
      </c>
      <c r="E12">
        <f>Sheet5!E57</f>
        <v>195719</v>
      </c>
      <c r="F12">
        <f>IF(MONTH(Dashboard!$D$8)&lt;4,Sheet5!J57,Sheet5!I57)</f>
        <v>237745</v>
      </c>
      <c r="G12">
        <f>Sheet5!F57</f>
        <v>170175</v>
      </c>
    </row>
    <row r="13" spans="3:7" x14ac:dyDescent="0.35">
      <c r="C13" t="s">
        <v>9</v>
      </c>
      <c r="D13">
        <f>IF(MONTH(Dashboard!$D$8)&lt;4,Sheet5!H59,Sheet5!G59)</f>
        <v>317000</v>
      </c>
      <c r="E13">
        <f>Sheet5!E59</f>
        <v>219410</v>
      </c>
      <c r="F13">
        <f>IF(MONTH(Dashboard!$D$8)&lt;4,Sheet5!J59,Sheet5!I59)</f>
        <v>319000</v>
      </c>
      <c r="G13">
        <f>Sheet5!F59</f>
        <v>199630</v>
      </c>
    </row>
    <row r="14" spans="3:7" x14ac:dyDescent="0.35">
      <c r="C14" t="s">
        <v>10</v>
      </c>
      <c r="D14">
        <f>IF(MONTH(Dashboard!$D$8)&lt;4,Sheet5!H61,Sheet5!G61)</f>
        <v>100</v>
      </c>
      <c r="E14">
        <f>Sheet5!E61</f>
        <v>-1186</v>
      </c>
      <c r="F14">
        <f>IF(MONTH(Dashboard!$D$8)&lt;4,Sheet5!J61,Sheet5!I61)</f>
        <v>100</v>
      </c>
      <c r="G14">
        <f>Sheet5!F61</f>
        <v>36</v>
      </c>
    </row>
    <row r="28" spans="3:8" x14ac:dyDescent="0.35">
      <c r="C28" t="s">
        <v>99</v>
      </c>
      <c r="D28" t="str">
        <f>Sheet5!$D$4</f>
        <v>2025-26</v>
      </c>
      <c r="E28" t="str">
        <f>Sheet5!$D$6</f>
        <v>2024-25</v>
      </c>
      <c r="F28" t="str">
        <f>Sheet5!P6</f>
        <v>2023-24</v>
      </c>
      <c r="G28" t="str">
        <f>Sheet5!Q6</f>
        <v>2022-23</v>
      </c>
      <c r="H28" t="str">
        <f>Sheet5!R6</f>
        <v>2021-22</v>
      </c>
    </row>
    <row r="29" spans="3:8" x14ac:dyDescent="0.35">
      <c r="C29" t="s">
        <v>78</v>
      </c>
      <c r="D29">
        <f>INDEX(actual1[Interest Payments],MATCH(Sheet5!$AG5,actual1[Month],0))</f>
        <v>93460</v>
      </c>
      <c r="E29">
        <f>INDEX(actual1[Interest Payments],MATCH(Sheet5!$AH5,actual1[Month],0))</f>
        <v>128263</v>
      </c>
      <c r="F29">
        <f>INDEX(actual1[Interest Payments],MATCH(Sheet5!$AI5,actual1[Month],0))</f>
        <v>47929</v>
      </c>
      <c r="G29">
        <f>INDEX(actual1[Interest Payments],MATCH(Sheet5!$AJ5,actual1[Month],0))</f>
        <v>41288</v>
      </c>
      <c r="H29">
        <f>INDEX(actual1[Interest Payments],MATCH(Sheet5!$AK5,actual1[Month],0))</f>
        <v>29671</v>
      </c>
    </row>
    <row r="30" spans="3:8" x14ac:dyDescent="0.35">
      <c r="C30" t="s">
        <v>79</v>
      </c>
      <c r="D30">
        <f>INDEX(actual1[Interest Payments],MATCH(Sheet5!$AG6,actual1[Month],0))</f>
        <v>147788</v>
      </c>
      <c r="E30">
        <f>INDEX(actual1[Interest Payments],MATCH(Sheet5!$AH6,actual1[Month],0))</f>
        <v>123810</v>
      </c>
      <c r="F30">
        <f>INDEX(actual1[Interest Payments],MATCH(Sheet5!$AI6,actual1[Month],0))</f>
        <v>110663</v>
      </c>
      <c r="G30">
        <f>INDEX(actual1[Interest Payments],MATCH(Sheet5!$AJ6,actual1[Month],0))</f>
        <v>105422</v>
      </c>
      <c r="H30">
        <f>INDEX(actual1[Interest Payments],MATCH(Sheet5!$AK6,actual1[Month],0))</f>
        <v>88573</v>
      </c>
    </row>
    <row r="31" spans="3:8" x14ac:dyDescent="0.35">
      <c r="C31" t="s">
        <v>80</v>
      </c>
      <c r="D31">
        <f>INDEX(actual1[Interest Payments],MATCH(Sheet5!$AG7,actual1[Month],0))</f>
        <v>386037</v>
      </c>
      <c r="E31">
        <f>INDEX(actual1[Interest Payments],MATCH(Sheet5!$AH7,actual1[Month],0))</f>
        <v>264052</v>
      </c>
      <c r="F31">
        <f>INDEX(actual1[Interest Payments],MATCH(Sheet5!$AI7,actual1[Month],0))</f>
        <v>243705</v>
      </c>
      <c r="G31">
        <f>INDEX(actual1[Interest Payments],MATCH(Sheet5!$AJ7,actual1[Month],0))</f>
        <v>228595</v>
      </c>
      <c r="H31">
        <f>INDEX(actual1[Interest Payments],MATCH(Sheet5!$AK7,actual1[Month],0))</f>
        <v>184295</v>
      </c>
    </row>
    <row r="32" spans="3:8" x14ac:dyDescent="0.35">
      <c r="C32" t="s">
        <v>81</v>
      </c>
      <c r="D32">
        <f>INDEX(actual1[Interest Payments],MATCH(Sheet5!$AG8,actual1[Month],0))</f>
        <v>446690</v>
      </c>
      <c r="E32">
        <f>INDEX(actual1[Interest Payments],MATCH(Sheet5!$AH8,actual1[Month],0))</f>
        <v>327887</v>
      </c>
      <c r="F32">
        <f>INDEX(actual1[Interest Payments],MATCH(Sheet5!$AI8,actual1[Month],0))</f>
        <v>299889</v>
      </c>
      <c r="G32">
        <f>INDEX(actual1[Interest Payments],MATCH(Sheet5!$AJ8,actual1[Month],0))</f>
        <v>283870</v>
      </c>
      <c r="H32">
        <f>INDEX(actual1[Interest Payments],MATCH(Sheet5!$AK8,actual1[Month],0))</f>
        <v>225817</v>
      </c>
    </row>
    <row r="33" spans="3:8" x14ac:dyDescent="0.35">
      <c r="C33" t="s">
        <v>82</v>
      </c>
      <c r="D33">
        <f>INDEX(actual1[Interest Payments],MATCH(Sheet5!$AG9,actual1[Month],0))</f>
        <v>528668</v>
      </c>
      <c r="E33">
        <f>INDEX(actual1[Interest Payments],MATCH(Sheet5!$AH9,actual1[Month],0))</f>
        <v>400160</v>
      </c>
      <c r="F33">
        <f>INDEX(actual1[Interest Payments],MATCH(Sheet5!$AI9,actual1[Month],0))</f>
        <v>367539</v>
      </c>
      <c r="G33">
        <f>INDEX(actual1[Interest Payments],MATCH(Sheet5!$AJ9,actual1[Month],0))</f>
        <v>338637</v>
      </c>
      <c r="H33">
        <f>INDEX(actual1[Interest Payments],MATCH(Sheet5!$AK9,actual1[Month],0))</f>
        <v>278371</v>
      </c>
    </row>
    <row r="34" spans="3:8" x14ac:dyDescent="0.35">
      <c r="C34" t="s">
        <v>83</v>
      </c>
      <c r="D34">
        <f>INDEX(actual1[Interest Payments],MATCH(Sheet5!$AG10,actual1[Month],0))</f>
        <v>578182</v>
      </c>
      <c r="E34">
        <f>INDEX(actual1[Interest Payments],MATCH(Sheet5!$AH10,actual1[Month],0))</f>
        <v>515010</v>
      </c>
      <c r="F34">
        <f>INDEX(actual1[Interest Payments],MATCH(Sheet5!$AI10,actual1[Month],0))</f>
        <v>484329</v>
      </c>
      <c r="G34">
        <f>INDEX(actual1[Interest Payments],MATCH(Sheet5!$AJ10,actual1[Month],0))</f>
        <v>436682</v>
      </c>
      <c r="H34">
        <f>INDEX(actual1[Interest Payments],MATCH(Sheet5!$AK10,actual1[Month],0))</f>
        <v>365207</v>
      </c>
    </row>
    <row r="35" spans="3:8" x14ac:dyDescent="0.35">
      <c r="C35" t="s">
        <v>84</v>
      </c>
      <c r="D35">
        <f>INDEX(actual1[Interest Payments],MATCH(Sheet5!$AG11,actual1[Month],0))</f>
        <v>673715</v>
      </c>
      <c r="E35">
        <f>INDEX(actual1[Interest Payments],MATCH(Sheet5!$AH11,actual1[Month],0))</f>
        <v>596347</v>
      </c>
      <c r="F35">
        <f>INDEX(actual1[Interest Payments],MATCH(Sheet5!$AI11,actual1[Month],0))</f>
        <v>545086</v>
      </c>
      <c r="G35">
        <f>INDEX(actual1[Interest Payments],MATCH(Sheet5!$AJ11,actual1[Month],0))</f>
        <v>481172</v>
      </c>
      <c r="H35">
        <f>INDEX(actual1[Interest Payments],MATCH(Sheet5!$AK11,actual1[Month],0))</f>
        <v>401187</v>
      </c>
    </row>
    <row r="36" spans="3:8" x14ac:dyDescent="0.35">
      <c r="C36" t="s">
        <v>85</v>
      </c>
      <c r="D36">
        <f>INDEX(actual1[Interest Payments],MATCH(Sheet5!$AG12,actual1[Month],0))</f>
        <v>745765</v>
      </c>
      <c r="E36">
        <f>INDEX(actual1[Interest Payments],MATCH(Sheet5!$AH12,actual1[Month],0))</f>
        <v>658494</v>
      </c>
      <c r="F36">
        <f>INDEX(actual1[Interest Payments],MATCH(Sheet5!$AI12,actual1[Month],0))</f>
        <v>607963</v>
      </c>
      <c r="G36">
        <f>INDEX(actual1[Interest Payments],MATCH(Sheet5!$AJ12,actual1[Month],0))</f>
        <v>545199</v>
      </c>
      <c r="H36">
        <f>INDEX(actual1[Interest Payments],MATCH(Sheet5!$AK12,actual1[Month],0))</f>
        <v>461773</v>
      </c>
    </row>
    <row r="37" spans="3:8" x14ac:dyDescent="0.35">
      <c r="C37" t="s">
        <v>86</v>
      </c>
      <c r="D37">
        <f>INDEX(actual1[Interest Payments],MATCH(Sheet5!$AG13,actual1[Month],0))</f>
        <v>911059</v>
      </c>
      <c r="E37">
        <f>INDEX(actual1[Interest Payments],MATCH(Sheet5!$AH13,actual1[Month],0))</f>
        <v>808313</v>
      </c>
      <c r="F37">
        <f>INDEX(actual1[Interest Payments],MATCH(Sheet5!$AI13,actual1[Month],0))</f>
        <v>748207</v>
      </c>
      <c r="G37">
        <f>INDEX(actual1[Interest Payments],MATCH(Sheet5!$AJ13,actual1[Month],0))</f>
        <v>680853</v>
      </c>
      <c r="H37">
        <f>INDEX(actual1[Interest Payments],MATCH(Sheet5!$AK13,actual1[Month],0))</f>
        <v>565864</v>
      </c>
    </row>
    <row r="38" spans="3:8" x14ac:dyDescent="0.35">
      <c r="C38" t="s">
        <v>87</v>
      </c>
      <c r="D38" t="e">
        <f>INDEX(actual1[Interest Payments],MATCH(Sheet5!$AG14,actual1[Month],0))</f>
        <v>#N/A</v>
      </c>
      <c r="E38">
        <f>INDEX(actual1[Interest Payments],MATCH(Sheet5!$AH14,actual1[Month],0))</f>
        <v>875461</v>
      </c>
      <c r="F38">
        <f>INDEX(actual1[Interest Payments],MATCH(Sheet5!$AI14,actual1[Month],0))</f>
        <v>821731</v>
      </c>
      <c r="G38">
        <f>INDEX(actual1[Interest Payments],MATCH(Sheet5!$AJ14,actual1[Month],0))</f>
        <v>738658</v>
      </c>
      <c r="H38">
        <f>INDEX(actual1[Interest Payments],MATCH(Sheet5!$AK14,actual1[Month],0))</f>
        <v>616076</v>
      </c>
    </row>
    <row r="39" spans="3:8" x14ac:dyDescent="0.35">
      <c r="C39" t="s">
        <v>88</v>
      </c>
      <c r="D39" t="e">
        <f>INDEX(actual1[Interest Payments],MATCH(Sheet5!$AG15,actual1[Month],0))</f>
        <v>#N/A</v>
      </c>
      <c r="E39">
        <f>INDEX(actual1[Interest Payments],MATCH(Sheet5!$AH15,actual1[Month],0))</f>
        <v>952844</v>
      </c>
      <c r="F39">
        <f>INDEX(actual1[Interest Payments],MATCH(Sheet5!$AI15,actual1[Month],0))</f>
        <v>880788</v>
      </c>
      <c r="G39">
        <f>INDEX(actual1[Interest Payments],MATCH(Sheet5!$AJ15,actual1[Month],0))</f>
        <v>798957</v>
      </c>
      <c r="H39">
        <f>INDEX(actual1[Interest Payments],MATCH(Sheet5!$AK15,actual1[Month],0))</f>
        <v>671951</v>
      </c>
    </row>
    <row r="40" spans="3:8" x14ac:dyDescent="0.35">
      <c r="C40" t="s">
        <v>89</v>
      </c>
      <c r="D40" t="e">
        <f>INDEX(actual1[Interest Payments],MATCH(Sheet5!$AG16,actual1[Month],0))</f>
        <v>#N/A</v>
      </c>
      <c r="E40">
        <f>INDEX(actual1[Interest Payments],MATCH(Sheet5!$AH16,actual1[Month],0))</f>
        <v>1116343</v>
      </c>
      <c r="F40">
        <f>INDEX(actual1[Interest Payments],MATCH(Sheet5!$AI16,actual1[Month],0))</f>
        <v>1063872</v>
      </c>
      <c r="G40">
        <f>INDEX(actual1[Interest Payments],MATCH(Sheet5!$AJ16,actual1[Month],0))</f>
        <v>928517</v>
      </c>
      <c r="H40">
        <f>INDEX(actual1[Interest Payments],MATCH(Sheet5!$AK16,actual1[Month],0))</f>
        <v>805499</v>
      </c>
    </row>
    <row r="42" spans="3:8" x14ac:dyDescent="0.35">
      <c r="C42" t="s">
        <v>3</v>
      </c>
      <c r="D42" t="str">
        <f>Sheet5!$D$4</f>
        <v>2025-26</v>
      </c>
      <c r="E42" t="str">
        <f>Sheet5!$D$6</f>
        <v>2024-25</v>
      </c>
    </row>
    <row r="43" spans="3:8" x14ac:dyDescent="0.35">
      <c r="C43" t="s">
        <v>78</v>
      </c>
      <c r="D43">
        <f>INDEX(actual1[Income Tax],MATCH(Sheet5!$AG$5,actual1[Month],0))</f>
        <v>109626</v>
      </c>
      <c r="E43">
        <f>INDEX(actual1[Income Tax],MATCH(Sheet5!$AH$5,actual1[Month],0))</f>
        <v>98951</v>
      </c>
    </row>
    <row r="44" spans="3:8" x14ac:dyDescent="0.35">
      <c r="C44" t="s">
        <v>79</v>
      </c>
      <c r="D44">
        <f>INDEX(actual1[Income Tax],MATCH(Sheet5!$AG$6,actual1[Month],0))</f>
        <v>191816</v>
      </c>
      <c r="E44">
        <f>INDEX(actual1[Income Tax],MATCH(Sheet5!$AH$6,actual1[Month],0))</f>
        <v>180291</v>
      </c>
    </row>
    <row r="45" spans="3:8" x14ac:dyDescent="0.35">
      <c r="C45" t="s">
        <v>80</v>
      </c>
      <c r="D45">
        <f>INDEX(actual1[Income Tax],MATCH(Sheet5!$AG$7,actual1[Month],0))</f>
        <v>285829</v>
      </c>
      <c r="E45">
        <f>INDEX(actual1[Income Tax],MATCH(Sheet5!$AH$7,actual1[Month],0))</f>
        <v>287336</v>
      </c>
    </row>
    <row r="46" spans="3:8" x14ac:dyDescent="0.35">
      <c r="C46" t="s">
        <v>81</v>
      </c>
      <c r="D46">
        <f>INDEX(actual1[Income Tax],MATCH(Sheet5!$AG$8,actual1[Month],0))</f>
        <v>355315</v>
      </c>
      <c r="E46">
        <f>INDEX(actual1[Income Tax],MATCH(Sheet5!$AH$8,actual1[Month],0))</f>
        <v>394488</v>
      </c>
    </row>
    <row r="47" spans="3:8" x14ac:dyDescent="0.35">
      <c r="C47" t="s">
        <v>82</v>
      </c>
      <c r="D47">
        <f>INDEX(actual1[Income Tax],MATCH(Sheet5!$AG$9,actual1[Month],0))</f>
        <v>441013</v>
      </c>
      <c r="E47">
        <f>INDEX(actual1[Income Tax],MATCH(Sheet5!$AH$9,actual1[Month],0))</f>
        <v>452286</v>
      </c>
    </row>
    <row r="48" spans="3:8" x14ac:dyDescent="0.35">
      <c r="C48" t="s">
        <v>83</v>
      </c>
      <c r="D48">
        <f>INDEX(actual1[Income Tax],MATCH(Sheet5!$AG$10,actual1[Month],0))</f>
        <v>591014</v>
      </c>
      <c r="E48">
        <f>INDEX(actual1[Income Tax],MATCH(Sheet5!$AH$10,actual1[Month],0))</f>
        <v>564517</v>
      </c>
    </row>
    <row r="49" spans="3:5" x14ac:dyDescent="0.35">
      <c r="C49" t="s">
        <v>84</v>
      </c>
      <c r="D49">
        <f>INDEX(actual1[Income Tax],MATCH(Sheet5!$AG$11,actual1[Month],0))</f>
        <v>669631</v>
      </c>
      <c r="E49">
        <f>INDEX(actual1[Income Tax],MATCH(Sheet5!$AH$11,actual1[Month],0))</f>
        <v>626454</v>
      </c>
    </row>
    <row r="50" spans="3:5" x14ac:dyDescent="0.35">
      <c r="C50" t="s">
        <v>85</v>
      </c>
      <c r="D50">
        <f>INDEX(actual1[Income Tax],MATCH(Sheet5!$AG$12,actual1[Month],0))</f>
        <v>748299</v>
      </c>
      <c r="E50">
        <f>INDEX(actual1[Income Tax],MATCH(Sheet5!$AH$12,actual1[Month],0))</f>
        <v>700775</v>
      </c>
    </row>
    <row r="51" spans="3:5" x14ac:dyDescent="0.35">
      <c r="C51" t="s">
        <v>86</v>
      </c>
      <c r="D51">
        <f>INDEX(actual1[Income Tax],MATCH(Sheet5!$AG$13,actual1[Month],0))</f>
        <v>872696</v>
      </c>
      <c r="E51">
        <f>INDEX(actual1[Income Tax],MATCH(Sheet5!$AH$13,actual1[Month],0))</f>
        <v>837817</v>
      </c>
    </row>
    <row r="52" spans="3:5" x14ac:dyDescent="0.35">
      <c r="C52" t="s">
        <v>87</v>
      </c>
      <c r="D52" t="e">
        <f>INDEX(actual1[Income Tax],MATCH(Sheet5!$AG$14,actual1[Month],0))</f>
        <v>#N/A</v>
      </c>
      <c r="E52">
        <f>INDEX(actual1[Income Tax],MATCH(Sheet5!$AH$14,actual1[Month],0))</f>
        <v>912792</v>
      </c>
    </row>
    <row r="53" spans="3:5" x14ac:dyDescent="0.35">
      <c r="C53" t="s">
        <v>88</v>
      </c>
      <c r="D53" t="e">
        <f>INDEX(actual1[Income Tax],MATCH(Sheet5!$AG$15,actual1[Month],0))</f>
        <v>#N/A</v>
      </c>
      <c r="E53">
        <f>INDEX(actual1[Income Tax],MATCH(Sheet5!$AH$15,actual1[Month],0))</f>
        <v>991489</v>
      </c>
    </row>
    <row r="54" spans="3:5" x14ac:dyDescent="0.35">
      <c r="C54" t="s">
        <v>89</v>
      </c>
      <c r="D54" t="e">
        <f>INDEX(actual1[Income Tax],MATCH(Sheet5!$AG$16,actual1[Month],0))</f>
        <v>#N/A</v>
      </c>
      <c r="E54">
        <f>INDEX(actual1[Income Tax],MATCH(Sheet5!$AH$16,actual1[Month],0))</f>
        <v>1182964</v>
      </c>
    </row>
    <row r="56" spans="3:5" x14ac:dyDescent="0.35">
      <c r="C56" t="s">
        <v>65</v>
      </c>
      <c r="D56" t="str">
        <f>Sheet5!$D$4</f>
        <v>2025-26</v>
      </c>
      <c r="E56" t="str">
        <f>Sheet5!$D$6</f>
        <v>2024-25</v>
      </c>
    </row>
    <row r="57" spans="3:5" x14ac:dyDescent="0.35">
      <c r="C57" t="s">
        <v>78</v>
      </c>
      <c r="D57">
        <f>INDEX(actual1[Securities Transcation Tax],MATCH(Sheet5!$AG$5,actual1[Month],0))</f>
        <v>3786</v>
      </c>
      <c r="E57">
        <f>INDEX(actual1[Securities Transcation Tax],MATCH(Sheet5!$AH$5,actual1[Month],0))</f>
        <v>3504</v>
      </c>
    </row>
    <row r="58" spans="3:5" x14ac:dyDescent="0.35">
      <c r="C58" t="s">
        <v>79</v>
      </c>
      <c r="D58">
        <f>INDEX(actual1[Securities Transcation Tax],MATCH(Sheet5!$AG$6,actual1[Month],0))</f>
        <v>8086</v>
      </c>
      <c r="E58">
        <f>INDEX(actual1[Securities Transcation Tax],MATCH(Sheet5!$AH$6,actual1[Month],0))</f>
        <v>7235</v>
      </c>
    </row>
    <row r="59" spans="3:5" x14ac:dyDescent="0.35">
      <c r="C59" t="s">
        <v>80</v>
      </c>
      <c r="D59">
        <f>INDEX(actual1[Securities Transcation Tax],MATCH(Sheet5!$AG$7,actual1[Month],0))</f>
        <v>13015</v>
      </c>
      <c r="E59">
        <f>INDEX(actual1[Securities Transcation Tax],MATCH(Sheet5!$AH$7,actual1[Month],0))</f>
        <v>11606</v>
      </c>
    </row>
    <row r="60" spans="3:5" x14ac:dyDescent="0.35">
      <c r="C60" t="s">
        <v>81</v>
      </c>
      <c r="D60">
        <f>INDEX(actual1[Securities Transcation Tax],MATCH(Sheet5!$AG$8,actual1[Month],0))</f>
        <v>17882</v>
      </c>
      <c r="E60">
        <f>INDEX(actual1[Securities Transcation Tax],MATCH(Sheet5!$AH$8,actual1[Month],0))</f>
        <v>16635</v>
      </c>
    </row>
    <row r="61" spans="3:5" x14ac:dyDescent="0.35">
      <c r="C61" t="s">
        <v>82</v>
      </c>
      <c r="D61">
        <f>INDEX(actual1[Securities Transcation Tax],MATCH(Sheet5!$AG$9,actual1[Month],0))</f>
        <v>22379</v>
      </c>
      <c r="E61">
        <f>INDEX(actual1[Securities Transcation Tax],MATCH(Sheet5!$AH$9,actual1[Month],0))</f>
        <v>21607</v>
      </c>
    </row>
    <row r="62" spans="3:5" x14ac:dyDescent="0.35">
      <c r="C62" t="s">
        <v>83</v>
      </c>
      <c r="D62">
        <f>INDEX(actual1[Securities Transcation Tax],MATCH(Sheet5!$AG$10,actual1[Month],0))</f>
        <v>26309</v>
      </c>
      <c r="E62">
        <f>INDEX(actual1[Securities Transcation Tax],MATCH(Sheet5!$AH$10,actual1[Month],0))</f>
        <v>26156</v>
      </c>
    </row>
    <row r="63" spans="3:5" x14ac:dyDescent="0.35">
      <c r="C63" t="s">
        <v>84</v>
      </c>
      <c r="D63">
        <f>INDEX(actual1[Securities Transcation Tax],MATCH(Sheet5!$AG$11,actual1[Month],0))</f>
        <v>30935</v>
      </c>
      <c r="E63">
        <f>INDEX(actual1[Securities Transcation Tax],MATCH(Sheet5!$AH$11,actual1[Month],0))</f>
        <v>30687</v>
      </c>
    </row>
    <row r="64" spans="3:5" x14ac:dyDescent="0.35">
      <c r="C64" t="s">
        <v>85</v>
      </c>
      <c r="D64">
        <f>INDEX(actual1[Securities Transcation Tax],MATCH(Sheet5!$AG$12,actual1[Month],0))</f>
        <v>35718</v>
      </c>
      <c r="E64">
        <f>INDEX(actual1[Securities Transcation Tax],MATCH(Sheet5!$AH$12,actual1[Month],0))</f>
        <v>35932</v>
      </c>
    </row>
    <row r="65" spans="3:5" x14ac:dyDescent="0.35">
      <c r="C65" t="s">
        <v>86</v>
      </c>
      <c r="D65">
        <f>INDEX(actual1[Securities Transcation Tax],MATCH(Sheet5!$AG$13,actual1[Month],0))</f>
        <v>40220</v>
      </c>
      <c r="E65">
        <f>INDEX(actual1[Securities Transcation Tax],MATCH(Sheet5!$AH$13,actual1[Month],0))</f>
        <v>40136</v>
      </c>
    </row>
    <row r="66" spans="3:5" x14ac:dyDescent="0.35">
      <c r="C66" t="s">
        <v>87</v>
      </c>
      <c r="D66" t="e">
        <f>INDEX(actual1[Securities Transcation Tax],MATCH(Sheet5!$AG$14,actual1[Month],0))</f>
        <v>#N/A</v>
      </c>
      <c r="E66">
        <f>INDEX(actual1[Securities Transcation Tax],MATCH(Sheet5!$AH$14,actual1[Month],0))</f>
        <v>44541</v>
      </c>
    </row>
    <row r="67" spans="3:5" x14ac:dyDescent="0.35">
      <c r="C67" t="s">
        <v>88</v>
      </c>
      <c r="D67" t="e">
        <f>INDEX(actual1[Securities Transcation Tax],MATCH(Sheet5!$AG$15,actual1[Month],0))</f>
        <v>#N/A</v>
      </c>
      <c r="E67">
        <f>INDEX(actual1[Securities Transcation Tax],MATCH(Sheet5!$AH$15,actual1[Month],0))</f>
        <v>49227</v>
      </c>
    </row>
    <row r="68" spans="3:5" x14ac:dyDescent="0.35">
      <c r="C68" t="s">
        <v>89</v>
      </c>
      <c r="D68" t="e">
        <f>INDEX(actual1[Securities Transcation Tax],MATCH(Sheet5!$AG$16,actual1[Month],0))</f>
        <v>#N/A</v>
      </c>
      <c r="E68">
        <f>INDEX(actual1[Securities Transcation Tax],MATCH(Sheet5!$AH$16,actual1[Month],0))</f>
        <v>52197</v>
      </c>
    </row>
    <row r="70" spans="3:5" x14ac:dyDescent="0.35">
      <c r="C70" t="s">
        <v>4</v>
      </c>
      <c r="D70" t="str">
        <f>Sheet5!$D$4</f>
        <v>2025-26</v>
      </c>
      <c r="E70" t="str">
        <f>Sheet5!$D$6</f>
        <v>2024-25</v>
      </c>
    </row>
    <row r="71" spans="3:5" x14ac:dyDescent="0.35">
      <c r="C71" t="s">
        <v>78</v>
      </c>
      <c r="D71">
        <f>INDEX(actual1[CGST],MATCH(Sheet5!$AG$5,actual1[Month],0))</f>
        <v>78240</v>
      </c>
      <c r="E71">
        <f>INDEX(actual1[CGST],MATCH(Sheet5!$AH$5,actual1[Month],0))</f>
        <v>91188</v>
      </c>
    </row>
    <row r="72" spans="3:5" x14ac:dyDescent="0.35">
      <c r="C72" t="s">
        <v>79</v>
      </c>
      <c r="D72">
        <f>INDEX(actual1[CGST],MATCH(Sheet5!$AG$6,actual1[Month],0))</f>
        <v>154984</v>
      </c>
      <c r="E72">
        <f>INDEX(actual1[CGST],MATCH(Sheet5!$AH$6,actual1[Month],0))</f>
        <v>158841</v>
      </c>
    </row>
    <row r="73" spans="3:5" x14ac:dyDescent="0.35">
      <c r="C73" t="s">
        <v>80</v>
      </c>
      <c r="D73">
        <f>INDEX(actual1[CGST],MATCH(Sheet5!$AG$7,actual1[Month],0))</f>
        <v>231723</v>
      </c>
      <c r="E73">
        <f>INDEX(actual1[CGST],MATCH(Sheet5!$AH$7,actual1[Month],0))</f>
        <v>228328</v>
      </c>
    </row>
    <row r="74" spans="3:5" x14ac:dyDescent="0.35">
      <c r="C74" t="s">
        <v>81</v>
      </c>
      <c r="D74">
        <f>INDEX(actual1[CGST],MATCH(Sheet5!$AG$8,actual1[Month],0))</f>
        <v>311625</v>
      </c>
      <c r="E74">
        <f>INDEX(actual1[CGST],MATCH(Sheet5!$AH$8,actual1[Month],0))</f>
        <v>300616</v>
      </c>
    </row>
    <row r="75" spans="3:5" x14ac:dyDescent="0.35">
      <c r="C75" t="s">
        <v>82</v>
      </c>
      <c r="D75">
        <f>INDEX(actual1[CGST],MATCH(Sheet5!$AG$9,actual1[Month],0))</f>
        <v>390502</v>
      </c>
      <c r="E75">
        <f>INDEX(actual1[CGST],MATCH(Sheet5!$AH$9,actual1[Month],0))</f>
        <v>371222</v>
      </c>
    </row>
    <row r="76" spans="3:5" x14ac:dyDescent="0.35">
      <c r="C76" t="s">
        <v>83</v>
      </c>
      <c r="D76">
        <f>INDEX(actual1[CGST],MATCH(Sheet5!$AG$10,actual1[Month],0))</f>
        <v>466736</v>
      </c>
      <c r="E76">
        <f>INDEX(actual1[CGST],MATCH(Sheet5!$AH$10,actual1[Month],0))</f>
        <v>441220</v>
      </c>
    </row>
    <row r="77" spans="3:5" x14ac:dyDescent="0.35">
      <c r="C77" t="s">
        <v>84</v>
      </c>
      <c r="D77">
        <f>INDEX(actual1[CGST],MATCH(Sheet5!$AG$11,actual1[Month],0))</f>
        <v>553607</v>
      </c>
      <c r="E77">
        <f>INDEX(actual1[CGST],MATCH(Sheet5!$AH$11,actual1[Month],0))</f>
        <v>521599</v>
      </c>
    </row>
    <row r="78" spans="3:5" x14ac:dyDescent="0.35">
      <c r="C78" t="s">
        <v>85</v>
      </c>
      <c r="D78">
        <f>INDEX(actual1[CGST],MATCH(Sheet5!$AG$12,actual1[Month],0))</f>
        <v>636473</v>
      </c>
      <c r="E78">
        <f>INDEX(actual1[CGST],MATCH(Sheet5!$AH$12,actual1[Month],0))</f>
        <v>603873</v>
      </c>
    </row>
    <row r="79" spans="3:5" x14ac:dyDescent="0.35">
      <c r="C79" t="s">
        <v>86</v>
      </c>
      <c r="D79">
        <f>INDEX(actual1[CGST],MATCH(Sheet5!$AG$13,actual1[Month],0))</f>
        <v>710615</v>
      </c>
      <c r="E79">
        <f>INDEX(actual1[CGST],MATCH(Sheet5!$AH$13,actual1[Month],0))</f>
        <v>673256</v>
      </c>
    </row>
    <row r="80" spans="3:5" x14ac:dyDescent="0.35">
      <c r="C80" t="s">
        <v>87</v>
      </c>
      <c r="D80" t="e">
        <f>INDEX(actual1[CGST],MATCH(Sheet5!$AG$14,actual1[Month],0))</f>
        <v>#N/A</v>
      </c>
      <c r="E80">
        <f>INDEX(actual1[CGST],MATCH(Sheet5!$AH$14,actual1[Month],0))</f>
        <v>752514</v>
      </c>
    </row>
    <row r="81" spans="3:5" x14ac:dyDescent="0.35">
      <c r="C81" t="s">
        <v>88</v>
      </c>
      <c r="D81" t="e">
        <f>INDEX(actual1[CGST],MATCH(Sheet5!$AG$15,actual1[Month],0))</f>
        <v>#N/A</v>
      </c>
      <c r="E81">
        <f>INDEX(actual1[CGST],MATCH(Sheet5!$AH$15,actual1[Month],0))</f>
        <v>830137</v>
      </c>
    </row>
    <row r="82" spans="3:5" x14ac:dyDescent="0.35">
      <c r="C82" t="s">
        <v>89</v>
      </c>
      <c r="D82" t="e">
        <f>INDEX(actual1[CGST],MATCH(Sheet5!$AG$16,actual1[Month],0))</f>
        <v>#N/A</v>
      </c>
      <c r="E82">
        <f>INDEX(actual1[CGST],MATCH(Sheet5!$AH$16,actual1[Month],0))</f>
        <v>908980</v>
      </c>
    </row>
    <row r="84" spans="3:5" x14ac:dyDescent="0.35">
      <c r="C84" t="s">
        <v>5</v>
      </c>
      <c r="D84" t="str">
        <f>Sheet5!$D$4</f>
        <v>2025-26</v>
      </c>
      <c r="E84" t="str">
        <f>Sheet5!$D$6</f>
        <v>2024-25</v>
      </c>
    </row>
    <row r="85" spans="3:5" x14ac:dyDescent="0.35">
      <c r="C85" t="s">
        <v>78</v>
      </c>
      <c r="D85">
        <f>INDEX(actual1[IGST],MATCH(Sheet5!$AG$5,actual1[Month],0))</f>
        <v>31097</v>
      </c>
      <c r="E85">
        <f>INDEX(actual1[IGST],MATCH(Sheet5!$AH$5,actual1[Month],0))</f>
        <v>-2645</v>
      </c>
    </row>
    <row r="86" spans="3:5" x14ac:dyDescent="0.35">
      <c r="C86" t="s">
        <v>79</v>
      </c>
      <c r="D86">
        <f>INDEX(actual1[IGST],MATCH(Sheet5!$AG$6,actual1[Month],0))</f>
        <v>33430</v>
      </c>
      <c r="E86">
        <f>INDEX(actual1[IGST],MATCH(Sheet5!$AH$6,actual1[Month],0))</f>
        <v>-10883</v>
      </c>
    </row>
    <row r="87" spans="3:5" x14ac:dyDescent="0.35">
      <c r="C87" t="s">
        <v>80</v>
      </c>
      <c r="D87">
        <f>INDEX(actual1[IGST],MATCH(Sheet5!$AG$7,actual1[Month],0))</f>
        <v>27312</v>
      </c>
      <c r="E87">
        <f>INDEX(actual1[IGST],MATCH(Sheet5!$AH$7,actual1[Month],0))</f>
        <v>-10176</v>
      </c>
    </row>
    <row r="88" spans="3:5" x14ac:dyDescent="0.35">
      <c r="C88" t="s">
        <v>81</v>
      </c>
      <c r="D88">
        <f>INDEX(actual1[IGST],MATCH(Sheet5!$AG$8,actual1[Month],0))</f>
        <v>11907</v>
      </c>
      <c r="E88">
        <f>INDEX(actual1[IGST],MATCH(Sheet5!$AH$8,actual1[Month],0))</f>
        <v>-10659</v>
      </c>
    </row>
    <row r="89" spans="3:5" x14ac:dyDescent="0.35">
      <c r="C89" t="s">
        <v>82</v>
      </c>
      <c r="D89">
        <f>INDEX(actual1[IGST],MATCH(Sheet5!$AG$9,actual1[Month],0))</f>
        <v>370</v>
      </c>
      <c r="E89">
        <f>INDEX(actual1[IGST],MATCH(Sheet5!$AH$9,actual1[Month],0))</f>
        <v>-2446</v>
      </c>
    </row>
    <row r="90" spans="3:5" x14ac:dyDescent="0.35">
      <c r="C90" t="s">
        <v>83</v>
      </c>
      <c r="D90">
        <f>INDEX(actual1[IGST],MATCH(Sheet5!$AG$10,actual1[Month],0))</f>
        <v>-8838</v>
      </c>
      <c r="E90">
        <f>INDEX(actual1[IGST],MATCH(Sheet5!$AH$10,actual1[Month],0))</f>
        <v>-846</v>
      </c>
    </row>
    <row r="91" spans="3:5" x14ac:dyDescent="0.35">
      <c r="C91" t="s">
        <v>84</v>
      </c>
      <c r="D91">
        <f>INDEX(actual1[IGST],MATCH(Sheet5!$AG$11,actual1[Month],0))</f>
        <v>-29806</v>
      </c>
      <c r="E91">
        <f>INDEX(actual1[IGST],MATCH(Sheet5!$AH$11,actual1[Month],0))</f>
        <v>-10448</v>
      </c>
    </row>
    <row r="92" spans="3:5" x14ac:dyDescent="0.35">
      <c r="C92" t="s">
        <v>85</v>
      </c>
      <c r="D92">
        <f>INDEX(actual1[IGST],MATCH(Sheet5!$AG$12,actual1[Month],0))</f>
        <v>-60520</v>
      </c>
      <c r="E92">
        <f>INDEX(actual1[IGST],MATCH(Sheet5!$AH$12,actual1[Month],0))</f>
        <v>-27854</v>
      </c>
    </row>
    <row r="93" spans="3:5" x14ac:dyDescent="0.35">
      <c r="C93" t="s">
        <v>86</v>
      </c>
      <c r="D93">
        <f>INDEX(actual1[IGST],MATCH(Sheet5!$AG$13,actual1[Month],0))</f>
        <v>15641</v>
      </c>
      <c r="E93">
        <f>INDEX(actual1[IGST],MATCH(Sheet5!$AH$13,actual1[Month],0))</f>
        <v>-31590</v>
      </c>
    </row>
    <row r="94" spans="3:5" x14ac:dyDescent="0.35">
      <c r="C94" t="s">
        <v>87</v>
      </c>
      <c r="D94" t="e">
        <f>INDEX(actual1[IGST],MATCH(Sheet5!$AG$14,actual1[Month],0))</f>
        <v>#N/A</v>
      </c>
      <c r="E94">
        <f>INDEX(actual1[IGST],MATCH(Sheet5!$AH$14,actual1[Month],0))</f>
        <v>-27610</v>
      </c>
    </row>
    <row r="95" spans="3:5" x14ac:dyDescent="0.35">
      <c r="C95" t="s">
        <v>88</v>
      </c>
      <c r="D95" t="e">
        <f>INDEX(actual1[IGST],MATCH(Sheet5!$AG$15,actual1[Month],0))</f>
        <v>#N/A</v>
      </c>
      <c r="E95">
        <f>INDEX(actual1[IGST],MATCH(Sheet5!$AH$15,actual1[Month],0))</f>
        <v>-37608</v>
      </c>
    </row>
    <row r="96" spans="3:5" x14ac:dyDescent="0.35">
      <c r="C96" t="s">
        <v>89</v>
      </c>
      <c r="D96" t="e">
        <f>INDEX(actual1[IGST],MATCH(Sheet5!$AG$16,actual1[Month],0))</f>
        <v>#N/A</v>
      </c>
      <c r="E96">
        <f>INDEX(actual1[IGST],MATCH(Sheet5!$AH$16,actual1[Month],0))</f>
        <v>-32995</v>
      </c>
    </row>
    <row r="98" spans="3:5" x14ac:dyDescent="0.35">
      <c r="C98" t="s">
        <v>6</v>
      </c>
      <c r="D98" t="str">
        <f>Sheet5!$D$4</f>
        <v>2025-26</v>
      </c>
      <c r="E98" t="str">
        <f>Sheet5!$D$6</f>
        <v>2024-25</v>
      </c>
    </row>
    <row r="99" spans="3:5" x14ac:dyDescent="0.35">
      <c r="C99" t="s">
        <v>78</v>
      </c>
      <c r="D99">
        <f>INDEX(actual1[UTGST],MATCH(Sheet5!$AG$5,actual1[Month],0))</f>
        <v>119</v>
      </c>
      <c r="E99">
        <f>INDEX(actual1[UTGST],MATCH(Sheet5!$AH$5,actual1[Month],0))</f>
        <v>292</v>
      </c>
    </row>
    <row r="100" spans="3:5" x14ac:dyDescent="0.35">
      <c r="C100" t="s">
        <v>79</v>
      </c>
      <c r="D100">
        <f>INDEX(actual1[UTGST],MATCH(Sheet5!$AG$6,actual1[Month],0))</f>
        <v>491</v>
      </c>
      <c r="E100">
        <f>INDEX(actual1[UTGST],MATCH(Sheet5!$AH$6,actual1[Month],0))</f>
        <v>598</v>
      </c>
    </row>
    <row r="101" spans="3:5" x14ac:dyDescent="0.35">
      <c r="C101" t="s">
        <v>80</v>
      </c>
      <c r="D101">
        <f>INDEX(actual1[UTGST],MATCH(Sheet5!$AG$7,actual1[Month],0))</f>
        <v>779</v>
      </c>
      <c r="E101">
        <f>INDEX(actual1[UTGST],MATCH(Sheet5!$AH$7,actual1[Month],0))</f>
        <v>877</v>
      </c>
    </row>
    <row r="102" spans="3:5" x14ac:dyDescent="0.35">
      <c r="C102" t="s">
        <v>81</v>
      </c>
      <c r="D102">
        <f>INDEX(actual1[UTGST],MATCH(Sheet5!$AG$8,actual1[Month],0))</f>
        <v>1115</v>
      </c>
      <c r="E102">
        <f>INDEX(actual1[UTGST],MATCH(Sheet5!$AH$8,actual1[Month],0))</f>
        <v>934</v>
      </c>
    </row>
    <row r="103" spans="3:5" x14ac:dyDescent="0.35">
      <c r="C103" t="s">
        <v>82</v>
      </c>
      <c r="D103">
        <f>INDEX(actual1[UTGST],MATCH(Sheet5!$AG$9,actual1[Month],0))</f>
        <v>1487</v>
      </c>
      <c r="E103">
        <f>INDEX(actual1[UTGST],MATCH(Sheet5!$AH$9,actual1[Month],0))</f>
        <v>1286</v>
      </c>
    </row>
    <row r="104" spans="3:5" x14ac:dyDescent="0.35">
      <c r="C104" t="s">
        <v>83</v>
      </c>
      <c r="D104">
        <f>INDEX(actual1[UTGST],MATCH(Sheet5!$AG$10,actual1[Month],0))</f>
        <v>2016</v>
      </c>
      <c r="E104">
        <f>INDEX(actual1[UTGST],MATCH(Sheet5!$AH$10,actual1[Month],0))</f>
        <v>1624</v>
      </c>
    </row>
    <row r="105" spans="3:5" x14ac:dyDescent="0.35">
      <c r="C105" t="s">
        <v>84</v>
      </c>
      <c r="D105">
        <f>INDEX(actual1[UTGST],MATCH(Sheet5!$AG$11,actual1[Month],0))</f>
        <v>2538</v>
      </c>
      <c r="E105">
        <f>INDEX(actual1[UTGST],MATCH(Sheet5!$AH$11,actual1[Month],0))</f>
        <v>1947</v>
      </c>
    </row>
    <row r="106" spans="3:5" x14ac:dyDescent="0.35">
      <c r="C106" t="s">
        <v>85</v>
      </c>
      <c r="D106">
        <f>INDEX(actual1[UTGST],MATCH(Sheet5!$AG$12,actual1[Month],0))</f>
        <v>4235</v>
      </c>
      <c r="E106">
        <f>INDEX(actual1[UTGST],MATCH(Sheet5!$AH$12,actual1[Month],0))</f>
        <v>2427</v>
      </c>
    </row>
    <row r="107" spans="3:5" x14ac:dyDescent="0.35">
      <c r="C107" t="s">
        <v>86</v>
      </c>
      <c r="D107">
        <f>INDEX(actual1[UTGST],MATCH(Sheet5!$AG$13,actual1[Month],0))</f>
        <v>4698</v>
      </c>
      <c r="E107">
        <f>INDEX(actual1[UTGST],MATCH(Sheet5!$AH$13,actual1[Month],0))</f>
        <v>2696</v>
      </c>
    </row>
    <row r="108" spans="3:5" x14ac:dyDescent="0.35">
      <c r="C108" t="s">
        <v>87</v>
      </c>
      <c r="D108" t="e">
        <f>INDEX(actual1[UTGST],MATCH(Sheet5!$AG$14,actual1[Month],0))</f>
        <v>#N/A</v>
      </c>
      <c r="E108">
        <f>INDEX(actual1[UTGST],MATCH(Sheet5!$AH$14,actual1[Month],0))</f>
        <v>3560</v>
      </c>
    </row>
    <row r="109" spans="3:5" x14ac:dyDescent="0.35">
      <c r="C109" t="s">
        <v>88</v>
      </c>
      <c r="D109" t="e">
        <f>INDEX(actual1[UTGST],MATCH(Sheet5!$AG$15,actual1[Month],0))</f>
        <v>#N/A</v>
      </c>
      <c r="E109">
        <f>INDEX(actual1[UTGST],MATCH(Sheet5!$AH$15,actual1[Month],0))</f>
        <v>3864</v>
      </c>
    </row>
    <row r="110" spans="3:5" x14ac:dyDescent="0.35">
      <c r="C110" t="s">
        <v>89</v>
      </c>
      <c r="D110" t="e">
        <f>INDEX(actual1[UTGST],MATCH(Sheet5!$AG$16,actual1[Month],0))</f>
        <v>#N/A</v>
      </c>
      <c r="E110">
        <f>INDEX(actual1[UTGST],MATCH(Sheet5!$AH$16,actual1[Month],0))</f>
        <v>5094</v>
      </c>
    </row>
    <row r="112" spans="3:5" x14ac:dyDescent="0.35">
      <c r="C112" t="s">
        <v>7</v>
      </c>
      <c r="D112" t="str">
        <f>Sheet5!$D$4</f>
        <v>2025-26</v>
      </c>
      <c r="E112" t="str">
        <f>Sheet5!$D$6</f>
        <v>2024-25</v>
      </c>
    </row>
    <row r="113" spans="3:5" x14ac:dyDescent="0.35">
      <c r="C113" t="s">
        <v>78</v>
      </c>
      <c r="D113">
        <f>INDEX(actual1[Compensation Cess],MATCH(Sheet5!$AG$5,actual1[Month],0))</f>
        <v>12696</v>
      </c>
      <c r="E113">
        <f>INDEX(actual1[Compensation Cess],MATCH(Sheet5!$AH$5,actual1[Month],0))</f>
        <v>13042</v>
      </c>
    </row>
    <row r="114" spans="3:5" x14ac:dyDescent="0.35">
      <c r="C114" t="s">
        <v>79</v>
      </c>
      <c r="D114">
        <f>INDEX(actual1[Compensation Cess],MATCH(Sheet5!$AG$6,actual1[Month],0))</f>
        <v>25006</v>
      </c>
      <c r="E114">
        <f>INDEX(actual1[Compensation Cess],MATCH(Sheet5!$AH$6,actual1[Month],0))</f>
        <v>24828</v>
      </c>
    </row>
    <row r="115" spans="3:5" x14ac:dyDescent="0.35">
      <c r="C115" t="s">
        <v>80</v>
      </c>
      <c r="D115">
        <f>INDEX(actual1[Compensation Cess],MATCH(Sheet5!$AG$7,actual1[Month],0))</f>
        <v>38325</v>
      </c>
      <c r="E115">
        <f>INDEX(actual1[Compensation Cess],MATCH(Sheet5!$AH$7,actual1[Month],0))</f>
        <v>37768</v>
      </c>
    </row>
    <row r="116" spans="3:5" x14ac:dyDescent="0.35">
      <c r="C116" t="s">
        <v>81</v>
      </c>
      <c r="D116">
        <f>INDEX(actual1[Compensation Cess],MATCH(Sheet5!$AG$8,actual1[Month],0))</f>
        <v>50305</v>
      </c>
      <c r="E116">
        <f>INDEX(actual1[Compensation Cess],MATCH(Sheet5!$AH$8,actual1[Month],0))</f>
        <v>50547</v>
      </c>
    </row>
    <row r="117" spans="3:5" x14ac:dyDescent="0.35">
      <c r="C117" t="s">
        <v>82</v>
      </c>
      <c r="D117">
        <f>INDEX(actual1[Compensation Cess],MATCH(Sheet5!$AG$9,actual1[Month],0))</f>
        <v>61960</v>
      </c>
      <c r="E117">
        <f>INDEX(actual1[Compensation Cess],MATCH(Sheet5!$AH$9,actual1[Month],0))</f>
        <v>62462</v>
      </c>
    </row>
    <row r="118" spans="3:5" x14ac:dyDescent="0.35">
      <c r="C118" t="s">
        <v>83</v>
      </c>
      <c r="D118">
        <f>INDEX(actual1[Compensation Cess],MATCH(Sheet5!$AG$10,actual1[Month],0))</f>
        <v>73172</v>
      </c>
      <c r="E118">
        <f>INDEX(actual1[Compensation Cess],MATCH(Sheet5!$AH$10,actual1[Month],0))</f>
        <v>74323</v>
      </c>
    </row>
    <row r="119" spans="3:5" x14ac:dyDescent="0.35">
      <c r="C119" t="s">
        <v>84</v>
      </c>
      <c r="D119">
        <f>INDEX(actual1[Compensation Cess],MATCH(Sheet5!$AG$11,actual1[Month],0))</f>
        <v>80503</v>
      </c>
      <c r="E119">
        <f>INDEX(actual1[Compensation Cess],MATCH(Sheet5!$AH$11,actual1[Month],0))</f>
        <v>86482</v>
      </c>
    </row>
    <row r="120" spans="3:5" x14ac:dyDescent="0.35">
      <c r="C120" t="s">
        <v>85</v>
      </c>
      <c r="D120">
        <f>INDEX(actual1[Compensation Cess],MATCH(Sheet5!$AG$12,actual1[Month],0))</f>
        <v>84404</v>
      </c>
      <c r="E120">
        <f>INDEX(actual1[Compensation Cess],MATCH(Sheet5!$AH$12,actual1[Month],0))</f>
        <v>99598</v>
      </c>
    </row>
    <row r="121" spans="3:5" x14ac:dyDescent="0.35">
      <c r="C121" t="s">
        <v>86</v>
      </c>
      <c r="D121">
        <f>INDEX(actual1[Compensation Cess],MATCH(Sheet5!$AG$13,actual1[Month],0))</f>
        <v>89777</v>
      </c>
      <c r="E121">
        <f>INDEX(actual1[Compensation Cess],MATCH(Sheet5!$AH$13,actual1[Month],0))</f>
        <v>111556</v>
      </c>
    </row>
    <row r="122" spans="3:5" x14ac:dyDescent="0.35">
      <c r="C122" t="s">
        <v>87</v>
      </c>
      <c r="D122" t="e">
        <f>INDEX(actual1[Compensation Cess],MATCH(Sheet5!$AG$14,actual1[Month],0))</f>
        <v>#N/A</v>
      </c>
      <c r="E122">
        <f>INDEX(actual1[Compensation Cess],MATCH(Sheet5!$AH$14,actual1[Month],0))</f>
        <v>124971</v>
      </c>
    </row>
    <row r="123" spans="3:5" x14ac:dyDescent="0.35">
      <c r="C123" t="s">
        <v>88</v>
      </c>
      <c r="D123" t="e">
        <f>INDEX(actual1[Compensation Cess],MATCH(Sheet5!$AG$15,actual1[Month],0))</f>
        <v>#N/A</v>
      </c>
      <c r="E123">
        <f>INDEX(actual1[Compensation Cess],MATCH(Sheet5!$AH$15,actual1[Month],0))</f>
        <v>138327</v>
      </c>
    </row>
    <row r="124" spans="3:5" x14ac:dyDescent="0.35">
      <c r="C124" t="s">
        <v>89</v>
      </c>
      <c r="D124" t="e">
        <f>INDEX(actual1[Compensation Cess],MATCH(Sheet5!$AG$16,actual1[Month],0))</f>
        <v>#N/A</v>
      </c>
      <c r="E124">
        <f>INDEX(actual1[Compensation Cess],MATCH(Sheet5!$AH$16,actual1[Month],0))</f>
        <v>150506</v>
      </c>
    </row>
    <row r="126" spans="3:5" x14ac:dyDescent="0.35">
      <c r="C126" t="s">
        <v>8</v>
      </c>
      <c r="D126" t="str">
        <f>Sheet5!$D$4</f>
        <v>2025-26</v>
      </c>
      <c r="E126" t="str">
        <f>Sheet5!$D$6</f>
        <v>2024-25</v>
      </c>
    </row>
    <row r="127" spans="3:5" x14ac:dyDescent="0.35">
      <c r="C127" t="s">
        <v>78</v>
      </c>
      <c r="D127">
        <f>INDEX(actual1[Customs],MATCH(Sheet5!$AG$5,actual1[Month],0))</f>
        <v>13934</v>
      </c>
      <c r="E127">
        <f>INDEX(actual1[Customs],MATCH(Sheet5!$AH$5,actual1[Month],0))</f>
        <v>13956</v>
      </c>
    </row>
    <row r="128" spans="3:5" x14ac:dyDescent="0.35">
      <c r="C128" t="s">
        <v>79</v>
      </c>
      <c r="D128">
        <f>INDEX(actual1[Customs],MATCH(Sheet5!$AG$6,actual1[Month],0))</f>
        <v>29254</v>
      </c>
      <c r="E128">
        <f>INDEX(actual1[Customs],MATCH(Sheet5!$AH$6,actual1[Month],0))</f>
        <v>28090</v>
      </c>
    </row>
    <row r="129" spans="3:5" x14ac:dyDescent="0.35">
      <c r="C129" t="s">
        <v>80</v>
      </c>
      <c r="D129">
        <f>INDEX(actual1[Customs],MATCH(Sheet5!$AG$7,actual1[Month],0))</f>
        <v>42414</v>
      </c>
      <c r="E129">
        <f>INDEX(actual1[Customs],MATCH(Sheet5!$AH$7,actual1[Month],0))</f>
        <v>47065</v>
      </c>
    </row>
    <row r="130" spans="3:5" x14ac:dyDescent="0.35">
      <c r="C130" t="s">
        <v>81</v>
      </c>
      <c r="D130">
        <f>INDEX(actual1[Customs],MATCH(Sheet5!$AG$8,actual1[Month],0))</f>
        <v>60530</v>
      </c>
      <c r="E130">
        <f>INDEX(actual1[Customs],MATCH(Sheet5!$AH$8,actual1[Month],0))</f>
        <v>67522</v>
      </c>
    </row>
    <row r="131" spans="3:5" x14ac:dyDescent="0.35">
      <c r="C131" t="s">
        <v>82</v>
      </c>
      <c r="D131">
        <f>INDEX(actual1[Customs],MATCH(Sheet5!$AG$9,actual1[Month],0))</f>
        <v>83062</v>
      </c>
      <c r="E131">
        <f>INDEX(actual1[Customs],MATCH(Sheet5!$AH$9,actual1[Month],0))</f>
        <v>94329</v>
      </c>
    </row>
    <row r="132" spans="3:5" x14ac:dyDescent="0.35">
      <c r="C132" t="s">
        <v>83</v>
      </c>
      <c r="D132">
        <f>INDEX(actual1[Customs],MATCH(Sheet5!$AG$10,actual1[Month],0))</f>
        <v>107100</v>
      </c>
      <c r="E132">
        <f>INDEX(actual1[Customs],MATCH(Sheet5!$AH$10,actual1[Month],0))</f>
        <v>112959</v>
      </c>
    </row>
    <row r="133" spans="3:5" x14ac:dyDescent="0.35">
      <c r="C133" t="s">
        <v>84</v>
      </c>
      <c r="D133">
        <f>INDEX(actual1[Customs],MATCH(Sheet5!$AG$11,actual1[Month],0))</f>
        <v>128821</v>
      </c>
      <c r="E133">
        <f>INDEX(actual1[Customs],MATCH(Sheet5!$AH$11,actual1[Month],0))</f>
        <v>132112</v>
      </c>
    </row>
    <row r="134" spans="3:5" x14ac:dyDescent="0.35">
      <c r="C134" t="s">
        <v>85</v>
      </c>
      <c r="D134">
        <f>INDEX(actual1[Customs],MATCH(Sheet5!$AG$12,actual1[Month],0))</f>
        <v>142864</v>
      </c>
      <c r="E134">
        <f>INDEX(actual1[Customs],MATCH(Sheet5!$AH$12,actual1[Month],0))</f>
        <v>154142</v>
      </c>
    </row>
    <row r="135" spans="3:5" x14ac:dyDescent="0.35">
      <c r="C135" t="s">
        <v>86</v>
      </c>
      <c r="D135">
        <f>INDEX(actual1[Customs],MATCH(Sheet5!$AG$13,actual1[Month],0))</f>
        <v>195719</v>
      </c>
      <c r="E135">
        <f>INDEX(actual1[Customs],MATCH(Sheet5!$AH$13,actual1[Month],0))</f>
        <v>170175</v>
      </c>
    </row>
    <row r="136" spans="3:5" x14ac:dyDescent="0.35">
      <c r="C136" t="s">
        <v>87</v>
      </c>
      <c r="D136" t="e">
        <f>INDEX(actual1[Customs],MATCH(Sheet5!$AG$14,actual1[Month],0))</f>
        <v>#N/A</v>
      </c>
      <c r="E136">
        <f>INDEX(actual1[Customs],MATCH(Sheet5!$AH$14,actual1[Month],0))</f>
        <v>190176</v>
      </c>
    </row>
    <row r="137" spans="3:5" x14ac:dyDescent="0.35">
      <c r="C137" t="s">
        <v>88</v>
      </c>
      <c r="D137" t="e">
        <f>INDEX(actual1[Customs],MATCH(Sheet5!$AG$15,actual1[Month],0))</f>
        <v>#N/A</v>
      </c>
      <c r="E137">
        <f>INDEX(actual1[Customs],MATCH(Sheet5!$AH$15,actual1[Month],0))</f>
        <v>204612</v>
      </c>
    </row>
    <row r="138" spans="3:5" x14ac:dyDescent="0.35">
      <c r="C138" t="s">
        <v>89</v>
      </c>
      <c r="D138" t="e">
        <f>INDEX(actual1[Customs],MATCH(Sheet5!$AG$16,actual1[Month],0))</f>
        <v>#N/A</v>
      </c>
      <c r="E138">
        <f>INDEX(actual1[Customs],MATCH(Sheet5!$AH$16,actual1[Month],0))</f>
        <v>232896</v>
      </c>
    </row>
    <row r="140" spans="3:5" x14ac:dyDescent="0.35">
      <c r="C140" t="s">
        <v>9</v>
      </c>
      <c r="D140" t="str">
        <f>Sheet5!$D$4</f>
        <v>2025-26</v>
      </c>
      <c r="E140" t="str">
        <f>Sheet5!$D$6</f>
        <v>2024-25</v>
      </c>
    </row>
    <row r="141" spans="3:5" x14ac:dyDescent="0.35">
      <c r="C141" t="s">
        <v>78</v>
      </c>
      <c r="D141">
        <f>INDEX(actual1[Union Excise],MATCH(Sheet5!$AG$5,actual1[Month],0))</f>
        <v>-39</v>
      </c>
      <c r="E141">
        <f>INDEX(actual1[Union Excise],MATCH(Sheet5!$AH$5,actual1[Month],0))</f>
        <v>70</v>
      </c>
    </row>
    <row r="142" spans="3:5" x14ac:dyDescent="0.35">
      <c r="C142" t="s">
        <v>79</v>
      </c>
      <c r="D142">
        <f>INDEX(actual1[Union Excise],MATCH(Sheet5!$AG$6,actual1[Month],0))</f>
        <v>26399</v>
      </c>
      <c r="E142">
        <f>INDEX(actual1[Union Excise],MATCH(Sheet5!$AH$6,actual1[Month],0))</f>
        <v>24317</v>
      </c>
    </row>
    <row r="143" spans="3:5" x14ac:dyDescent="0.35">
      <c r="C143" t="s">
        <v>80</v>
      </c>
      <c r="D143">
        <f>INDEX(actual1[Union Excise],MATCH(Sheet5!$AG$7,actual1[Month],0))</f>
        <v>55605</v>
      </c>
      <c r="E143">
        <f>INDEX(actual1[Union Excise],MATCH(Sheet5!$AH$7,actual1[Month],0))</f>
        <v>51357</v>
      </c>
    </row>
    <row r="144" spans="3:5" x14ac:dyDescent="0.35">
      <c r="C144" t="s">
        <v>81</v>
      </c>
      <c r="D144">
        <f>INDEX(actual1[Union Excise],MATCH(Sheet5!$AG$8,actual1[Month],0))</f>
        <v>83963</v>
      </c>
      <c r="E144">
        <f>INDEX(actual1[Union Excise],MATCH(Sheet5!$AH$8,actual1[Month],0))</f>
        <v>76812</v>
      </c>
    </row>
    <row r="145" spans="3:5" x14ac:dyDescent="0.35">
      <c r="C145" t="s">
        <v>82</v>
      </c>
      <c r="D145">
        <f>INDEX(actual1[Union Excise],MATCH(Sheet5!$AG$9,actual1[Month],0))</f>
        <v>111927</v>
      </c>
      <c r="E145">
        <f>INDEX(actual1[Union Excise],MATCH(Sheet5!$AH$9,actual1[Month],0))</f>
        <v>104006</v>
      </c>
    </row>
    <row r="146" spans="3:5" x14ac:dyDescent="0.35">
      <c r="C146" t="s">
        <v>83</v>
      </c>
      <c r="D146">
        <f>INDEX(actual1[Union Excise],MATCH(Sheet5!$AG$10,actual1[Month],0))</f>
        <v>138918</v>
      </c>
      <c r="E146">
        <f>INDEX(actual1[Union Excise],MATCH(Sheet5!$AH$10,actual1[Month],0))</f>
        <v>128466</v>
      </c>
    </row>
    <row r="147" spans="3:5" x14ac:dyDescent="0.35">
      <c r="C147" t="s">
        <v>84</v>
      </c>
      <c r="D147">
        <f>INDEX(actual1[Union Excise],MATCH(Sheet5!$AG$11,actual1[Month],0))</f>
        <v>163206</v>
      </c>
      <c r="E147">
        <f>INDEX(actual1[Union Excise],MATCH(Sheet5!$AH$11,actual1[Month],0))</f>
        <v>151190</v>
      </c>
    </row>
    <row r="148" spans="3:5" x14ac:dyDescent="0.35">
      <c r="C148" t="s">
        <v>85</v>
      </c>
      <c r="D148">
        <f>INDEX(actual1[Union Excise],MATCH(Sheet5!$AG$12,actual1[Month],0))</f>
        <v>191297</v>
      </c>
      <c r="E148">
        <f>INDEX(actual1[Union Excise],MATCH(Sheet5!$AH$12,actual1[Month],0))</f>
        <v>175100</v>
      </c>
    </row>
    <row r="149" spans="3:5" x14ac:dyDescent="0.35">
      <c r="C149" t="s">
        <v>86</v>
      </c>
      <c r="D149">
        <f>INDEX(actual1[Union Excise],MATCH(Sheet5!$AG$13,actual1[Month],0))</f>
        <v>219410</v>
      </c>
      <c r="E149">
        <f>INDEX(actual1[Union Excise],MATCH(Sheet5!$AH$13,actual1[Month],0))</f>
        <v>199630</v>
      </c>
    </row>
    <row r="150" spans="3:5" x14ac:dyDescent="0.35">
      <c r="C150" t="s">
        <v>87</v>
      </c>
      <c r="D150" t="e">
        <f>INDEX(actual1[Union Excise],MATCH(Sheet5!$AG$14,actual1[Month],0))</f>
        <v>#N/A</v>
      </c>
      <c r="E150">
        <f>INDEX(actual1[Union Excise],MATCH(Sheet5!$AH$14,actual1[Month],0))</f>
        <v>225902</v>
      </c>
    </row>
    <row r="151" spans="3:5" x14ac:dyDescent="0.35">
      <c r="C151" t="s">
        <v>88</v>
      </c>
      <c r="D151" t="e">
        <f>INDEX(actual1[Union Excise],MATCH(Sheet5!$AG$15,actual1[Month],0))</f>
        <v>#N/A</v>
      </c>
      <c r="E151">
        <f>INDEX(actual1[Union Excise],MATCH(Sheet5!$AH$15,actual1[Month],0))</f>
        <v>250194</v>
      </c>
    </row>
    <row r="152" spans="3:5" x14ac:dyDescent="0.35">
      <c r="C152" t="s">
        <v>89</v>
      </c>
      <c r="D152" t="e">
        <f>INDEX(actual1[Union Excise],MATCH(Sheet5!$AG$16,actual1[Month],0))</f>
        <v>#N/A</v>
      </c>
      <c r="E152">
        <f>INDEX(actual1[Union Excise],MATCH(Sheet5!$AH$16,actual1[Month],0))</f>
        <v>300253</v>
      </c>
    </row>
    <row r="154" spans="3:5" x14ac:dyDescent="0.35">
      <c r="C154" t="s">
        <v>10</v>
      </c>
      <c r="D154" t="str">
        <f>Sheet5!$D$4</f>
        <v>2025-26</v>
      </c>
      <c r="E154" t="str">
        <f>Sheet5!$D$6</f>
        <v>2024-25</v>
      </c>
    </row>
    <row r="155" spans="3:5" x14ac:dyDescent="0.35">
      <c r="C155" t="s">
        <v>78</v>
      </c>
      <c r="D155">
        <f>INDEX(actual1[Service Tax],MATCH(Sheet5!$AG$5,actual1[Month],0))</f>
        <v>-39</v>
      </c>
      <c r="E155">
        <f>INDEX(actual1[Service Tax],MATCH(Sheet5!$AH$5,actual1[Month],0))</f>
        <v>-97</v>
      </c>
    </row>
    <row r="156" spans="3:5" x14ac:dyDescent="0.35">
      <c r="C156" t="s">
        <v>79</v>
      </c>
      <c r="D156">
        <f>INDEX(actual1[Service Tax],MATCH(Sheet5!$AG$6,actual1[Month],0))</f>
        <v>-168</v>
      </c>
      <c r="E156">
        <f>INDEX(actual1[Service Tax],MATCH(Sheet5!$AH$6,actual1[Month],0))</f>
        <v>-87</v>
      </c>
    </row>
    <row r="157" spans="3:5" x14ac:dyDescent="0.35">
      <c r="C157" t="s">
        <v>80</v>
      </c>
      <c r="D157">
        <f>INDEX(actual1[Service Tax],MATCH(Sheet5!$AG$7,actual1[Month],0))</f>
        <v>-152</v>
      </c>
      <c r="E157">
        <f>INDEX(actual1[Service Tax],MATCH(Sheet5!$AH$7,actual1[Month],0))</f>
        <v>-38</v>
      </c>
    </row>
    <row r="158" spans="3:5" x14ac:dyDescent="0.35">
      <c r="C158" t="s">
        <v>81</v>
      </c>
      <c r="D158">
        <f>INDEX(actual1[Service Tax],MATCH(Sheet5!$AG$8,actual1[Month],0))</f>
        <v>-168</v>
      </c>
      <c r="E158">
        <f>INDEX(actual1[Service Tax],MATCH(Sheet5!$AH$8,actual1[Month],0))</f>
        <v>13</v>
      </c>
    </row>
    <row r="159" spans="3:5" x14ac:dyDescent="0.35">
      <c r="C159" t="s">
        <v>82</v>
      </c>
      <c r="D159">
        <f>INDEX(actual1[Service Tax],MATCH(Sheet5!$AG$9,actual1[Month],0))</f>
        <v>-241</v>
      </c>
      <c r="E159">
        <f>INDEX(actual1[Service Tax],MATCH(Sheet5!$AH$9,actual1[Month],0))</f>
        <v>32</v>
      </c>
    </row>
    <row r="160" spans="3:5" x14ac:dyDescent="0.35">
      <c r="C160" t="s">
        <v>83</v>
      </c>
      <c r="D160">
        <f>INDEX(actual1[Service Tax],MATCH(Sheet5!$AG$10,actual1[Month],0))</f>
        <v>-269</v>
      </c>
      <c r="E160">
        <f>INDEX(actual1[Service Tax],MATCH(Sheet5!$AH$10,actual1[Month],0))</f>
        <v>94</v>
      </c>
    </row>
    <row r="161" spans="3:5" x14ac:dyDescent="0.35">
      <c r="C161" t="s">
        <v>84</v>
      </c>
      <c r="D161">
        <f>INDEX(actual1[Service Tax],MATCH(Sheet5!$AG$11,actual1[Month],0))</f>
        <v>-1137</v>
      </c>
      <c r="E161">
        <f>INDEX(actual1[Service Tax],MATCH(Sheet5!$AH$11,actual1[Month],0))</f>
        <v>87</v>
      </c>
    </row>
    <row r="162" spans="3:5" x14ac:dyDescent="0.35">
      <c r="C162" t="s">
        <v>85</v>
      </c>
      <c r="D162">
        <f>INDEX(actual1[Service Tax],MATCH(Sheet5!$AG$12,actual1[Month],0))</f>
        <v>-1157</v>
      </c>
      <c r="E162">
        <f>INDEX(actual1[Service Tax],MATCH(Sheet5!$AH$12,actual1[Month],0))</f>
        <v>96</v>
      </c>
    </row>
    <row r="163" spans="3:5" x14ac:dyDescent="0.35">
      <c r="C163" t="s">
        <v>86</v>
      </c>
      <c r="D163">
        <f>INDEX(actual1[Service Tax],MATCH(Sheet5!$AG$13,actual1[Month],0))</f>
        <v>-1186</v>
      </c>
      <c r="E163">
        <f>INDEX(actual1[Service Tax],MATCH(Sheet5!$AH$13,actual1[Month],0))</f>
        <v>36</v>
      </c>
    </row>
    <row r="164" spans="3:5" x14ac:dyDescent="0.35">
      <c r="C164" t="s">
        <v>87</v>
      </c>
      <c r="D164" t="e">
        <f>INDEX(actual1[Service Tax],MATCH(Sheet5!$AG$14,actual1[Month],0))</f>
        <v>#N/A</v>
      </c>
      <c r="E164">
        <f>INDEX(actual1[Service Tax],MATCH(Sheet5!$AH$14,actual1[Month],0))</f>
        <v>7</v>
      </c>
    </row>
    <row r="165" spans="3:5" x14ac:dyDescent="0.35">
      <c r="C165" t="s">
        <v>88</v>
      </c>
      <c r="D165" t="e">
        <f>INDEX(actual1[Service Tax],MATCH(Sheet5!$AG$15,actual1[Month],0))</f>
        <v>#N/A</v>
      </c>
      <c r="E165">
        <f>INDEX(actual1[Service Tax],MATCH(Sheet5!$AH$15,actual1[Month],0))</f>
        <v>9</v>
      </c>
    </row>
    <row r="166" spans="3:5" x14ac:dyDescent="0.35">
      <c r="C166" t="s">
        <v>89</v>
      </c>
      <c r="D166" t="e">
        <f>INDEX(actual1[Service Tax],MATCH(Sheet5!$AG$16,actual1[Month],0))</f>
        <v>#N/A</v>
      </c>
      <c r="E166">
        <f>INDEX(actual1[Service Tax],MATCH(Sheet5!$AH$16,actual1[Month],0))</f>
        <v>-16</v>
      </c>
    </row>
  </sheetData>
  <sheetProtection selectLockedCells="1"/>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B4:Q180"/>
  <sheetViews>
    <sheetView topLeftCell="A76" workbookViewId="0">
      <selection activeCell="F16" sqref="F16"/>
    </sheetView>
  </sheetViews>
  <sheetFormatPr defaultRowHeight="14.5" x14ac:dyDescent="0.35"/>
  <cols>
    <col min="3" max="3" width="17" customWidth="1"/>
  </cols>
  <sheetData>
    <row r="4" spans="3:17" x14ac:dyDescent="0.35">
      <c r="D4" t="str">
        <f>IF(MONTH(Sheet5!$E$4)&lt;4,"RE","BE")</f>
        <v>BE</v>
      </c>
      <c r="E4" t="s">
        <v>95</v>
      </c>
      <c r="F4" t="s">
        <v>44</v>
      </c>
    </row>
    <row r="5" spans="3:17" x14ac:dyDescent="0.35">
      <c r="C5" t="str">
        <f>Sheet5!D9</f>
        <v>Total Receipts</v>
      </c>
      <c r="D5">
        <f>IF(MONTH(Sheet5!$E$4)&lt;4,Sheet5!H9,Sheet5!G9)</f>
        <v>3496409</v>
      </c>
      <c r="E5">
        <f>Sheet5!E9</f>
        <v>2525156</v>
      </c>
      <c r="F5" s="11">
        <f>E5/D5</f>
        <v>0.72221413455920058</v>
      </c>
      <c r="G5" s="12"/>
      <c r="H5" s="12"/>
      <c r="I5" s="12"/>
      <c r="J5" s="12"/>
      <c r="K5" s="12"/>
      <c r="L5" s="12"/>
      <c r="M5" s="12"/>
      <c r="N5" s="12"/>
      <c r="O5" s="12"/>
      <c r="P5" s="12"/>
      <c r="Q5" s="12"/>
    </row>
    <row r="23" spans="2:6" x14ac:dyDescent="0.35">
      <c r="C23" t="str">
        <f>Sheet5!D15</f>
        <v>Net Tax Revenue</v>
      </c>
      <c r="D23">
        <f>Sheet5!E15</f>
        <v>1939254</v>
      </c>
      <c r="E23">
        <f>Sheet5!F15</f>
        <v>1843053</v>
      </c>
    </row>
    <row r="24" spans="2:6" x14ac:dyDescent="0.35">
      <c r="C24" t="str">
        <f>Sheet5!D17</f>
        <v>Non Tax Revenue</v>
      </c>
      <c r="D24">
        <f>Sheet5!E17</f>
        <v>539855</v>
      </c>
      <c r="E24">
        <f>Sheet5!F17</f>
        <v>447657</v>
      </c>
    </row>
    <row r="25" spans="2:6" x14ac:dyDescent="0.35">
      <c r="C25" t="str">
        <f>Sheet5!D19</f>
        <v>Non Debt Capital Receipts</v>
      </c>
      <c r="D25">
        <f>Sheet5!E19</f>
        <v>46047</v>
      </c>
      <c r="E25">
        <f>Sheet5!F19</f>
        <v>27295</v>
      </c>
    </row>
    <row r="26" spans="2:6" x14ac:dyDescent="0.35">
      <c r="C26" t="str">
        <f>Sheet5!D13</f>
        <v>Fiscal Deficit</v>
      </c>
      <c r="D26">
        <f>Sheet5!E13</f>
        <v>855842</v>
      </c>
      <c r="E26">
        <f>Sheet5!F13</f>
        <v>914089</v>
      </c>
    </row>
    <row r="30" spans="2:6" x14ac:dyDescent="0.35">
      <c r="B30" t="s">
        <v>102</v>
      </c>
      <c r="C30" t="str">
        <f>Sheet5!D25</f>
        <v>Interest Payments</v>
      </c>
      <c r="D30">
        <f>Sheet5!E25</f>
        <v>911059</v>
      </c>
      <c r="E30">
        <f>Sheet5!F25</f>
        <v>808313</v>
      </c>
      <c r="F30">
        <f>SUM(D30:D35)</f>
        <v>2593063</v>
      </c>
    </row>
    <row r="31" spans="2:6" x14ac:dyDescent="0.35">
      <c r="B31" t="s">
        <v>103</v>
      </c>
      <c r="C31" t="str">
        <f>Sheet5!D27</f>
        <v>Defence  Services</v>
      </c>
      <c r="D31">
        <f>Sheet5!E27</f>
        <v>233023</v>
      </c>
      <c r="E31">
        <f>Sheet5!F27</f>
        <v>215520</v>
      </c>
      <c r="F31">
        <f>D36</f>
        <v>787935</v>
      </c>
    </row>
    <row r="32" spans="2:6" x14ac:dyDescent="0.35">
      <c r="C32" t="str">
        <f>Sheet5!D29</f>
        <v>Grants in Aid  to States &amp; UTs</v>
      </c>
      <c r="D32">
        <f>Sheet5!E29</f>
        <v>247273</v>
      </c>
      <c r="E32">
        <f>Sheet5!F29</f>
        <v>348245</v>
      </c>
    </row>
    <row r="33" spans="2:14" x14ac:dyDescent="0.35">
      <c r="C33" t="str">
        <f>Sheet5!D31</f>
        <v>Pensions</v>
      </c>
      <c r="D33">
        <f>Sheet5!E31</f>
        <v>226030</v>
      </c>
      <c r="E33">
        <f>Sheet5!F31</f>
        <v>215263</v>
      </c>
    </row>
    <row r="34" spans="2:14" x14ac:dyDescent="0.35">
      <c r="C34" t="str">
        <f>Sheet5!D33</f>
        <v>Major Subsidies</v>
      </c>
      <c r="D34">
        <f>Sheet5!E33</f>
        <v>317490</v>
      </c>
      <c r="E34">
        <f>Sheet5!F33</f>
        <v>306994</v>
      </c>
    </row>
    <row r="35" spans="2:14" x14ac:dyDescent="0.35">
      <c r="C35" t="str">
        <f>Sheet5!D35</f>
        <v>Other Revenue Expenditure</v>
      </c>
      <c r="D35">
        <f>Sheet5!E35</f>
        <v>658188</v>
      </c>
      <c r="E35">
        <f>Sheet5!F35</f>
        <v>652422</v>
      </c>
    </row>
    <row r="36" spans="2:14" x14ac:dyDescent="0.35">
      <c r="C36" t="str">
        <f>Sheet5!D23</f>
        <v>Capital Expenditure</v>
      </c>
      <c r="D36">
        <f>Sheet5!E23</f>
        <v>787935</v>
      </c>
      <c r="E36">
        <f>Sheet5!F23</f>
        <v>685337</v>
      </c>
    </row>
    <row r="40" spans="2:14" x14ac:dyDescent="0.35">
      <c r="C40">
        <f>MONTH(D40)</f>
        <v>12</v>
      </c>
      <c r="D40" s="21" t="str">
        <f>Dashboard!D8</f>
        <v>Dec-25</v>
      </c>
    </row>
    <row r="42" spans="2:14" x14ac:dyDescent="0.35">
      <c r="D42" t="s">
        <v>105</v>
      </c>
      <c r="E42" t="str">
        <f>Sheet5!D4</f>
        <v>2025-26</v>
      </c>
      <c r="F42" t="str">
        <f>Sheet5!D6</f>
        <v>2024-25</v>
      </c>
    </row>
    <row r="43" spans="2:14" x14ac:dyDescent="0.35">
      <c r="B43" t="str">
        <f>Dashboard!$Q58</f>
        <v>Apr-25</v>
      </c>
      <c r="C43" s="21">
        <f>B43-$D$40-1</f>
        <v>-245</v>
      </c>
      <c r="D43" t="s">
        <v>78</v>
      </c>
      <c r="E43">
        <f>INDEX(actual2[Net Tax Revenue],MATCH(Sheet5!AG5,actual2[Month],0))</f>
        <v>189669</v>
      </c>
      <c r="F43">
        <f>INDEX(actual2[Net Tax Revenue],MATCH(Sheet5!AH5,actual2[Month],0))</f>
        <v>184998</v>
      </c>
      <c r="M43">
        <f>IF(C43&lt;0,E43,NA())</f>
        <v>189669</v>
      </c>
      <c r="N43">
        <f t="shared" ref="N43:N54" si="0">F43</f>
        <v>184998</v>
      </c>
    </row>
    <row r="44" spans="2:14" x14ac:dyDescent="0.35">
      <c r="B44" t="str">
        <f>Dashboard!$Q59</f>
        <v>May-25</v>
      </c>
      <c r="C44" s="21">
        <f t="shared" ref="C44:C54" si="1">B44-$D$40-1</f>
        <v>-215</v>
      </c>
      <c r="D44" t="s">
        <v>79</v>
      </c>
      <c r="E44">
        <f>INDEX(actual2[Net Tax Revenue],MATCH(Sheet5!AG6,actual2[Month],0))</f>
        <v>350862</v>
      </c>
      <c r="F44">
        <f>INDEX(actual2[Net Tax Revenue],MATCH(Sheet5!AH6,actual2[Month],0))</f>
        <v>319036</v>
      </c>
      <c r="M44">
        <f t="shared" ref="M44:M54" si="2">IF(C44&lt;0,E44,NA())</f>
        <v>350862</v>
      </c>
      <c r="N44">
        <f t="shared" si="0"/>
        <v>319036</v>
      </c>
    </row>
    <row r="45" spans="2:14" x14ac:dyDescent="0.35">
      <c r="B45" t="str">
        <f>Dashboard!$Q60</f>
        <v>Jun-25</v>
      </c>
      <c r="C45" s="21">
        <f t="shared" si="1"/>
        <v>-184</v>
      </c>
      <c r="D45" t="s">
        <v>80</v>
      </c>
      <c r="E45">
        <f>INDEX(actual2[Net Tax Revenue],MATCH(Sheet5!AG7,actual2[Month],0))</f>
        <v>540316</v>
      </c>
      <c r="F45">
        <f>INDEX(actual2[Net Tax Revenue],MATCH(Sheet5!AH7,actual2[Month],0))</f>
        <v>549633</v>
      </c>
      <c r="M45">
        <f t="shared" si="2"/>
        <v>540316</v>
      </c>
      <c r="N45">
        <f t="shared" si="0"/>
        <v>549633</v>
      </c>
    </row>
    <row r="46" spans="2:14" x14ac:dyDescent="0.35">
      <c r="B46" t="str">
        <f>Dashboard!$Q61</f>
        <v>Jul-25</v>
      </c>
      <c r="C46" s="21">
        <f t="shared" si="1"/>
        <v>-154</v>
      </c>
      <c r="D46" t="s">
        <v>81</v>
      </c>
      <c r="E46">
        <f>INDEX(actual2[Net Tax Revenue],MATCH(Sheet5!AG8,actual2[Month],0))</f>
        <v>661812</v>
      </c>
      <c r="F46">
        <f>INDEX(actual2[Net Tax Revenue],MATCH(Sheet5!AH8,actual2[Month],0))</f>
        <v>715224</v>
      </c>
      <c r="M46">
        <f t="shared" si="2"/>
        <v>661812</v>
      </c>
      <c r="N46">
        <f t="shared" si="0"/>
        <v>715224</v>
      </c>
    </row>
    <row r="47" spans="2:14" x14ac:dyDescent="0.35">
      <c r="B47" t="str">
        <f>Dashboard!$Q62</f>
        <v>Aug-25</v>
      </c>
      <c r="C47" s="21">
        <f t="shared" si="1"/>
        <v>-123</v>
      </c>
      <c r="D47" t="s">
        <v>82</v>
      </c>
      <c r="E47">
        <f>INDEX(actual2[Net Tax Revenue],MATCH(Sheet5!AG9,actual2[Month],0))</f>
        <v>810407</v>
      </c>
      <c r="F47">
        <f>INDEX(actual2[Net Tax Revenue],MATCH(Sheet5!AH9,actual2[Month],0))</f>
        <v>873845</v>
      </c>
      <c r="M47">
        <f t="shared" si="2"/>
        <v>810407</v>
      </c>
      <c r="N47">
        <f t="shared" si="0"/>
        <v>873845</v>
      </c>
    </row>
    <row r="48" spans="2:14" x14ac:dyDescent="0.35">
      <c r="B48" t="str">
        <f>Dashboard!$Q63</f>
        <v>Sep-25</v>
      </c>
      <c r="C48" s="21">
        <f t="shared" si="1"/>
        <v>-92</v>
      </c>
      <c r="D48" t="s">
        <v>83</v>
      </c>
      <c r="E48">
        <f>INDEX(actual2[Net Tax Revenue],MATCH(Sheet5!AG10,actual2[Month],0))</f>
        <v>1229370</v>
      </c>
      <c r="F48">
        <f>INDEX(actual2[Net Tax Revenue],MATCH(Sheet5!AH10,actual2[Month],0))</f>
        <v>1265159</v>
      </c>
      <c r="M48">
        <f t="shared" si="2"/>
        <v>1229370</v>
      </c>
      <c r="N48">
        <f t="shared" si="0"/>
        <v>1265159</v>
      </c>
    </row>
    <row r="49" spans="2:14" x14ac:dyDescent="0.35">
      <c r="B49" t="str">
        <f>Dashboard!$Q64</f>
        <v>Oct-25</v>
      </c>
      <c r="C49" s="21">
        <f t="shared" si="1"/>
        <v>-62</v>
      </c>
      <c r="D49" t="s">
        <v>84</v>
      </c>
      <c r="E49">
        <f>INDEX(actual2[Net Tax Revenue],MATCH(Sheet5!AG11,actual2[Month],0))</f>
        <v>1274301</v>
      </c>
      <c r="F49">
        <f>INDEX(actual2[Net Tax Revenue],MATCH(Sheet5!AH11,actual2[Month],0))</f>
        <v>1304973</v>
      </c>
      <c r="M49">
        <f t="shared" si="2"/>
        <v>1274301</v>
      </c>
      <c r="N49">
        <f t="shared" si="0"/>
        <v>1304973</v>
      </c>
    </row>
    <row r="50" spans="2:14" x14ac:dyDescent="0.35">
      <c r="B50" t="str">
        <f>Dashboard!$Q65</f>
        <v>Nov-25</v>
      </c>
      <c r="C50" s="21">
        <f t="shared" si="1"/>
        <v>-31</v>
      </c>
      <c r="D50" t="s">
        <v>85</v>
      </c>
      <c r="E50">
        <f>INDEX(actual2[Net Tax Revenue],MATCH(Sheet5!AG12,actual2[Month],0))</f>
        <v>1393946</v>
      </c>
      <c r="F50">
        <f>INDEX(actual2[Net Tax Revenue],MATCH(Sheet5!AH12,actual2[Month],0))</f>
        <v>1443435</v>
      </c>
      <c r="M50">
        <f t="shared" si="2"/>
        <v>1393946</v>
      </c>
      <c r="N50">
        <f t="shared" si="0"/>
        <v>1443435</v>
      </c>
    </row>
    <row r="51" spans="2:14" x14ac:dyDescent="0.35">
      <c r="B51" t="str">
        <f>Dashboard!$Q66</f>
        <v>Dec-25</v>
      </c>
      <c r="C51" s="21">
        <f t="shared" si="1"/>
        <v>-1</v>
      </c>
      <c r="D51" t="s">
        <v>86</v>
      </c>
      <c r="E51">
        <f>INDEX(actual2[Net Tax Revenue],MATCH(Sheet5!AG13,actual2[Month],0))</f>
        <v>1939254</v>
      </c>
      <c r="F51">
        <f>INDEX(actual2[Net Tax Revenue],MATCH(Sheet5!AH13,actual2[Month],0))</f>
        <v>1843053</v>
      </c>
      <c r="M51">
        <f t="shared" si="2"/>
        <v>1939254</v>
      </c>
      <c r="N51">
        <f t="shared" si="0"/>
        <v>1843053</v>
      </c>
    </row>
    <row r="52" spans="2:14" x14ac:dyDescent="0.35">
      <c r="B52" t="str">
        <f>Dashboard!$Q67</f>
        <v xml:space="preserve">  </v>
      </c>
      <c r="C52" s="21" t="e">
        <f t="shared" si="1"/>
        <v>#VALUE!</v>
      </c>
      <c r="D52" t="s">
        <v>87</v>
      </c>
      <c r="E52" t="e">
        <f>INDEX(actual2[Net Tax Revenue],MATCH(Sheet5!AG14,actual2[Month],0))</f>
        <v>#N/A</v>
      </c>
      <c r="F52">
        <f>INDEX(actual2[Net Tax Revenue],MATCH(Sheet5!AH14,actual2[Month],0))</f>
        <v>1903558</v>
      </c>
      <c r="M52" t="e">
        <f t="shared" si="2"/>
        <v>#VALUE!</v>
      </c>
      <c r="N52">
        <f t="shared" si="0"/>
        <v>1903558</v>
      </c>
    </row>
    <row r="53" spans="2:14" x14ac:dyDescent="0.35">
      <c r="B53" t="str">
        <f>Dashboard!$Q68</f>
        <v xml:space="preserve">  </v>
      </c>
      <c r="C53" s="21" t="e">
        <f t="shared" si="1"/>
        <v>#VALUE!</v>
      </c>
      <c r="D53" t="s">
        <v>88</v>
      </c>
      <c r="E53" t="e">
        <f>INDEX(actual2[Net Tax Revenue],MATCH(Sheet5!AG15,actual2[Month],0))</f>
        <v>#N/A</v>
      </c>
      <c r="F53">
        <f>INDEX(actual2[Net Tax Revenue],MATCH(Sheet5!AH15,actual2[Month],0))</f>
        <v>2015634</v>
      </c>
      <c r="M53" t="e">
        <f t="shared" si="2"/>
        <v>#VALUE!</v>
      </c>
      <c r="N53">
        <f t="shared" si="0"/>
        <v>2015634</v>
      </c>
    </row>
    <row r="54" spans="2:14" x14ac:dyDescent="0.35">
      <c r="B54" t="str">
        <f>Dashboard!$Q69</f>
        <v xml:space="preserve">  </v>
      </c>
      <c r="C54" s="21" t="e">
        <f t="shared" si="1"/>
        <v>#VALUE!</v>
      </c>
      <c r="D54" t="s">
        <v>89</v>
      </c>
      <c r="E54" t="e">
        <f>INDEX(actual2[Net Tax Revenue],MATCH(Sheet5!AG16,actual2[Month],0))</f>
        <v>#N/A</v>
      </c>
      <c r="F54">
        <f>INDEX(actual2[Net Tax Revenue],MATCH(Sheet5!AH16,actual2[Month],0))</f>
        <v>2498885</v>
      </c>
      <c r="M54" t="e">
        <f t="shared" si="2"/>
        <v>#VALUE!</v>
      </c>
      <c r="N54">
        <f t="shared" si="0"/>
        <v>2498885</v>
      </c>
    </row>
    <row r="58" spans="2:14" x14ac:dyDescent="0.35">
      <c r="D58" t="s">
        <v>69</v>
      </c>
      <c r="E58" t="str">
        <f>Sheet5!D4</f>
        <v>2025-26</v>
      </c>
      <c r="F58" t="str">
        <f>Sheet5!D6</f>
        <v>2024-25</v>
      </c>
    </row>
    <row r="59" spans="2:14" x14ac:dyDescent="0.35">
      <c r="D59" t="s">
        <v>78</v>
      </c>
      <c r="E59">
        <f>INDEX(actual2[Non Tax Revenue],MATCH(Sheet5!AG5,actual2[Month],0))</f>
        <v>67160</v>
      </c>
      <c r="F59">
        <f>INDEX(actual2[Non Tax Revenue],MATCH(Sheet5!AH5,actual2[Month],0))</f>
        <v>27295</v>
      </c>
    </row>
    <row r="60" spans="2:14" x14ac:dyDescent="0.35">
      <c r="D60" t="s">
        <v>79</v>
      </c>
      <c r="E60">
        <f>INDEX(actual2[Non Tax Revenue],MATCH(Sheet5!AG6,actual2[Month],0))</f>
        <v>356877</v>
      </c>
      <c r="F60">
        <f>INDEX(actual2[Non Tax Revenue],MATCH(Sheet5!AH6,actual2[Month],0))</f>
        <v>251722</v>
      </c>
    </row>
    <row r="61" spans="2:14" x14ac:dyDescent="0.35">
      <c r="D61" t="s">
        <v>80</v>
      </c>
      <c r="E61">
        <f>INDEX(actual2[Non Tax Revenue],MATCH(Sheet5!AG7,actual2[Month],0))</f>
        <v>373061</v>
      </c>
      <c r="F61">
        <f>INDEX(actual2[Non Tax Revenue],MATCH(Sheet5!AH7,actual2[Month],0))</f>
        <v>280044</v>
      </c>
    </row>
    <row r="62" spans="2:14" x14ac:dyDescent="0.35">
      <c r="D62" t="s">
        <v>81</v>
      </c>
      <c r="E62">
        <f>INDEX(actual2[Non Tax Revenue],MATCH(Sheet5!AG8,actual2[Month],0))</f>
        <v>403608</v>
      </c>
      <c r="F62">
        <f>INDEX(actual2[Non Tax Revenue],MATCH(Sheet5!AH8,actual2[Month],0))</f>
        <v>301796</v>
      </c>
    </row>
    <row r="63" spans="2:14" x14ac:dyDescent="0.35">
      <c r="D63" t="s">
        <v>82</v>
      </c>
      <c r="E63">
        <f>INDEX(actual2[Non Tax Revenue],MATCH(Sheet5!AG9,actual2[Month],0))</f>
        <v>440332</v>
      </c>
      <c r="F63">
        <f>INDEX(actual2[Non Tax Revenue],MATCH(Sheet5!AH9,actual2[Month],0))</f>
        <v>334467</v>
      </c>
    </row>
    <row r="64" spans="2:14" x14ac:dyDescent="0.35">
      <c r="D64" t="s">
        <v>83</v>
      </c>
      <c r="E64">
        <f>INDEX(actual2[Non Tax Revenue],MATCH(Sheet5!AG10,actual2[Month],0))</f>
        <v>466076</v>
      </c>
      <c r="F64">
        <f>INDEX(actual2[Non Tax Revenue],MATCH(Sheet5!AH10,actual2[Month],0))</f>
        <v>357214</v>
      </c>
    </row>
    <row r="65" spans="4:6" x14ac:dyDescent="0.35">
      <c r="D65" t="s">
        <v>84</v>
      </c>
      <c r="E65">
        <f>INDEX(actual2[Non Tax Revenue],MATCH(Sheet5!AG11,actual2[Month],0))</f>
        <v>489079</v>
      </c>
      <c r="F65">
        <f>INDEX(actual2[Non Tax Revenue],MATCH(Sheet5!AH11,actual2[Month],0))</f>
        <v>399294</v>
      </c>
    </row>
    <row r="66" spans="4:6" x14ac:dyDescent="0.35">
      <c r="D66" t="s">
        <v>85</v>
      </c>
      <c r="E66">
        <f>INDEX(actual2[Non Tax Revenue],MATCH(Sheet5!AG12,actual2[Month],0))</f>
        <v>516366</v>
      </c>
      <c r="F66">
        <f>INDEX(actual2[Non Tax Revenue],MATCH(Sheet5!AH12,actual2[Month],0))</f>
        <v>427020</v>
      </c>
    </row>
    <row r="67" spans="4:6" x14ac:dyDescent="0.35">
      <c r="D67" t="s">
        <v>86</v>
      </c>
      <c r="E67">
        <f>INDEX(actual2[Non Tax Revenue],MATCH(Sheet5!AG13,actual2[Month],0))</f>
        <v>539855</v>
      </c>
      <c r="F67">
        <f>INDEX(actual2[Non Tax Revenue],MATCH(Sheet5!AH13,actual2[Month],0))</f>
        <v>447657</v>
      </c>
    </row>
    <row r="68" spans="4:6" x14ac:dyDescent="0.35">
      <c r="D68" t="s">
        <v>87</v>
      </c>
      <c r="E68" t="e">
        <f>INDEX(actual2[Non Tax Revenue],MATCH(Sheet5!AG14,actual2[Month],0))</f>
        <v>#N/A</v>
      </c>
      <c r="F68">
        <f>INDEX(actual2[Non Tax Revenue],MATCH(Sheet5!AH14,actual2[Month],0))</f>
        <v>467630</v>
      </c>
    </row>
    <row r="69" spans="4:6" x14ac:dyDescent="0.35">
      <c r="D69" t="s">
        <v>88</v>
      </c>
      <c r="E69" t="e">
        <f>INDEX(actual2[Non Tax Revenue],MATCH(Sheet5!AG15,actual2[Month],0))</f>
        <v>#N/A</v>
      </c>
      <c r="F69">
        <f>INDEX(actual2[Non Tax Revenue],MATCH(Sheet5!AH15,actual2[Month],0))</f>
        <v>493319</v>
      </c>
    </row>
    <row r="70" spans="4:6" x14ac:dyDescent="0.35">
      <c r="D70" t="s">
        <v>89</v>
      </c>
      <c r="E70" t="e">
        <f>INDEX(actual2[Non Tax Revenue],MATCH(Sheet5!AG16,actual2[Month],0))</f>
        <v>#N/A</v>
      </c>
      <c r="F70">
        <f>INDEX(actual2[Non Tax Revenue],MATCH(Sheet5!AH16,actual2[Month],0))</f>
        <v>537544</v>
      </c>
    </row>
    <row r="73" spans="4:6" x14ac:dyDescent="0.35">
      <c r="D73" t="s">
        <v>70</v>
      </c>
      <c r="E73" t="str">
        <f>Sheet5!D4</f>
        <v>2025-26</v>
      </c>
      <c r="F73" t="str">
        <f>Sheet5!D6</f>
        <v>2024-25</v>
      </c>
    </row>
    <row r="74" spans="4:6" x14ac:dyDescent="0.35">
      <c r="D74" t="s">
        <v>78</v>
      </c>
      <c r="E74">
        <f>INDEX(actual2[Non Debt Capital Receipts],MATCH(Sheet5!$AG$5,actual2[Month],0))</f>
        <v>22459</v>
      </c>
      <c r="F74">
        <f>INDEX(actual2[Non Debt Capital Receipts],MATCH(Sheet5!$AH$5,actual2[Month],0))</f>
        <v>1041</v>
      </c>
    </row>
    <row r="75" spans="4:6" x14ac:dyDescent="0.35">
      <c r="D75" t="s">
        <v>79</v>
      </c>
      <c r="E75">
        <f>INDEX(actual2[Non Debt Capital Receipts],MATCH(Sheet5!$AG$6,actual2[Month],0))</f>
        <v>25224</v>
      </c>
      <c r="F75">
        <f>INDEX(actual2[Non Debt Capital Receipts],MATCH(Sheet5!$AH$6,actual2[Month],0))</f>
        <v>2087</v>
      </c>
    </row>
    <row r="76" spans="4:6" x14ac:dyDescent="0.35">
      <c r="D76" t="s">
        <v>80</v>
      </c>
      <c r="E76">
        <f>INDEX(actual2[Non Debt Capital Receipts],MATCH(Sheet5!$AG$7,actual2[Month],0))</f>
        <v>28018</v>
      </c>
      <c r="F76">
        <f>INDEX(actual2[Non Debt Capital Receipts],MATCH(Sheet5!$AH$7,actual2[Month],0))</f>
        <v>4520</v>
      </c>
    </row>
    <row r="77" spans="4:6" x14ac:dyDescent="0.35">
      <c r="D77" t="s">
        <v>81</v>
      </c>
      <c r="E77">
        <f>INDEX(actual2[Non Debt Capital Receipts],MATCH(Sheet5!$AG$8,actual2[Month],0))</f>
        <v>29789</v>
      </c>
      <c r="F77">
        <f>INDEX(actual2[Non Debt Capital Receipts],MATCH(Sheet5!$AH$8,actual2[Month],0))</f>
        <v>6386</v>
      </c>
    </row>
    <row r="78" spans="4:6" x14ac:dyDescent="0.35">
      <c r="D78" t="s">
        <v>82</v>
      </c>
      <c r="E78">
        <f>INDEX(actual2[Non Debt Capital Receipts],MATCH(Sheet5!$AG$9,actual2[Month],0))</f>
        <v>31970</v>
      </c>
      <c r="F78">
        <f>INDEX(actual2[Non Debt Capital Receipts],MATCH(Sheet5!$AH$9,actual2[Month],0))</f>
        <v>8866</v>
      </c>
    </row>
    <row r="79" spans="4:6" x14ac:dyDescent="0.35">
      <c r="D79" t="s">
        <v>83</v>
      </c>
      <c r="E79">
        <f>INDEX(actual2[Non Debt Capital Receipts],MATCH(Sheet5!$AG$10,actual2[Month],0))</f>
        <v>34770</v>
      </c>
      <c r="F79">
        <f>INDEX(actual2[Non Debt Capital Receipts],MATCH(Sheet5!$AH$10,actual2[Month],0))</f>
        <v>14601</v>
      </c>
    </row>
    <row r="80" spans="4:6" x14ac:dyDescent="0.35">
      <c r="D80" t="s">
        <v>84</v>
      </c>
      <c r="E80">
        <f>INDEX(actual2[Non Debt Capital Receipts],MATCH(Sheet5!$AG$11,actual2[Month],0))</f>
        <v>37095</v>
      </c>
      <c r="F80">
        <f>INDEX(actual2[Non Debt Capital Receipts],MATCH(Sheet5!$AH$11,actual2[Month],0))</f>
        <v>18807</v>
      </c>
    </row>
    <row r="81" spans="4:6" x14ac:dyDescent="0.35">
      <c r="D81" t="s">
        <v>85</v>
      </c>
      <c r="E81">
        <f>INDEX(actual2[Non Debt Capital Receipts],MATCH(Sheet5!$AG$12,actual2[Month],0))</f>
        <v>38927</v>
      </c>
      <c r="F81">
        <f>INDEX(actual2[Non Debt Capital Receipts],MATCH(Sheet5!$AH$12,actual2[Month],0))</f>
        <v>23953</v>
      </c>
    </row>
    <row r="82" spans="4:6" x14ac:dyDescent="0.35">
      <c r="D82" t="s">
        <v>86</v>
      </c>
      <c r="E82">
        <f>INDEX(actual2[Non Debt Capital Receipts],MATCH(Sheet5!$AG$13,actual2[Month],0))</f>
        <v>46047</v>
      </c>
      <c r="F82">
        <f>INDEX(actual2[Non Debt Capital Receipts],MATCH(Sheet5!$AH$13,actual2[Month],0))</f>
        <v>27295</v>
      </c>
    </row>
    <row r="83" spans="4:6" x14ac:dyDescent="0.35">
      <c r="D83" t="s">
        <v>87</v>
      </c>
      <c r="E83" t="e">
        <f>INDEX(actual2[Non Debt Capital Receipts],MATCH(Sheet5!$AG$14,actual2[Month],0))</f>
        <v>#N/A</v>
      </c>
      <c r="F83">
        <f>INDEX(actual2[Non Debt Capital Receipts],MATCH(Sheet5!$AH$14,actual2[Month],0))</f>
        <v>29224</v>
      </c>
    </row>
    <row r="84" spans="4:6" x14ac:dyDescent="0.35">
      <c r="D84" t="s">
        <v>88</v>
      </c>
      <c r="E84" t="e">
        <f>INDEX(actual2[Non Debt Capital Receipts],MATCH(Sheet5!$AG$15,actual2[Month],0))</f>
        <v>#N/A</v>
      </c>
      <c r="F84">
        <f>INDEX(actual2[Non Debt Capital Receipts],MATCH(Sheet5!$AH$15,actual2[Month],0))</f>
        <v>37364</v>
      </c>
    </row>
    <row r="85" spans="4:6" x14ac:dyDescent="0.35">
      <c r="D85" t="s">
        <v>89</v>
      </c>
      <c r="E85" t="e">
        <f>INDEX(actual2[Non Debt Capital Receipts],MATCH(Sheet5!$AG$16,actual2[Month],0))</f>
        <v>#N/A</v>
      </c>
      <c r="F85">
        <f>INDEX(actual2[Non Debt Capital Receipts],MATCH(Sheet5!$AH$16,actual2[Month],0))</f>
        <v>41818</v>
      </c>
    </row>
    <row r="88" spans="4:6" x14ac:dyDescent="0.35">
      <c r="D88" t="s">
        <v>20</v>
      </c>
      <c r="E88" t="str">
        <f>Sheet5!$D$4</f>
        <v>2025-26</v>
      </c>
      <c r="F88" t="str">
        <f>Sheet5!$D$6</f>
        <v>2024-25</v>
      </c>
    </row>
    <row r="89" spans="4:6" x14ac:dyDescent="0.35">
      <c r="D89" t="s">
        <v>78</v>
      </c>
      <c r="E89">
        <f>INDEX(actual1[Revenue Expenditure],MATCH(Sheet5!$AG$5,actual1[Month],0))</f>
        <v>305830</v>
      </c>
      <c r="F89">
        <f>INDEX(actual1[Revenue Expenditure],MATCH(Sheet5!$AH$5,actual1[Month],0))</f>
        <v>324235</v>
      </c>
    </row>
    <row r="90" spans="4:6" x14ac:dyDescent="0.35">
      <c r="D90" t="s">
        <v>79</v>
      </c>
      <c r="E90">
        <f>INDEX(actual1[Revenue Expenditure],MATCH(Sheet5!$AG$6,actual1[Month],0))</f>
        <v>524772</v>
      </c>
      <c r="F90">
        <f>INDEX(actual1[Revenue Expenditure],MATCH(Sheet5!$AH$6,actual1[Month],0))</f>
        <v>479835</v>
      </c>
    </row>
    <row r="91" spans="4:6" x14ac:dyDescent="0.35">
      <c r="D91" t="s">
        <v>80</v>
      </c>
      <c r="E91">
        <f>INDEX(actual1[Revenue Expenditure],MATCH(Sheet5!$AG$7,actual1[Month],0))</f>
        <v>946995</v>
      </c>
      <c r="F91">
        <f>INDEX(actual1[Revenue Expenditure],MATCH(Sheet5!$AH$7,actual1[Month],0))</f>
        <v>788858</v>
      </c>
    </row>
    <row r="92" spans="4:6" x14ac:dyDescent="0.35">
      <c r="D92" t="s">
        <v>81</v>
      </c>
      <c r="E92">
        <f>INDEX(actual1[Revenue Expenditure],MATCH(Sheet5!$AG$8,actual1[Month],0))</f>
        <v>1216699</v>
      </c>
      <c r="F92">
        <f>INDEX(actual1[Revenue Expenditure],MATCH(Sheet5!$AH$8,actual1[Month],0))</f>
        <v>1039091</v>
      </c>
    </row>
    <row r="93" spans="4:6" x14ac:dyDescent="0.35">
      <c r="D93" t="s">
        <v>82</v>
      </c>
      <c r="E93">
        <f>INDEX(actual1[Revenue Expenditure],MATCH(Sheet5!$AG$9,actual1[Month],0))</f>
        <v>1449283</v>
      </c>
      <c r="F93">
        <f>INDEX(actual1[Revenue Expenditure],MATCH(Sheet5!$AH$9,actual1[Month],0))</f>
        <v>1351367</v>
      </c>
    </row>
    <row r="94" spans="4:6" x14ac:dyDescent="0.35">
      <c r="D94" t="s">
        <v>83</v>
      </c>
      <c r="E94">
        <f>INDEX(actual1[Revenue Expenditure],MATCH(Sheet5!$AG$10,actual1[Month],0))</f>
        <v>1722593</v>
      </c>
      <c r="F94">
        <f>INDEX(actual1[Revenue Expenditure],MATCH(Sheet5!$AH$10,actual1[Month],0))</f>
        <v>1696528</v>
      </c>
    </row>
    <row r="95" spans="4:6" x14ac:dyDescent="0.35">
      <c r="D95" t="s">
        <v>84</v>
      </c>
      <c r="E95">
        <f>INDEX(actual1[Revenue Expenditure],MATCH(Sheet5!$AG$11,actual1[Month],0))</f>
        <v>2007876</v>
      </c>
      <c r="F95">
        <f>INDEX(actual1[Revenue Expenditure],MATCH(Sheet5!$AH$11,actual1[Month],0))</f>
        <v>2007353</v>
      </c>
    </row>
    <row r="96" spans="4:6" x14ac:dyDescent="0.35">
      <c r="D96" t="s">
        <v>85</v>
      </c>
      <c r="E96">
        <f>INDEX(actual1[Revenue Expenditure],MATCH(Sheet5!$AG$12,actual1[Month],0))</f>
        <v>2267700</v>
      </c>
      <c r="F96">
        <f>INDEX(actual1[Revenue Expenditure],MATCH(Sheet5!$AH$12,actual1[Month],0))</f>
        <v>2227502</v>
      </c>
    </row>
    <row r="97" spans="4:8" x14ac:dyDescent="0.35">
      <c r="D97" t="s">
        <v>86</v>
      </c>
      <c r="E97">
        <f>INDEX(actual1[Revenue Expenditure],MATCH(Sheet5!$AG$13,actual1[Month],0))</f>
        <v>2593063</v>
      </c>
      <c r="F97">
        <f>INDEX(actual1[Revenue Expenditure],MATCH(Sheet5!$AH$13,actual1[Month],0))</f>
        <v>2546757</v>
      </c>
    </row>
    <row r="98" spans="4:8" x14ac:dyDescent="0.35">
      <c r="D98" t="s">
        <v>87</v>
      </c>
      <c r="E98" t="e">
        <f>INDEX(actual1[Revenue Expenditure],MATCH(Sheet5!$AG$14,actual1[Month],0))</f>
        <v>#N/A</v>
      </c>
      <c r="F98">
        <f>INDEX(actual1[Revenue Expenditure],MATCH(Sheet5!$AH$14,actual1[Month],0))</f>
        <v>2812595</v>
      </c>
    </row>
    <row r="99" spans="4:8" x14ac:dyDescent="0.35">
      <c r="D99" t="s">
        <v>88</v>
      </c>
      <c r="E99" t="e">
        <f>INDEX(actual1[Revenue Expenditure],MATCH(Sheet5!$AG$15,actual1[Month],0))</f>
        <v>#N/A</v>
      </c>
      <c r="F99">
        <f>INDEX(actual1[Revenue Expenditure],MATCH(Sheet5!$AH$15,actual1[Month],0))</f>
        <v>3081282</v>
      </c>
    </row>
    <row r="100" spans="4:8" x14ac:dyDescent="0.35">
      <c r="D100" t="s">
        <v>89</v>
      </c>
      <c r="E100" t="e">
        <f>INDEX(actual1[Revenue Expenditure],MATCH(Sheet5!$AG$16,actual1[Month],0))</f>
        <v>#N/A</v>
      </c>
      <c r="F100">
        <f>INDEX(actual1[Revenue Expenditure],MATCH(Sheet5!$AH$16,actual1[Month],0))</f>
        <v>3603510</v>
      </c>
    </row>
    <row r="104" spans="4:8" x14ac:dyDescent="0.35">
      <c r="E104" t="str">
        <f>IF(MONTH(Dashboard!D8)&lt;4,"RE","BE")</f>
        <v>BE</v>
      </c>
      <c r="F104" t="str">
        <f>Sheet5!E4</f>
        <v>Dec-25</v>
      </c>
      <c r="G104" t="str">
        <f>IF(MONTH(Dashboard!D8)&lt;4,"RE","BE")</f>
        <v>BE</v>
      </c>
      <c r="H104" t="str">
        <f>Sheet5!E6</f>
        <v>Dec-24</v>
      </c>
    </row>
    <row r="105" spans="4:8" x14ac:dyDescent="0.35">
      <c r="D105" t="str">
        <f>Sheet5!D25</f>
        <v>Interest Payments</v>
      </c>
      <c r="E105">
        <f>IF(MONTH(Dashboard!$D$8)&lt;4,Sheet5!H25,Sheet5!G25)</f>
        <v>1276338</v>
      </c>
      <c r="F105">
        <f>Sheet5!E25</f>
        <v>911059</v>
      </c>
      <c r="G105">
        <f>IF(MONTH(Dashboard!$D$8)&lt;4,Sheet5!J25,Sheet5!I25)</f>
        <v>1162940</v>
      </c>
      <c r="H105">
        <f>Sheet5!F25</f>
        <v>808313</v>
      </c>
    </row>
    <row r="106" spans="4:8" x14ac:dyDescent="0.35">
      <c r="D106" t="str">
        <f>Sheet5!D27</f>
        <v>Defence  Services</v>
      </c>
      <c r="E106">
        <f>IF(MONTH(Dashboard!$D$8)&lt;4,Sheet5!H27,Sheet5!G27)</f>
        <v>311732</v>
      </c>
      <c r="F106">
        <f>Sheet5!E27</f>
        <v>233023</v>
      </c>
      <c r="G106">
        <f>IF(MONTH(Dashboard!$D$8)&lt;4,Sheet5!J27,Sheet5!I27)</f>
        <v>282773</v>
      </c>
      <c r="H106">
        <f>Sheet5!F27</f>
        <v>215520</v>
      </c>
    </row>
    <row r="107" spans="4:8" x14ac:dyDescent="0.35">
      <c r="D107" t="str">
        <f>Sheet5!D29</f>
        <v>Grants in Aid  to States &amp; UTs</v>
      </c>
      <c r="E107">
        <f>IF(MONTH(Dashboard!$D$8)&lt;4,Sheet5!H29,Sheet5!G29)</f>
        <v>720056</v>
      </c>
      <c r="F107">
        <f>Sheet5!E29</f>
        <v>247273</v>
      </c>
      <c r="G107">
        <f>IF(MONTH(Dashboard!$D$8)&lt;4,Sheet5!J29,Sheet5!I29)</f>
        <v>641460</v>
      </c>
      <c r="H107">
        <f>Sheet5!F29</f>
        <v>348245</v>
      </c>
    </row>
    <row r="108" spans="4:8" x14ac:dyDescent="0.35">
      <c r="D108" t="str">
        <f>Sheet5!D31</f>
        <v>Pensions</v>
      </c>
      <c r="E108">
        <f>IF(MONTH(Dashboard!$D$8)&lt;4,Sheet5!H31,Sheet5!G31)</f>
        <v>276618</v>
      </c>
      <c r="F108">
        <f>Sheet5!E31</f>
        <v>226030</v>
      </c>
      <c r="G108">
        <f>IF(MONTH(Dashboard!$D$8)&lt;4,Sheet5!J31,Sheet5!I31)</f>
        <v>243296</v>
      </c>
      <c r="H108">
        <f>Sheet5!F31</f>
        <v>215263</v>
      </c>
    </row>
    <row r="109" spans="4:8" x14ac:dyDescent="0.35">
      <c r="D109" t="str">
        <f>Sheet5!D33</f>
        <v>Major Subsidies</v>
      </c>
      <c r="E109">
        <f>IF(MONTH(Dashboard!$D$8)&lt;4,Sheet5!H33,Sheet5!G33)</f>
        <v>383407</v>
      </c>
      <c r="F109">
        <f>Sheet5!E33</f>
        <v>317490</v>
      </c>
      <c r="G109">
        <f>IF(MONTH(Dashboard!$D$8)&lt;4,Sheet5!J33,Sheet5!I33)</f>
        <v>381175</v>
      </c>
      <c r="H109">
        <f>Sheet5!F33</f>
        <v>306994</v>
      </c>
    </row>
    <row r="110" spans="4:8" x14ac:dyDescent="0.35">
      <c r="D110" t="str">
        <f>Sheet5!D35</f>
        <v>Other Revenue Expenditure</v>
      </c>
      <c r="E110">
        <f>IF(MONTH(Dashboard!$D$8)&lt;4,Sheet5!H35,Sheet5!G35)</f>
        <v>976104</v>
      </c>
      <c r="F110">
        <f>Sheet5!E35</f>
        <v>658188</v>
      </c>
      <c r="G110">
        <f>IF(MONTH(Dashboard!$D$8)&lt;4,Sheet5!J35,Sheet5!I35)</f>
        <v>997757</v>
      </c>
      <c r="H110">
        <f>Sheet5!F35</f>
        <v>652422</v>
      </c>
    </row>
    <row r="122" spans="4:6" x14ac:dyDescent="0.35">
      <c r="D122" t="s">
        <v>21</v>
      </c>
      <c r="E122" t="str">
        <f>Sheet5!$D$4</f>
        <v>2025-26</v>
      </c>
      <c r="F122" t="str">
        <f>Sheet5!$D$6</f>
        <v>2024-25</v>
      </c>
    </row>
    <row r="123" spans="4:6" x14ac:dyDescent="0.35">
      <c r="D123" t="s">
        <v>78</v>
      </c>
      <c r="E123">
        <f>INDEX(actual1[Capital Expenditure],MATCH(Sheet5!$AG$5,actual1[Month],0))</f>
        <v>159790</v>
      </c>
      <c r="F123">
        <f>INDEX(actual1[Capital Expenditure],MATCH(Sheet5!$AH$5,actual1[Month],0))</f>
        <v>99235</v>
      </c>
    </row>
    <row r="124" spans="4:6" x14ac:dyDescent="0.35">
      <c r="D124" t="s">
        <v>79</v>
      </c>
      <c r="E124">
        <f>INDEX(actual1[Capital Expenditure],MATCH(Sheet5!$AG$6,actual1[Month],0))</f>
        <v>221354</v>
      </c>
      <c r="F124">
        <f>INDEX(actual1[Capital Expenditure],MATCH(Sheet5!$AH$6,actual1[Month],0))</f>
        <v>143625</v>
      </c>
    </row>
    <row r="125" spans="4:6" x14ac:dyDescent="0.35">
      <c r="D125" t="s">
        <v>80</v>
      </c>
      <c r="E125">
        <f>INDEX(actual1[Capital Expenditure],MATCH(Sheet5!$AG$7,actual1[Month],0))</f>
        <v>275132</v>
      </c>
      <c r="F125">
        <f>INDEX(actual1[Capital Expenditure],MATCH(Sheet5!$AH$7,actual1[Month],0))</f>
        <v>181051</v>
      </c>
    </row>
    <row r="126" spans="4:6" x14ac:dyDescent="0.35">
      <c r="D126" t="s">
        <v>81</v>
      </c>
      <c r="E126">
        <f>INDEX(actual1[Capital Expenditure],MATCH(Sheet5!$AG$8,actual1[Month],0))</f>
        <v>346926</v>
      </c>
      <c r="F126">
        <f>INDEX(actual1[Capital Expenditure],MATCH(Sheet5!$AH$8,actual1[Month],0))</f>
        <v>261260</v>
      </c>
    </row>
    <row r="127" spans="4:6" x14ac:dyDescent="0.35">
      <c r="D127" t="s">
        <v>82</v>
      </c>
      <c r="E127">
        <f>INDEX(actual1[Capital Expenditure],MATCH(Sheet5!$AG$9,actual1[Month],0))</f>
        <v>431579</v>
      </c>
      <c r="F127">
        <f>INDEX(actual1[Capital Expenditure],MATCH(Sheet5!$AH$9,actual1[Month],0))</f>
        <v>300987</v>
      </c>
    </row>
    <row r="128" spans="4:6" x14ac:dyDescent="0.35">
      <c r="D128" t="s">
        <v>83</v>
      </c>
      <c r="E128">
        <f>INDEX(actual1[Capital Expenditure],MATCH(Sheet5!$AG$10,actual1[Month],0))</f>
        <v>580746</v>
      </c>
      <c r="F128">
        <f>INDEX(actual1[Capital Expenditure],MATCH(Sheet5!$AH$10,actual1[Month],0))</f>
        <v>414966</v>
      </c>
    </row>
    <row r="129" spans="4:6" x14ac:dyDescent="0.35">
      <c r="D129" t="s">
        <v>84</v>
      </c>
      <c r="E129">
        <f>INDEX(actual1[Capital Expenditure],MATCH(Sheet5!$AG$11,actual1[Month],0))</f>
        <v>617743</v>
      </c>
      <c r="F129">
        <f>INDEX(actual1[Capital Expenditure],MATCH(Sheet5!$AH$11,actual1[Month],0))</f>
        <v>466545</v>
      </c>
    </row>
    <row r="130" spans="4:6" x14ac:dyDescent="0.35">
      <c r="D130" t="s">
        <v>85</v>
      </c>
      <c r="E130">
        <f>INDEX(actual1[Capital Expenditure],MATCH(Sheet5!$AG$12,actual1[Month],0))</f>
        <v>658210</v>
      </c>
      <c r="F130">
        <f>INDEX(actual1[Capital Expenditure],MATCH(Sheet5!$AH$12,actual1[Month],0))</f>
        <v>513500</v>
      </c>
    </row>
    <row r="131" spans="4:6" x14ac:dyDescent="0.35">
      <c r="D131" t="s">
        <v>86</v>
      </c>
      <c r="E131">
        <f>INDEX(actual1[Capital Expenditure],MATCH(Sheet5!$AG$13,actual1[Month],0))</f>
        <v>787935</v>
      </c>
      <c r="F131">
        <f>INDEX(actual1[Capital Expenditure],MATCH(Sheet5!$AH$13,actual1[Month],0))</f>
        <v>685337</v>
      </c>
    </row>
    <row r="132" spans="4:6" x14ac:dyDescent="0.35">
      <c r="D132" t="s">
        <v>87</v>
      </c>
      <c r="E132" t="e">
        <f>INDEX(actual1[Capital Expenditure],MATCH(Sheet5!$AG$14,actual1[Month],0))</f>
        <v>#N/A</v>
      </c>
      <c r="F132">
        <f>INDEX(actual1[Capital Expenditure],MATCH(Sheet5!$AH$14,actual1[Month],0))</f>
        <v>757359</v>
      </c>
    </row>
    <row r="133" spans="4:6" x14ac:dyDescent="0.35">
      <c r="D133" t="s">
        <v>88</v>
      </c>
      <c r="E133" t="e">
        <f>INDEX(actual1[Capital Expenditure],MATCH(Sheet5!$AG$15,actual1[Month],0))</f>
        <v>#N/A</v>
      </c>
      <c r="F133">
        <f>INDEX(actual1[Capital Expenditure],MATCH(Sheet5!$AH$15,actual1[Month],0))</f>
        <v>811887</v>
      </c>
    </row>
    <row r="134" spans="4:6" x14ac:dyDescent="0.35">
      <c r="D134" t="s">
        <v>89</v>
      </c>
      <c r="E134" t="e">
        <f>INDEX(actual1[Capital Expenditure],MATCH(Sheet5!$AG$16,actual1[Month],0))</f>
        <v>#N/A</v>
      </c>
      <c r="F134">
        <f>INDEX(actual1[Capital Expenditure],MATCH(Sheet5!$AH$16,actual1[Month],0))</f>
        <v>1052007</v>
      </c>
    </row>
    <row r="137" spans="4:6" x14ac:dyDescent="0.35">
      <c r="D137" t="s">
        <v>45</v>
      </c>
      <c r="E137" t="str">
        <f>Sheet5!$D$4</f>
        <v>2025-26</v>
      </c>
      <c r="F137" t="str">
        <f>Sheet5!$D$6</f>
        <v>2024-25</v>
      </c>
    </row>
    <row r="138" spans="4:6" x14ac:dyDescent="0.35">
      <c r="D138" t="s">
        <v>78</v>
      </c>
      <c r="E138">
        <f>INDEX(actual2[Fiscal Deficit],MATCH(Sheet5!$AG$5,actual2[Month],0))</f>
        <v>186332</v>
      </c>
      <c r="F138">
        <f>INDEX(actual2[Fiscal Deficit],MATCH(Sheet5!$AH$5,actual2[Month],0))</f>
        <v>210136</v>
      </c>
    </row>
    <row r="139" spans="4:6" x14ac:dyDescent="0.35">
      <c r="D139" t="s">
        <v>79</v>
      </c>
      <c r="E139">
        <f>INDEX(actual2[Fiscal Deficit],MATCH(Sheet5!$AG$6,actual2[Month],0))</f>
        <v>13163</v>
      </c>
      <c r="F139">
        <f>INDEX(actual2[Fiscal Deficit],MATCH(Sheet5!$AH$6,actual2[Month],0))</f>
        <v>50615</v>
      </c>
    </row>
    <row r="140" spans="4:6" x14ac:dyDescent="0.35">
      <c r="D140" t="s">
        <v>80</v>
      </c>
      <c r="E140">
        <f>INDEX(actual2[Fiscal Deficit],MATCH(Sheet5!$AG$7,actual2[Month],0))</f>
        <v>280732</v>
      </c>
      <c r="F140">
        <f>INDEX(actual2[Fiscal Deficit],MATCH(Sheet5!$AH$7,actual2[Month],0))</f>
        <v>135712</v>
      </c>
    </row>
    <row r="141" spans="4:6" x14ac:dyDescent="0.35">
      <c r="D141" t="s">
        <v>81</v>
      </c>
      <c r="E141">
        <f>INDEX(actual2[Fiscal Deficit],MATCH(Sheet5!$AG$8,actual2[Month],0))</f>
        <v>468416</v>
      </c>
      <c r="F141">
        <f>INDEX(actual2[Fiscal Deficit],MATCH(Sheet5!$AH$8,actual2[Month],0))</f>
        <v>276945</v>
      </c>
    </row>
    <row r="142" spans="4:6" x14ac:dyDescent="0.35">
      <c r="D142" t="s">
        <v>82</v>
      </c>
      <c r="E142">
        <f>INDEX(actual2[Fiscal Deficit],MATCH(Sheet5!$AG$9,actual2[Month],0))</f>
        <v>598153</v>
      </c>
      <c r="F142">
        <f>INDEX(actual2[Fiscal Deficit],MATCH(Sheet5!$AH$9,actual2[Month],0))</f>
        <v>435176</v>
      </c>
    </row>
    <row r="143" spans="4:6" x14ac:dyDescent="0.35">
      <c r="D143" t="s">
        <v>83</v>
      </c>
      <c r="E143">
        <f>INDEX(actual2[Fiscal Deficit],MATCH(Sheet5!$AG$10,actual2[Month],0))</f>
        <v>573123</v>
      </c>
      <c r="F143">
        <f>INDEX(actual2[Fiscal Deficit],MATCH(Sheet5!$AH$10,actual2[Month],0))</f>
        <v>474520</v>
      </c>
    </row>
    <row r="144" spans="4:6" x14ac:dyDescent="0.35">
      <c r="D144" t="s">
        <v>84</v>
      </c>
      <c r="E144">
        <f>INDEX(actual2[Fiscal Deficit],MATCH(Sheet5!$AG$11,actual2[Month],0))</f>
        <v>825144</v>
      </c>
      <c r="F144">
        <f>INDEX(actual2[Fiscal Deficit],MATCH(Sheet5!$AH$11,actual2[Month],0))</f>
        <v>750824</v>
      </c>
    </row>
    <row r="145" spans="4:6" x14ac:dyDescent="0.35">
      <c r="D145" t="s">
        <v>85</v>
      </c>
      <c r="E145">
        <f>INDEX(actual2[Fiscal Deficit],MATCH(Sheet5!$AG$12,actual2[Month],0))</f>
        <v>976671</v>
      </c>
      <c r="F145">
        <f>INDEX(actual2[Fiscal Deficit],MATCH(Sheet5!$AH$12,actual2[Month],0))</f>
        <v>846594</v>
      </c>
    </row>
    <row r="146" spans="4:6" x14ac:dyDescent="0.35">
      <c r="D146" t="s">
        <v>86</v>
      </c>
      <c r="E146">
        <f>INDEX(actual2[Fiscal Deficit],MATCH(Sheet5!$AG$13,actual2[Month],0))</f>
        <v>855842</v>
      </c>
      <c r="F146">
        <f>INDEX(actual2[Fiscal Deficit],MATCH(Sheet5!$AH$13,actual2[Month],0))</f>
        <v>914089</v>
      </c>
    </row>
    <row r="147" spans="4:6" x14ac:dyDescent="0.35">
      <c r="D147" t="s">
        <v>87</v>
      </c>
      <c r="E147" t="e">
        <f>INDEX(actual2[Fiscal Deficit],MATCH(Sheet5!$AG$14,actual2[Month],0))</f>
        <v>#N/A</v>
      </c>
      <c r="F147">
        <f>INDEX(actual2[Fiscal Deficit],MATCH(Sheet5!$AH$14,actual2[Month],0))</f>
        <v>1169542</v>
      </c>
    </row>
    <row r="148" spans="4:6" x14ac:dyDescent="0.35">
      <c r="D148" t="s">
        <v>88</v>
      </c>
      <c r="E148" t="e">
        <f>INDEX(actual2[Fiscal Deficit],MATCH(Sheet5!$AG$15,actual2[Month],0))</f>
        <v>#N/A</v>
      </c>
      <c r="F148">
        <f>INDEX(actual2[Fiscal Deficit],MATCH(Sheet5!$AH$15,actual2[Month],0))</f>
        <v>1346852</v>
      </c>
    </row>
    <row r="149" spans="4:6" x14ac:dyDescent="0.35">
      <c r="D149" t="s">
        <v>89</v>
      </c>
      <c r="E149" t="e">
        <f>INDEX(actual2[Fiscal Deficit],MATCH(Sheet5!$AG$16,actual2[Month],0))</f>
        <v>#N/A</v>
      </c>
      <c r="F149">
        <f>INDEX(actual2[Fiscal Deficit],MATCH(Sheet5!$AH$16,actual2[Month],0))</f>
        <v>1577270</v>
      </c>
    </row>
    <row r="153" spans="4:6" x14ac:dyDescent="0.35">
      <c r="D153" t="s">
        <v>47</v>
      </c>
      <c r="E153" t="str">
        <f>Sheet5!$D$4</f>
        <v>2025-26</v>
      </c>
      <c r="F153" t="str">
        <f>Sheet5!$D$6</f>
        <v>2024-25</v>
      </c>
    </row>
    <row r="154" spans="4:6" x14ac:dyDescent="0.35">
      <c r="D154" t="s">
        <v>78</v>
      </c>
      <c r="E154">
        <f>INDEX(actual2[Revenue Deficit],MATCH(Sheet5!$AG$5,actual2[Month],0))</f>
        <v>49001</v>
      </c>
      <c r="F154">
        <f>INDEX(actual2[Revenue Deficit],MATCH(Sheet5!$AH$5,actual2[Month],0))</f>
        <v>111942</v>
      </c>
    </row>
    <row r="155" spans="4:6" x14ac:dyDescent="0.35">
      <c r="D155" t="s">
        <v>79</v>
      </c>
      <c r="E155">
        <f>INDEX(actual2[Revenue Deficit],MATCH(Sheet5!$AG$6,actual2[Month],0))</f>
        <v>-182967</v>
      </c>
      <c r="F155">
        <f>INDEX(actual2[Revenue Deficit],MATCH(Sheet5!$AH$6,actual2[Month],0))</f>
        <v>-90923</v>
      </c>
    </row>
    <row r="156" spans="4:6" x14ac:dyDescent="0.35">
      <c r="D156" t="s">
        <v>80</v>
      </c>
      <c r="E156">
        <f>INDEX(actual2[Revenue Deficit],MATCH(Sheet5!$AG$7,actual2[Month],0))</f>
        <v>33618</v>
      </c>
      <c r="F156">
        <f>INDEX(actual2[Revenue Deficit],MATCH(Sheet5!$AH$7,actual2[Month],0))</f>
        <v>-40819</v>
      </c>
    </row>
    <row r="157" spans="4:6" x14ac:dyDescent="0.35">
      <c r="D157" t="s">
        <v>81</v>
      </c>
      <c r="E157">
        <f>INDEX(actual2[Revenue Deficit],MATCH(Sheet5!$AG$8,actual2[Month],0))</f>
        <v>151279</v>
      </c>
      <c r="F157">
        <f>INDEX(actual2[Revenue Deficit],MATCH(Sheet5!$AH$8,actual2[Month],0))</f>
        <v>22071</v>
      </c>
    </row>
    <row r="158" spans="4:6" x14ac:dyDescent="0.35">
      <c r="D158" t="s">
        <v>82</v>
      </c>
      <c r="E158">
        <f>INDEX(actual2[Revenue Deficit],MATCH(Sheet5!$AG$9,actual2[Month],0))</f>
        <v>198544</v>
      </c>
      <c r="F158">
        <f>INDEX(actual2[Revenue Deficit],MATCH(Sheet5!$AH$9,actual2[Month],0))</f>
        <v>143055</v>
      </c>
    </row>
    <row r="159" spans="4:6" x14ac:dyDescent="0.35">
      <c r="D159" t="s">
        <v>83</v>
      </c>
      <c r="E159">
        <f>INDEX(actual2[Revenue Deficit],MATCH(Sheet5!$AG$10,actual2[Month],0))</f>
        <v>27147</v>
      </c>
      <c r="F159">
        <f>INDEX(actual2[Revenue Deficit],MATCH(Sheet5!$AH$10,actual2[Month],0))</f>
        <v>74155</v>
      </c>
    </row>
    <row r="160" spans="4:6" x14ac:dyDescent="0.35">
      <c r="D160" t="s">
        <v>84</v>
      </c>
      <c r="E160">
        <f>INDEX(actual2[Revenue Deficit],MATCH(Sheet5!$AG$11,actual2[Month],0))</f>
        <v>244496</v>
      </c>
      <c r="F160">
        <f>INDEX(actual2[Revenue Deficit],MATCH(Sheet5!$AH$11,actual2[Month],0))</f>
        <v>303086</v>
      </c>
    </row>
    <row r="161" spans="4:6" x14ac:dyDescent="0.35">
      <c r="D161" t="s">
        <v>85</v>
      </c>
      <c r="E161">
        <f>INDEX(actual2[Revenue Deficit],MATCH(Sheet5!$AG$12,actual2[Month],0))</f>
        <v>357388</v>
      </c>
      <c r="F161">
        <f>INDEX(actual2[Revenue Deficit],MATCH(Sheet5!$AH$12,actual2[Month],0))</f>
        <v>357047</v>
      </c>
    </row>
    <row r="162" spans="4:6" x14ac:dyDescent="0.35">
      <c r="D162" t="s">
        <v>86</v>
      </c>
      <c r="E162">
        <f>INDEX(actual2[Revenue Deficit],MATCH(Sheet5!$AG$13,actual2[Month],0))</f>
        <v>113954</v>
      </c>
      <c r="F162">
        <f>INDEX(actual2[Revenue Deficit],MATCH(Sheet5!$AH$13,actual2[Month],0))</f>
        <v>256047</v>
      </c>
    </row>
    <row r="163" spans="4:6" x14ac:dyDescent="0.35">
      <c r="D163" t="s">
        <v>87</v>
      </c>
      <c r="E163" t="e">
        <f>INDEX(actual2[Revenue Deficit],MATCH(Sheet5!$AG$14,actual2[Month],0))</f>
        <v>#N/A</v>
      </c>
      <c r="F163">
        <f>INDEX(actual2[Revenue Deficit],MATCH(Sheet5!$AH$14,actual2[Month],0))</f>
        <v>441407</v>
      </c>
    </row>
    <row r="164" spans="4:6" x14ac:dyDescent="0.35">
      <c r="D164" t="s">
        <v>88</v>
      </c>
      <c r="E164" t="e">
        <f>INDEX(actual2[Revenue Deficit],MATCH(Sheet5!$AG$15,actual2[Month],0))</f>
        <v>#N/A</v>
      </c>
      <c r="F164">
        <f>INDEX(actual2[Revenue Deficit],MATCH(Sheet5!$AH$15,actual2[Month],0))</f>
        <v>572329</v>
      </c>
    </row>
    <row r="165" spans="4:6" x14ac:dyDescent="0.35">
      <c r="D165" t="s">
        <v>89</v>
      </c>
      <c r="E165" t="e">
        <f>INDEX(actual2[Revenue Deficit],MATCH(Sheet5!$AG$16,actual2[Month],0))</f>
        <v>#N/A</v>
      </c>
      <c r="F165">
        <f>INDEX(actual2[Revenue Deficit],MATCH(Sheet5!$AH$16,actual2[Month],0))</f>
        <v>567081</v>
      </c>
    </row>
    <row r="168" spans="4:6" x14ac:dyDescent="0.35">
      <c r="D168" t="s">
        <v>46</v>
      </c>
      <c r="E168" t="str">
        <f>Sheet5!$D$4</f>
        <v>2025-26</v>
      </c>
      <c r="F168" t="str">
        <f>Sheet5!$D$6</f>
        <v>2024-25</v>
      </c>
    </row>
    <row r="169" spans="4:6" x14ac:dyDescent="0.35">
      <c r="D169" t="s">
        <v>78</v>
      </c>
      <c r="E169">
        <f>INDEX(actual2[Primary Deficit],MATCH(Sheet5!$AG$5,actual2[Month],0))</f>
        <v>92872</v>
      </c>
      <c r="F169">
        <f>INDEX(actual2[Primary Deficit],MATCH(Sheet5!$AH$5,actual2[Month],0))</f>
        <v>81873</v>
      </c>
    </row>
    <row r="170" spans="4:6" x14ac:dyDescent="0.35">
      <c r="D170" t="s">
        <v>79</v>
      </c>
      <c r="E170">
        <f>INDEX(actual2[Primary Deficit],MATCH(Sheet5!$AG$6,actual2[Month],0))</f>
        <v>-134625</v>
      </c>
      <c r="F170">
        <f>INDEX(actual2[Primary Deficit],MATCH(Sheet5!$AH$6,actual2[Month],0))</f>
        <v>-73195</v>
      </c>
    </row>
    <row r="171" spans="4:6" x14ac:dyDescent="0.35">
      <c r="D171" t="s">
        <v>80</v>
      </c>
      <c r="E171">
        <f>INDEX(actual2[Primary Deficit],MATCH(Sheet5!$AG$7,actual2[Month],0))</f>
        <v>-105305</v>
      </c>
      <c r="F171">
        <f>INDEX(actual2[Primary Deficit],MATCH(Sheet5!$AH$7,actual2[Month],0))</f>
        <v>-128340</v>
      </c>
    </row>
    <row r="172" spans="4:6" x14ac:dyDescent="0.35">
      <c r="D172" t="s">
        <v>81</v>
      </c>
      <c r="E172">
        <f>INDEX(actual2[Primary Deficit],MATCH(Sheet5!$AG$8,actual2[Month],0))</f>
        <v>21726</v>
      </c>
      <c r="F172">
        <f>INDEX(actual2[Primary Deficit],MATCH(Sheet5!$AH$8,actual2[Month],0))</f>
        <v>-50942</v>
      </c>
    </row>
    <row r="173" spans="4:6" x14ac:dyDescent="0.35">
      <c r="D173" t="s">
        <v>82</v>
      </c>
      <c r="E173">
        <f>INDEX(actual2[Primary Deficit],MATCH(Sheet5!$AG$9,actual2[Month],0))</f>
        <v>69485</v>
      </c>
      <c r="F173">
        <f>INDEX(actual2[Primary Deficit],MATCH(Sheet5!$AH$9,actual2[Month],0))</f>
        <v>35016</v>
      </c>
    </row>
    <row r="174" spans="4:6" x14ac:dyDescent="0.35">
      <c r="D174" t="s">
        <v>83</v>
      </c>
      <c r="E174">
        <f>INDEX(actual2[Primary Deficit],MATCH(Sheet5!$AG$10,actual2[Month],0))</f>
        <v>-5059</v>
      </c>
      <c r="F174">
        <f>INDEX(actual2[Primary Deficit],MATCH(Sheet5!$AH$10,actual2[Month],0))</f>
        <v>-40490</v>
      </c>
    </row>
    <row r="175" spans="4:6" x14ac:dyDescent="0.35">
      <c r="D175" t="s">
        <v>84</v>
      </c>
      <c r="E175">
        <f>INDEX(actual2[Primary Deficit],MATCH(Sheet5!$AG$11,actual2[Month],0))</f>
        <v>151429</v>
      </c>
      <c r="F175">
        <f>INDEX(actual2[Primary Deficit],MATCH(Sheet5!$AH$11,actual2[Month],0))</f>
        <v>154477</v>
      </c>
    </row>
    <row r="176" spans="4:6" x14ac:dyDescent="0.35">
      <c r="D176" t="s">
        <v>85</v>
      </c>
      <c r="E176">
        <f>INDEX(actual2[Primary Deficit],MATCH(Sheet5!$AG$12,actual2[Month],0))</f>
        <v>230906</v>
      </c>
      <c r="F176">
        <f>INDEX(actual2[Primary Deficit],MATCH(Sheet5!$AH$12,actual2[Month],0))</f>
        <v>188100</v>
      </c>
    </row>
    <row r="177" spans="4:6" x14ac:dyDescent="0.35">
      <c r="D177" t="s">
        <v>86</v>
      </c>
      <c r="E177">
        <f>INDEX(actual2[Primary Deficit],MATCH(Sheet5!$AG$13,actual2[Month],0))</f>
        <v>-55217</v>
      </c>
      <c r="F177">
        <f>INDEX(actual2[Primary Deficit],MATCH(Sheet5!$AH$13,actual2[Month],0))</f>
        <v>105776</v>
      </c>
    </row>
    <row r="178" spans="4:6" x14ac:dyDescent="0.35">
      <c r="D178" t="s">
        <v>87</v>
      </c>
      <c r="E178" t="e">
        <f>INDEX(actual2[Primary Deficit],MATCH(Sheet5!$AG$14,actual2[Month],0))</f>
        <v>#N/A</v>
      </c>
      <c r="F178">
        <f>INDEX(actual2[Primary Deficit],MATCH(Sheet5!$AH$14,actual2[Month],0))</f>
        <v>294081</v>
      </c>
    </row>
    <row r="179" spans="4:6" x14ac:dyDescent="0.35">
      <c r="D179" t="s">
        <v>88</v>
      </c>
      <c r="E179" t="e">
        <f>INDEX(actual2[Primary Deficit],MATCH(Sheet5!$AG$15,actual2[Month],0))</f>
        <v>#N/A</v>
      </c>
      <c r="F179">
        <f>INDEX(actual2[Primary Deficit],MATCH(Sheet5!$AH$15,actual2[Month],0))</f>
        <v>394008</v>
      </c>
    </row>
    <row r="180" spans="4:6" x14ac:dyDescent="0.35">
      <c r="D180" t="s">
        <v>89</v>
      </c>
      <c r="E180" t="e">
        <f>INDEX(actual2[Primary Deficit],MATCH(Sheet5!$AG$16,actual2[Month],0))</f>
        <v>#N/A</v>
      </c>
      <c r="F180">
        <f>INDEX(actual2[Primary Deficit],MATCH(Sheet5!$AH$16,actual2[Month],0))</f>
        <v>460927</v>
      </c>
    </row>
  </sheetData>
  <sheetProtection selectLockedCell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Dashboard</vt:lpstr>
      <vt:lpstr>Receipts</vt:lpstr>
      <vt:lpstr>Expenditure</vt:lpstr>
      <vt:lpstr>Deficit</vt:lpstr>
      <vt:lpstr>actual</vt:lpstr>
      <vt:lpstr>BERE</vt:lpstr>
      <vt:lpstr>GDP</vt:lpstr>
      <vt:lpstr>actual2</vt:lpstr>
      <vt:lpstr>BERE2</vt:lpstr>
      <vt:lpstr>actual2m</vt:lpstr>
      <vt:lpstr>Dashboard!Print_Area</vt:lpstr>
      <vt:lpstr>Receipts!Print_Area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URGUNDE, SHREYAS (PGT)</cp:lastModifiedBy>
  <cp:lastPrinted>2024-06-19T08:53:05Z</cp:lastPrinted>
  <dcterms:created xsi:type="dcterms:W3CDTF">2021-02-12T08:23:39Z</dcterms:created>
  <dcterms:modified xsi:type="dcterms:W3CDTF">2026-02-17T17:53:22Z</dcterms:modified>
</cp:coreProperties>
</file>