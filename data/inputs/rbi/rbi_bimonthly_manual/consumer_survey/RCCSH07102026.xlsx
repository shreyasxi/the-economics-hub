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6\10Oct\07-10-2026\RCCS_Sep 2026_PR_E\Doc\"/>
    </mc:Choice>
  </mc:AlternateContent>
  <xr:revisionPtr revIDLastSave="0" documentId="13_ncr:1_{BEE3F616-C717-4C5D-851B-E77DA1D196A7}" xr6:coauthVersionLast="47" xr6:coauthVersionMax="47" xr10:uidLastSave="{00000000-0000-0000-0000-000000000000}"/>
  <bookViews>
    <workbookView xWindow="-120" yWindow="-120" windowWidth="29040" windowHeight="15720" tabRatio="842" xr2:uid="{132AF703-E9FA-429E-B333-FA435E9BB05E}"/>
  </bookViews>
  <sheets>
    <sheet name="T1 Economic Situation" sheetId="9" r:id="rId1"/>
    <sheet name="T2 Employment" sheetId="10" r:id="rId2"/>
    <sheet name="T3 Prices" sheetId="11" r:id="rId3"/>
    <sheet name="T4 Inflation" sheetId="12" r:id="rId4"/>
    <sheet name="T5 Income" sheetId="13" r:id="rId5"/>
    <sheet name="T6 Spending" sheetId="14" r:id="rId6"/>
    <sheet name="T7 Essential spending" sheetId="15" r:id="rId7"/>
    <sheet name="T8 Non-essential spending" sheetId="2" r:id="rId8"/>
    <sheet name="Sheet5" sheetId="5" state="hidden" r:id="rId9"/>
    <sheet name="T9 Indices" sheetId="6" r:id="rId10"/>
    <sheet name="T10 Household IE" sheetId="4" r:id="rId11"/>
    <sheet name="T10A Current" sheetId="16" r:id="rId12"/>
    <sheet name="T10B 1Year" sheetId="1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2" l="1"/>
</calcChain>
</file>

<file path=xl/sharedStrings.xml><?xml version="1.0" encoding="utf-8"?>
<sst xmlns="http://schemas.openxmlformats.org/spreadsheetml/2006/main" count="371" uniqueCount="99">
  <si>
    <t>Table 2: Perceptions and Expectations on Employment</t>
  </si>
  <si>
    <t>(Percentage responses)</t>
  </si>
  <si>
    <t>Survey Round</t>
  </si>
  <si>
    <t>Current Perception</t>
  </si>
  <si>
    <t>One year ahead Expectation</t>
  </si>
  <si>
    <t>Net Response</t>
  </si>
  <si>
    <t>Sep-23 (26 States)</t>
  </si>
  <si>
    <t>Nov-23 (26 States)</t>
  </si>
  <si>
    <t>Increased</t>
  </si>
  <si>
    <t>Remained Same</t>
  </si>
  <si>
    <t>Decreased</t>
  </si>
  <si>
    <t>Will Increase</t>
  </si>
  <si>
    <t>Will Decrease</t>
  </si>
  <si>
    <t>One Year ahead Expectation</t>
  </si>
  <si>
    <t>Median</t>
  </si>
  <si>
    <t>Estimate</t>
  </si>
  <si>
    <t>SE</t>
  </si>
  <si>
    <t>Overall</t>
  </si>
  <si>
    <t>Gender-wise</t>
  </si>
  <si>
    <t>Male</t>
  </si>
  <si>
    <t>Female</t>
  </si>
  <si>
    <t>Category-wise</t>
  </si>
  <si>
    <t>Self Employed</t>
  </si>
  <si>
    <t>Homemakers</t>
  </si>
  <si>
    <t>Retired Persons</t>
  </si>
  <si>
    <t>Daily Workers</t>
  </si>
  <si>
    <t>Other category</t>
  </si>
  <si>
    <t>Age Group-wise</t>
  </si>
  <si>
    <t>60 years and above</t>
  </si>
  <si>
    <t>Table 3: Perceptions and Expectations on Price Level</t>
  </si>
  <si>
    <t>Table 5: Perceptions and Expectations on Income</t>
  </si>
  <si>
    <t>Table 6: Perceptions and Expectations on Spending</t>
  </si>
  <si>
    <t>Table 7: Perceptions and Expectations on Spending- Essential Items</t>
  </si>
  <si>
    <t>Table 8: Perceptions and Expectations on Spending- Non-Essential Items</t>
  </si>
  <si>
    <t>Current as compared to one year ago</t>
  </si>
  <si>
    <t>One year ahead from now</t>
  </si>
  <si>
    <t>Combined</t>
  </si>
  <si>
    <t>Median IE</t>
  </si>
  <si>
    <t>Gender</t>
  </si>
  <si>
    <t>Age</t>
  </si>
  <si>
    <t>21-29 Years</t>
  </si>
  <si>
    <t>30-39 Years</t>
  </si>
  <si>
    <t>40-59 Years</t>
  </si>
  <si>
    <t>60 Years and above</t>
  </si>
  <si>
    <t>Occupation</t>
  </si>
  <si>
    <t>Land Owning Farmers (Discontinued Since May 2023)</t>
  </si>
  <si>
    <t>Daily Worker</t>
  </si>
  <si>
    <t>Salaried Employee</t>
  </si>
  <si>
    <t>Homemaker</t>
  </si>
  <si>
    <t>Retired Person</t>
  </si>
  <si>
    <t>Others</t>
  </si>
  <si>
    <t>Monthly Income</t>
  </si>
  <si>
    <t>Less than Rs. 5 thousand</t>
  </si>
  <si>
    <t>Rs. 5 thousand - Less than Rs. 10 thousand</t>
  </si>
  <si>
    <t>Rs. 10 thousand - Less than Rs. 25 thousand</t>
  </si>
  <si>
    <t>Rs. 25 thousand - Less than Rs. 50 thousand</t>
  </si>
  <si>
    <t>Rs. 50 thousand - Less than Rs. 1 lakh</t>
  </si>
  <si>
    <t>Rs 1 lakh and above</t>
  </si>
  <si>
    <t>Education Level</t>
  </si>
  <si>
    <t>Illiterate</t>
  </si>
  <si>
    <t>Below 5th Std</t>
  </si>
  <si>
    <t>5th Std-Below 10th Std</t>
  </si>
  <si>
    <t>10th Std-Below 12th Std</t>
  </si>
  <si>
    <t>12th Std</t>
  </si>
  <si>
    <t>Graduate</t>
  </si>
  <si>
    <t>Post Graduate</t>
  </si>
  <si>
    <t>21 to 29 years</t>
  </si>
  <si>
    <t>30 to 39 years</t>
  </si>
  <si>
    <t>40 to 59 years</t>
  </si>
  <si>
    <t>Worsened</t>
  </si>
  <si>
    <t>Will Worsen</t>
  </si>
  <si>
    <t>Price Increase More Than Last Year</t>
  </si>
  <si>
    <t>Price Increase Similar to Last Year</t>
  </si>
  <si>
    <t>Price Increase Less Than Last Year</t>
  </si>
  <si>
    <t>Price Increase More Than Current Rate</t>
  </si>
  <si>
    <t>Price Increase Similar to Current Rate</t>
  </si>
  <si>
    <t>Price Increase Less Than Current Rate</t>
  </si>
  <si>
    <t>Table 1: Perceptions and Expectations on General Economic Situation</t>
  </si>
  <si>
    <t xml:space="preserve">Improved </t>
  </si>
  <si>
    <t xml:space="preserve">Remained Same </t>
  </si>
  <si>
    <t xml:space="preserve">Will Improve  </t>
  </si>
  <si>
    <t xml:space="preserve">Will Remain Same </t>
  </si>
  <si>
    <t>Table 9: Current Situation Index (CSI) and Future Expectations Index (FEI)</t>
  </si>
  <si>
    <t>CSI*</t>
  </si>
  <si>
    <t>FEI*</t>
  </si>
  <si>
    <t>Note:</t>
  </si>
  <si>
    <r>
      <t>*</t>
    </r>
    <r>
      <rPr>
        <b/>
        <sz val="10"/>
        <color theme="1"/>
        <rFont val="Arial"/>
        <family val="2"/>
      </rPr>
      <t>CSI/FEI</t>
    </r>
    <r>
      <rPr>
        <sz val="10"/>
        <color theme="1"/>
        <rFont val="Arial"/>
        <family val="2"/>
      </rPr>
      <t xml:space="preserve"> = 100 + Average of Net Responses of (General Economic Situation, Employment Scenario, Price Level, Household income and Overall Spending)</t>
    </r>
  </si>
  <si>
    <t xml:space="preserve">Will Remain  Same </t>
  </si>
  <si>
    <t>Table 4: Perceptions and Expectations on Rate of Change in Price Level (Inflation)</t>
  </si>
  <si>
    <t>One year ahead  Expectation</t>
  </si>
  <si>
    <t>Round No.</t>
  </si>
  <si>
    <t>Survey period ended</t>
  </si>
  <si>
    <t>Table 10: Household Inflation Expectations – Current Perception and One Year Ahead Expectations</t>
  </si>
  <si>
    <t>Table 10a: Various Group-wise Current Median Inflation Perception</t>
  </si>
  <si>
    <r>
      <rPr>
        <b/>
        <sz val="10"/>
        <color theme="1"/>
        <rFont val="Arial"/>
        <family val="2"/>
      </rPr>
      <t>Note:</t>
    </r>
    <r>
      <rPr>
        <sz val="10"/>
        <color theme="1"/>
        <rFont val="Arial"/>
        <family val="2"/>
      </rPr>
      <t xml:space="preserve"> The table provides estimates and standard errors (SE) for quantitative responses.</t>
    </r>
  </si>
  <si>
    <t>Table 10a: Various Group-wise 1 year ahead Median Inflation Expectations</t>
  </si>
  <si>
    <t xml:space="preserve">Up to May 2024, figures are based on 26 states/ UTs; from July 2024, figures are compiled based on 31 states/ UTs; </t>
  </si>
  <si>
    <r>
      <rPr>
        <b/>
        <sz val="10"/>
        <color rgb="FF000000"/>
        <rFont val="Arial"/>
        <family val="2"/>
      </rPr>
      <t xml:space="preserve">Note: </t>
    </r>
    <r>
      <rPr>
        <sz val="10"/>
        <color rgb="FF000000"/>
        <rFont val="Arial"/>
        <family val="2"/>
      </rPr>
      <t xml:space="preserve">The table provides estimates and standard errors (SE) for quantitative responses.
Up to May 2024, figures are based on 26 states/ UTs; from July 2024, figures are compiled based on 31 states/ UTs; </t>
    </r>
  </si>
  <si>
    <r>
      <t>Note</t>
    </r>
    <r>
      <rPr>
        <sz val="10"/>
        <color theme="1"/>
        <rFont val="Arial"/>
        <family val="2"/>
      </rPr>
      <t xml:space="preserve">: The rural consumer confidence survey covers both rural and semi-urban areas.
Up to May 2024, figures are based on 26 states/ UTs; from July 2024, figures are compiled based on 31 states/ UTs; 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‘Net response’ is the difference between the percentage of respondents reporting optimism and those reporting pessimisms. It ranges between -100 and 100. Any value greater than zero indicates expansion/ optimism and values less than zero indicate contraction/ pessimism.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</si>
</sst>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m/yyyy"/>
    <numFmt numFmtId="166" formatCode="[$-409]mmm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CEBE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auto="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9" fillId="9" borderId="0" applyNumberFormat="0" applyBorder="0" applyAlignment="0" applyProtection="0"/>
    <xf numFmtId="0" fontId="11" fillId="0" borderId="0"/>
    <xf numFmtId="0" fontId="1" fillId="0" borderId="0"/>
    <xf numFmtId="0" fontId="1" fillId="0" borderId="0"/>
  </cellStyleXfs>
  <cellXfs count="194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17" fontId="8" fillId="7" borderId="0" xfId="0" applyNumberFormat="1" applyFont="1" applyFill="1" applyAlignment="1">
      <alignment vertical="center" wrapText="1"/>
    </xf>
    <xf numFmtId="0" fontId="7" fillId="0" borderId="0" xfId="0" applyFont="1"/>
    <xf numFmtId="0" fontId="0" fillId="7" borderId="0" xfId="0" applyFill="1" applyAlignment="1">
      <alignment wrapText="1"/>
    </xf>
    <xf numFmtId="0" fontId="0" fillId="7" borderId="0" xfId="0" applyFill="1"/>
    <xf numFmtId="0" fontId="3" fillId="7" borderId="9" xfId="0" applyFont="1" applyFill="1" applyBorder="1" applyAlignment="1">
      <alignment horizontal="center" vertical="top" wrapText="1"/>
    </xf>
    <xf numFmtId="0" fontId="3" fillId="7" borderId="10" xfId="0" applyFont="1" applyFill="1" applyBorder="1" applyAlignment="1">
      <alignment horizontal="center" vertical="top" wrapText="1"/>
    </xf>
    <xf numFmtId="0" fontId="3" fillId="8" borderId="2" xfId="0" applyFont="1" applyFill="1" applyBorder="1" applyAlignment="1">
      <alignment wrapText="1"/>
    </xf>
    <xf numFmtId="0" fontId="3" fillId="8" borderId="2" xfId="0" applyFont="1" applyFill="1" applyBorder="1" applyAlignment="1">
      <alignment horizontal="left" vertical="top"/>
    </xf>
    <xf numFmtId="164" fontId="3" fillId="8" borderId="7" xfId="0" applyNumberFormat="1" applyFont="1" applyFill="1" applyBorder="1" applyAlignment="1">
      <alignment horizontal="right" vertical="top"/>
    </xf>
    <xf numFmtId="2" fontId="3" fillId="8" borderId="8" xfId="0" applyNumberFormat="1" applyFont="1" applyFill="1" applyBorder="1" applyAlignment="1">
      <alignment horizontal="right" vertical="top"/>
    </xf>
    <xf numFmtId="0" fontId="2" fillId="0" borderId="0" xfId="0" applyFont="1" applyAlignment="1">
      <alignment vertical="top"/>
    </xf>
    <xf numFmtId="164" fontId="2" fillId="0" borderId="7" xfId="0" applyNumberFormat="1" applyFont="1" applyBorder="1" applyAlignment="1">
      <alignment horizontal="right" vertical="top"/>
    </xf>
    <xf numFmtId="2" fontId="2" fillId="0" borderId="8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2" fontId="2" fillId="0" borderId="6" xfId="0" applyNumberFormat="1" applyFont="1" applyBorder="1" applyAlignment="1">
      <alignment horizontal="right" vertical="top"/>
    </xf>
    <xf numFmtId="17" fontId="4" fillId="0" borderId="7" xfId="0" applyNumberFormat="1" applyFont="1" applyBorder="1" applyAlignment="1">
      <alignment vertical="top"/>
    </xf>
    <xf numFmtId="17" fontId="4" fillId="0" borderId="0" xfId="0" applyNumberFormat="1" applyFont="1" applyAlignment="1">
      <alignment vertical="top"/>
    </xf>
    <xf numFmtId="164" fontId="2" fillId="0" borderId="0" xfId="0" applyNumberFormat="1" applyFont="1" applyAlignment="1">
      <alignment horizontal="right" vertical="top"/>
    </xf>
    <xf numFmtId="2" fontId="2" fillId="0" borderId="4" xfId="0" applyNumberFormat="1" applyFont="1" applyBorder="1" applyAlignment="1">
      <alignment horizontal="right" vertical="top"/>
    </xf>
    <xf numFmtId="17" fontId="4" fillId="0" borderId="5" xfId="0" applyNumberFormat="1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7" xfId="0" applyFont="1" applyBorder="1" applyAlignment="1">
      <alignment horizontal="right" vertical="top"/>
    </xf>
    <xf numFmtId="0" fontId="2" fillId="0" borderId="5" xfId="0" applyFont="1" applyBorder="1" applyAlignment="1">
      <alignment vertical="top"/>
    </xf>
    <xf numFmtId="17" fontId="2" fillId="0" borderId="7" xfId="0" applyNumberFormat="1" applyFont="1" applyBorder="1" applyAlignment="1">
      <alignment vertical="top"/>
    </xf>
    <xf numFmtId="17" fontId="2" fillId="0" borderId="0" xfId="0" applyNumberFormat="1" applyFont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7" borderId="9" xfId="0" applyFont="1" applyFill="1" applyBorder="1" applyAlignment="1">
      <alignment vertical="center"/>
    </xf>
    <xf numFmtId="0" fontId="3" fillId="7" borderId="10" xfId="0" applyFont="1" applyFill="1" applyBorder="1" applyAlignment="1">
      <alignment vertical="center"/>
    </xf>
    <xf numFmtId="17" fontId="8" fillId="7" borderId="1" xfId="0" applyNumberFormat="1" applyFont="1" applyFill="1" applyBorder="1" applyAlignment="1">
      <alignment vertical="center"/>
    </xf>
    <xf numFmtId="17" fontId="8" fillId="7" borderId="2" xfId="0" applyNumberFormat="1" applyFont="1" applyFill="1" applyBorder="1" applyAlignment="1">
      <alignment vertical="center"/>
    </xf>
    <xf numFmtId="17" fontId="8" fillId="7" borderId="3" xfId="0" applyNumberFormat="1" applyFont="1" applyFill="1" applyBorder="1" applyAlignment="1">
      <alignment vertical="center"/>
    </xf>
    <xf numFmtId="17" fontId="8" fillId="7" borderId="1" xfId="0" applyNumberFormat="1" applyFont="1" applyFill="1" applyBorder="1" applyAlignment="1">
      <alignment vertical="center" wrapText="1"/>
    </xf>
    <xf numFmtId="17" fontId="8" fillId="7" borderId="2" xfId="0" applyNumberFormat="1" applyFont="1" applyFill="1" applyBorder="1" applyAlignment="1">
      <alignment vertical="center" wrapText="1"/>
    </xf>
    <xf numFmtId="165" fontId="3" fillId="6" borderId="1" xfId="0" quotePrefix="1" applyNumberFormat="1" applyFont="1" applyFill="1" applyBorder="1" applyAlignment="1"/>
    <xf numFmtId="165" fontId="3" fillId="6" borderId="2" xfId="0" applyNumberFormat="1" applyFont="1" applyFill="1" applyBorder="1" applyAlignment="1"/>
    <xf numFmtId="165" fontId="3" fillId="6" borderId="3" xfId="0" applyNumberFormat="1" applyFont="1" applyFill="1" applyBorder="1" applyAlignment="1"/>
    <xf numFmtId="165" fontId="3" fillId="4" borderId="1" xfId="0" applyNumberFormat="1" applyFont="1" applyFill="1" applyBorder="1" applyAlignment="1"/>
    <xf numFmtId="165" fontId="3" fillId="4" borderId="2" xfId="0" applyNumberFormat="1" applyFont="1" applyFill="1" applyBorder="1" applyAlignment="1"/>
    <xf numFmtId="165" fontId="3" fillId="5" borderId="1" xfId="0" applyNumberFormat="1" applyFont="1" applyFill="1" applyBorder="1" applyAlignment="1"/>
    <xf numFmtId="165" fontId="3" fillId="5" borderId="2" xfId="0" applyNumberFormat="1" applyFont="1" applyFill="1" applyBorder="1" applyAlignment="1"/>
    <xf numFmtId="165" fontId="3" fillId="3" borderId="1" xfId="0" applyNumberFormat="1" applyFont="1" applyFill="1" applyBorder="1" applyAlignment="1"/>
    <xf numFmtId="165" fontId="3" fillId="3" borderId="2" xfId="0" applyNumberFormat="1" applyFont="1" applyFill="1" applyBorder="1" applyAlignment="1"/>
    <xf numFmtId="0" fontId="0" fillId="0" borderId="0" xfId="0" applyAlignment="1">
      <alignment horizontal="left"/>
    </xf>
    <xf numFmtId="0" fontId="0" fillId="0" borderId="0" xfId="0" applyBorder="1"/>
    <xf numFmtId="0" fontId="2" fillId="0" borderId="0" xfId="0" applyFont="1" applyAlignment="1">
      <alignment horizontal="left" vertical="top"/>
    </xf>
    <xf numFmtId="0" fontId="5" fillId="10" borderId="12" xfId="0" applyFont="1" applyFill="1" applyBorder="1" applyAlignment="1">
      <alignment vertical="center"/>
    </xf>
    <xf numFmtId="0" fontId="5" fillId="10" borderId="0" xfId="0" applyFont="1" applyFill="1" applyAlignment="1">
      <alignment vertical="center" wrapText="1"/>
    </xf>
    <xf numFmtId="0" fontId="6" fillId="10" borderId="19" xfId="0" applyFont="1" applyFill="1" applyBorder="1" applyAlignment="1">
      <alignment horizontal="center" vertical="center" wrapText="1"/>
    </xf>
    <xf numFmtId="0" fontId="6" fillId="10" borderId="20" xfId="0" applyFont="1" applyFill="1" applyBorder="1" applyAlignment="1">
      <alignment horizontal="center" vertical="center" wrapText="1"/>
    </xf>
    <xf numFmtId="0" fontId="6" fillId="10" borderId="21" xfId="0" applyFont="1" applyFill="1" applyBorder="1" applyAlignment="1">
      <alignment horizontal="center" vertical="center" wrapText="1"/>
    </xf>
    <xf numFmtId="0" fontId="6" fillId="10" borderId="22" xfId="0" applyFont="1" applyFill="1" applyBorder="1" applyAlignment="1">
      <alignment horizontal="center" vertical="center" wrapText="1"/>
    </xf>
    <xf numFmtId="17" fontId="2" fillId="0" borderId="26" xfId="0" applyNumberFormat="1" applyFont="1" applyBorder="1" applyAlignment="1">
      <alignment horizontal="center" vertical="center" wrapText="1"/>
    </xf>
    <xf numFmtId="164" fontId="2" fillId="0" borderId="27" xfId="0" applyNumberFormat="1" applyFont="1" applyBorder="1" applyAlignment="1">
      <alignment horizontal="center" vertical="center" wrapText="1"/>
    </xf>
    <xf numFmtId="164" fontId="2" fillId="0" borderId="28" xfId="0" applyNumberFormat="1" applyFont="1" applyBorder="1" applyAlignment="1">
      <alignment horizontal="center" vertical="center" wrapText="1"/>
    </xf>
    <xf numFmtId="164" fontId="3" fillId="0" borderId="29" xfId="0" applyNumberFormat="1" applyFont="1" applyBorder="1" applyAlignment="1">
      <alignment horizontal="center" vertical="center" wrapText="1"/>
    </xf>
    <xf numFmtId="164" fontId="2" fillId="0" borderId="30" xfId="0" applyNumberFormat="1" applyFont="1" applyBorder="1" applyAlignment="1">
      <alignment horizontal="center" vertical="center" wrapText="1"/>
    </xf>
    <xf numFmtId="164" fontId="2" fillId="0" borderId="18" xfId="0" applyNumberFormat="1" applyFont="1" applyBorder="1" applyAlignment="1">
      <alignment horizontal="center" vertical="center" wrapText="1"/>
    </xf>
    <xf numFmtId="164" fontId="2" fillId="0" borderId="19" xfId="0" applyNumberFormat="1" applyFont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 wrapText="1"/>
    </xf>
    <xf numFmtId="164" fontId="3" fillId="0" borderId="21" xfId="0" applyNumberFormat="1" applyFont="1" applyBorder="1" applyAlignment="1">
      <alignment horizontal="center" vertical="center" wrapText="1"/>
    </xf>
    <xf numFmtId="164" fontId="2" fillId="0" borderId="22" xfId="0" applyNumberFormat="1" applyFont="1" applyBorder="1" applyAlignment="1">
      <alignment horizontal="center" vertical="center" wrapText="1"/>
    </xf>
    <xf numFmtId="164" fontId="2" fillId="0" borderId="0" xfId="0" applyNumberFormat="1" applyFont="1"/>
    <xf numFmtId="0" fontId="6" fillId="10" borderId="35" xfId="0" applyFont="1" applyFill="1" applyBorder="1" applyAlignment="1">
      <alignment horizontal="left" vertical="center" wrapText="1" indent="2"/>
    </xf>
    <xf numFmtId="0" fontId="6" fillId="10" borderId="36" xfId="0" applyFont="1" applyFill="1" applyBorder="1" applyAlignment="1">
      <alignment horizontal="center" vertical="center" wrapText="1"/>
    </xf>
    <xf numFmtId="0" fontId="6" fillId="10" borderId="37" xfId="0" applyFont="1" applyFill="1" applyBorder="1" applyAlignment="1">
      <alignment horizontal="center" vertical="center" wrapText="1"/>
    </xf>
    <xf numFmtId="17" fontId="2" fillId="0" borderId="26" xfId="0" applyNumberFormat="1" applyFont="1" applyBorder="1" applyAlignment="1">
      <alignment horizontal="left" vertical="center" wrapText="1" indent="4"/>
    </xf>
    <xf numFmtId="164" fontId="4" fillId="0" borderId="27" xfId="2" applyNumberFormat="1" applyFont="1" applyFill="1" applyBorder="1" applyAlignment="1">
      <alignment horizontal="center" vertical="center" wrapText="1"/>
    </xf>
    <xf numFmtId="164" fontId="4" fillId="0" borderId="29" xfId="2" applyNumberFormat="1" applyFont="1" applyFill="1" applyBorder="1" applyAlignment="1">
      <alignment horizontal="center" vertical="center" wrapText="1"/>
    </xf>
    <xf numFmtId="166" fontId="2" fillId="0" borderId="0" xfId="0" applyNumberFormat="1" applyFont="1"/>
    <xf numFmtId="17" fontId="2" fillId="0" borderId="18" xfId="0" applyNumberFormat="1" applyFont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right" vertical="center"/>
    </xf>
    <xf numFmtId="0" fontId="6" fillId="10" borderId="30" xfId="0" applyFont="1" applyFill="1" applyBorder="1" applyAlignment="1">
      <alignment horizontal="center" vertical="center" wrapText="1"/>
    </xf>
    <xf numFmtId="0" fontId="6" fillId="10" borderId="28" xfId="0" applyFont="1" applyFill="1" applyBorder="1" applyAlignment="1">
      <alignment horizontal="center" vertical="center" wrapText="1"/>
    </xf>
    <xf numFmtId="0" fontId="6" fillId="10" borderId="29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right" vertical="center" indent="1"/>
    </xf>
    <xf numFmtId="0" fontId="10" fillId="0" borderId="11" xfId="0" applyFont="1" applyBorder="1" applyAlignment="1"/>
    <xf numFmtId="0" fontId="6" fillId="0" borderId="1" xfId="0" applyFont="1" applyBorder="1" applyAlignment="1">
      <alignment horizontal="left" vertical="center"/>
    </xf>
    <xf numFmtId="2" fontId="5" fillId="2" borderId="43" xfId="0" applyNumberFormat="1" applyFont="1" applyFill="1" applyBorder="1" applyAlignment="1">
      <alignment horizontal="right" vertical="center" wrapText="1"/>
    </xf>
    <xf numFmtId="2" fontId="5" fillId="2" borderId="45" xfId="0" applyNumberFormat="1" applyFont="1" applyFill="1" applyBorder="1" applyAlignment="1">
      <alignment horizontal="right" vertical="center" wrapText="1"/>
    </xf>
    <xf numFmtId="164" fontId="5" fillId="2" borderId="42" xfId="0" applyNumberFormat="1" applyFont="1" applyFill="1" applyBorder="1" applyAlignment="1">
      <alignment horizontal="right" vertical="center" wrapText="1"/>
    </xf>
    <xf numFmtId="164" fontId="5" fillId="2" borderId="44" xfId="0" applyNumberFormat="1" applyFont="1" applyFill="1" applyBorder="1" applyAlignment="1">
      <alignment horizontal="right" vertical="center" wrapText="1"/>
    </xf>
    <xf numFmtId="17" fontId="5" fillId="2" borderId="54" xfId="0" applyNumberFormat="1" applyFont="1" applyFill="1" applyBorder="1" applyAlignment="1">
      <alignment horizontal="left" vertical="center" wrapText="1"/>
    </xf>
    <xf numFmtId="164" fontId="5" fillId="2" borderId="42" xfId="0" applyNumberFormat="1" applyFont="1" applyFill="1" applyBorder="1" applyAlignment="1">
      <alignment horizontal="center" vertical="center" wrapText="1"/>
    </xf>
    <xf numFmtId="2" fontId="5" fillId="2" borderId="43" xfId="0" applyNumberFormat="1" applyFont="1" applyFill="1" applyBorder="1" applyAlignment="1">
      <alignment horizontal="center" vertical="center" wrapText="1"/>
    </xf>
    <xf numFmtId="0" fontId="6" fillId="11" borderId="44" xfId="0" applyFont="1" applyFill="1" applyBorder="1" applyAlignment="1">
      <alignment horizontal="center" vertical="center" wrapText="1"/>
    </xf>
    <xf numFmtId="0" fontId="6" fillId="11" borderId="4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12" xfId="0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6" fillId="2" borderId="48" xfId="0" applyFont="1" applyFill="1" applyBorder="1" applyAlignment="1">
      <alignment horizontal="center" vertical="center" wrapText="1"/>
    </xf>
    <xf numFmtId="2" fontId="5" fillId="2" borderId="41" xfId="0" applyNumberFormat="1" applyFont="1" applyFill="1" applyBorder="1" applyAlignment="1">
      <alignment horizontal="right" vertical="center" wrapText="1"/>
    </xf>
    <xf numFmtId="0" fontId="0" fillId="0" borderId="0" xfId="0" applyAlignment="1"/>
    <xf numFmtId="0" fontId="2" fillId="0" borderId="11" xfId="0" applyFont="1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0" xfId="0" applyAlignment="1">
      <alignment vertical="center"/>
    </xf>
    <xf numFmtId="0" fontId="2" fillId="0" borderId="31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2" borderId="56" xfId="0" applyFont="1" applyFill="1" applyBorder="1" applyAlignment="1">
      <alignment vertical="center"/>
    </xf>
    <xf numFmtId="0" fontId="6" fillId="2" borderId="49" xfId="0" applyFont="1" applyFill="1" applyBorder="1" applyAlignment="1">
      <alignment vertical="center"/>
    </xf>
    <xf numFmtId="0" fontId="5" fillId="2" borderId="49" xfId="0" applyFont="1" applyFill="1" applyBorder="1" applyAlignment="1">
      <alignment vertical="center"/>
    </xf>
    <xf numFmtId="0" fontId="5" fillId="2" borderId="57" xfId="0" applyFont="1" applyFill="1" applyBorder="1" applyAlignment="1">
      <alignment vertical="center"/>
    </xf>
    <xf numFmtId="0" fontId="6" fillId="2" borderId="46" xfId="0" applyFont="1" applyFill="1" applyBorder="1" applyAlignment="1">
      <alignment horizontal="center" vertical="center" wrapText="1"/>
    </xf>
    <xf numFmtId="164" fontId="5" fillId="2" borderId="40" xfId="0" applyNumberFormat="1" applyFont="1" applyFill="1" applyBorder="1" applyAlignment="1">
      <alignment horizontal="right" vertical="center" wrapText="1"/>
    </xf>
    <xf numFmtId="17" fontId="5" fillId="2" borderId="58" xfId="0" applyNumberFormat="1" applyFont="1" applyFill="1" applyBorder="1" applyAlignment="1">
      <alignment horizontal="left" vertical="center" wrapText="1"/>
    </xf>
    <xf numFmtId="164" fontId="5" fillId="2" borderId="59" xfId="0" applyNumberFormat="1" applyFont="1" applyFill="1" applyBorder="1" applyAlignment="1">
      <alignment horizontal="center" vertical="center" wrapText="1"/>
    </xf>
    <xf numFmtId="2" fontId="5" fillId="2" borderId="60" xfId="0" applyNumberFormat="1" applyFont="1" applyFill="1" applyBorder="1" applyAlignment="1">
      <alignment horizontal="center" vertical="center" wrapText="1"/>
    </xf>
    <xf numFmtId="2" fontId="5" fillId="2" borderId="62" xfId="0" applyNumberFormat="1" applyFont="1" applyFill="1" applyBorder="1" applyAlignment="1">
      <alignment horizontal="center" vertical="center" wrapText="1"/>
    </xf>
    <xf numFmtId="0" fontId="5" fillId="2" borderId="61" xfId="0" applyFont="1" applyFill="1" applyBorder="1" applyAlignment="1">
      <alignment horizontal="center" vertical="center" wrapText="1"/>
    </xf>
    <xf numFmtId="0" fontId="5" fillId="2" borderId="62" xfId="0" applyFont="1" applyFill="1" applyBorder="1" applyAlignment="1">
      <alignment horizontal="center" vertical="center" wrapText="1"/>
    </xf>
    <xf numFmtId="0" fontId="5" fillId="2" borderId="59" xfId="0" applyFont="1" applyFill="1" applyBorder="1" applyAlignment="1">
      <alignment horizontal="center" vertical="center" wrapText="1"/>
    </xf>
    <xf numFmtId="0" fontId="5" fillId="2" borderId="60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0" fillId="0" borderId="0" xfId="0"/>
    <xf numFmtId="164" fontId="5" fillId="2" borderId="49" xfId="0" applyNumberFormat="1" applyFont="1" applyFill="1" applyBorder="1" applyAlignment="1">
      <alignment horizontal="right" vertical="center" wrapText="1"/>
    </xf>
    <xf numFmtId="2" fontId="5" fillId="2" borderId="65" xfId="0" applyNumberFormat="1" applyFont="1" applyFill="1" applyBorder="1" applyAlignment="1">
      <alignment horizontal="right" vertical="center" wrapText="1"/>
    </xf>
    <xf numFmtId="17" fontId="2" fillId="0" borderId="26" xfId="0" applyNumberFormat="1" applyFont="1" applyBorder="1" applyAlignment="1">
      <alignment horizontal="left" vertical="center" wrapText="1"/>
    </xf>
    <xf numFmtId="164" fontId="0" fillId="0" borderId="0" xfId="0" applyNumberFormat="1"/>
    <xf numFmtId="2" fontId="0" fillId="0" borderId="0" xfId="0" applyNumberFormat="1"/>
    <xf numFmtId="0" fontId="6" fillId="2" borderId="52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center" vertical="center" wrapText="1"/>
    </xf>
    <xf numFmtId="164" fontId="5" fillId="2" borderId="17" xfId="0" applyNumberFormat="1" applyFont="1" applyFill="1" applyBorder="1" applyAlignment="1">
      <alignment horizontal="right" vertical="center" wrapText="1"/>
    </xf>
    <xf numFmtId="2" fontId="5" fillId="2" borderId="16" xfId="0" applyNumberFormat="1" applyFont="1" applyFill="1" applyBorder="1" applyAlignment="1">
      <alignment horizontal="right" vertical="center" wrapText="1"/>
    </xf>
    <xf numFmtId="164" fontId="5" fillId="2" borderId="25" xfId="0" applyNumberFormat="1" applyFont="1" applyFill="1" applyBorder="1" applyAlignment="1">
      <alignment horizontal="right" vertical="center" wrapText="1"/>
    </xf>
    <xf numFmtId="2" fontId="5" fillId="2" borderId="24" xfId="0" applyNumberFormat="1" applyFont="1" applyFill="1" applyBorder="1" applyAlignment="1">
      <alignment horizontal="right" vertical="center" wrapText="1"/>
    </xf>
    <xf numFmtId="164" fontId="2" fillId="0" borderId="25" xfId="0" applyNumberFormat="1" applyFont="1" applyBorder="1" applyAlignment="1">
      <alignment horizontal="right" vertical="top"/>
    </xf>
    <xf numFmtId="2" fontId="2" fillId="0" borderId="24" xfId="0" applyNumberFormat="1" applyFont="1" applyBorder="1" applyAlignment="1">
      <alignment horizontal="right" vertical="top"/>
    </xf>
    <xf numFmtId="164" fontId="5" fillId="2" borderId="22" xfId="0" applyNumberFormat="1" applyFont="1" applyFill="1" applyBorder="1" applyAlignment="1">
      <alignment horizontal="right" vertical="center" wrapText="1"/>
    </xf>
    <xf numFmtId="2" fontId="5" fillId="2" borderId="21" xfId="0" applyNumberFormat="1" applyFont="1" applyFill="1" applyBorder="1" applyAlignment="1">
      <alignment horizontal="right" vertical="center" wrapText="1"/>
    </xf>
    <xf numFmtId="2" fontId="5" fillId="2" borderId="66" xfId="0" applyNumberFormat="1" applyFont="1" applyFill="1" applyBorder="1" applyAlignment="1">
      <alignment horizontal="right" vertical="center" wrapText="1"/>
    </xf>
    <xf numFmtId="2" fontId="5" fillId="2" borderId="67" xfId="0" applyNumberFormat="1" applyFont="1" applyFill="1" applyBorder="1" applyAlignment="1">
      <alignment horizontal="right" vertical="center" wrapText="1"/>
    </xf>
    <xf numFmtId="2" fontId="5" fillId="2" borderId="68" xfId="0" applyNumberFormat="1" applyFont="1" applyFill="1" applyBorder="1" applyAlignment="1">
      <alignment horizontal="right" vertical="center" wrapText="1"/>
    </xf>
    <xf numFmtId="2" fontId="5" fillId="2" borderId="69" xfId="0" applyNumberFormat="1" applyFont="1" applyFill="1" applyBorder="1" applyAlignment="1">
      <alignment horizontal="right" vertical="center" wrapText="1"/>
    </xf>
    <xf numFmtId="0" fontId="0" fillId="0" borderId="0" xfId="0" applyBorder="1" applyAlignment="1"/>
    <xf numFmtId="0" fontId="0" fillId="0" borderId="4" xfId="0" applyBorder="1" applyAlignment="1"/>
    <xf numFmtId="0" fontId="6" fillId="2" borderId="52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left" vertical="top" wrapText="1"/>
    </xf>
    <xf numFmtId="0" fontId="3" fillId="10" borderId="3" xfId="0" applyFont="1" applyFill="1" applyBorder="1" applyAlignment="1">
      <alignment horizontal="left" vertical="top" wrapText="1"/>
    </xf>
    <xf numFmtId="0" fontId="8" fillId="10" borderId="11" xfId="0" applyFont="1" applyFill="1" applyBorder="1" applyAlignment="1">
      <alignment horizontal="center"/>
    </xf>
    <xf numFmtId="0" fontId="8" fillId="10" borderId="7" xfId="0" applyFont="1" applyFill="1" applyBorder="1" applyAlignment="1">
      <alignment horizontal="center"/>
    </xf>
    <xf numFmtId="0" fontId="8" fillId="10" borderId="8" xfId="0" applyFont="1" applyFill="1" applyBorder="1" applyAlignment="1">
      <alignment horizontal="center"/>
    </xf>
    <xf numFmtId="0" fontId="6" fillId="10" borderId="13" xfId="0" applyFont="1" applyFill="1" applyBorder="1" applyAlignment="1">
      <alignment horizontal="center" vertical="center" wrapText="1"/>
    </xf>
    <xf numFmtId="0" fontId="6" fillId="10" borderId="18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 wrapText="1"/>
    </xf>
    <xf numFmtId="0" fontId="6" fillId="10" borderId="16" xfId="0" applyFont="1" applyFill="1" applyBorder="1" applyAlignment="1">
      <alignment horizontal="center" vertical="center" wrapText="1"/>
    </xf>
    <xf numFmtId="0" fontId="6" fillId="10" borderId="17" xfId="0" applyFont="1" applyFill="1" applyBorder="1" applyAlignment="1">
      <alignment horizontal="center" vertical="center" wrapText="1"/>
    </xf>
    <xf numFmtId="0" fontId="6" fillId="10" borderId="17" xfId="0" applyFont="1" applyFill="1" applyBorder="1" applyAlignment="1">
      <alignment horizontal="left" vertical="center" wrapText="1" indent="1"/>
    </xf>
    <xf numFmtId="0" fontId="6" fillId="10" borderId="22" xfId="0" applyFont="1" applyFill="1" applyBorder="1" applyAlignment="1">
      <alignment horizontal="left" vertical="center" wrapText="1" indent="1"/>
    </xf>
    <xf numFmtId="0" fontId="6" fillId="10" borderId="39" xfId="0" applyFont="1" applyFill="1" applyBorder="1" applyAlignment="1">
      <alignment horizontal="left" vertical="center" wrapText="1" indent="1"/>
    </xf>
    <xf numFmtId="0" fontId="6" fillId="10" borderId="38" xfId="0" applyFont="1" applyFill="1" applyBorder="1" applyAlignment="1">
      <alignment horizontal="left" vertical="center" wrapText="1" indent="1"/>
    </xf>
    <xf numFmtId="0" fontId="3" fillId="10" borderId="32" xfId="0" applyFont="1" applyFill="1" applyBorder="1" applyAlignment="1">
      <alignment horizontal="center" wrapText="1"/>
    </xf>
    <xf numFmtId="0" fontId="3" fillId="10" borderId="33" xfId="0" applyFont="1" applyFill="1" applyBorder="1" applyAlignment="1">
      <alignment horizontal="center" wrapText="1"/>
    </xf>
    <xf numFmtId="0" fontId="3" fillId="10" borderId="34" xfId="0" applyFont="1" applyFill="1" applyBorder="1" applyAlignment="1">
      <alignment horizontal="center" wrapText="1"/>
    </xf>
    <xf numFmtId="17" fontId="2" fillId="0" borderId="17" xfId="0" applyNumberFormat="1" applyFont="1" applyBorder="1" applyAlignment="1">
      <alignment horizontal="left" vertical="center" wrapText="1"/>
    </xf>
    <xf numFmtId="17" fontId="2" fillId="0" borderId="15" xfId="0" applyNumberFormat="1" applyFont="1" applyBorder="1" applyAlignment="1">
      <alignment horizontal="left" vertical="center" wrapText="1"/>
    </xf>
    <xf numFmtId="17" fontId="2" fillId="0" borderId="16" xfId="0" applyNumberFormat="1" applyFont="1" applyBorder="1" applyAlignment="1">
      <alignment horizontal="left" vertical="center" wrapText="1"/>
    </xf>
    <xf numFmtId="0" fontId="2" fillId="0" borderId="25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6" fillId="11" borderId="42" xfId="0" applyFont="1" applyFill="1" applyBorder="1" applyAlignment="1">
      <alignment horizontal="center" vertical="center" wrapText="1"/>
    </xf>
    <xf numFmtId="0" fontId="6" fillId="11" borderId="43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vertical="center" wrapText="1"/>
    </xf>
    <xf numFmtId="0" fontId="5" fillId="2" borderId="47" xfId="0" applyFont="1" applyFill="1" applyBorder="1" applyAlignment="1">
      <alignment vertical="center" wrapText="1"/>
    </xf>
    <xf numFmtId="0" fontId="5" fillId="2" borderId="48" xfId="0" applyFont="1" applyFill="1" applyBorder="1" applyAlignment="1">
      <alignment vertical="center" wrapText="1"/>
    </xf>
    <xf numFmtId="0" fontId="6" fillId="11" borderId="40" xfId="0" applyFont="1" applyFill="1" applyBorder="1" applyAlignment="1">
      <alignment horizontal="center" vertical="center" wrapText="1"/>
    </xf>
    <xf numFmtId="0" fontId="6" fillId="11" borderId="41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6" fillId="11" borderId="53" xfId="0" applyFont="1" applyFill="1" applyBorder="1" applyAlignment="1">
      <alignment horizontal="left" vertical="center" wrapText="1"/>
    </xf>
    <xf numFmtId="0" fontId="6" fillId="11" borderId="54" xfId="0" applyFont="1" applyFill="1" applyBorder="1" applyAlignment="1">
      <alignment horizontal="left" vertical="center" wrapText="1"/>
    </xf>
    <xf numFmtId="0" fontId="6" fillId="11" borderId="55" xfId="0" applyFont="1" applyFill="1" applyBorder="1" applyAlignment="1">
      <alignment horizontal="left" vertical="center" wrapText="1"/>
    </xf>
    <xf numFmtId="17" fontId="6" fillId="2" borderId="64" xfId="0" applyNumberFormat="1" applyFont="1" applyFill="1" applyBorder="1" applyAlignment="1">
      <alignment horizontal="center" vertical="center" wrapText="1"/>
    </xf>
    <xf numFmtId="17" fontId="6" fillId="2" borderId="63" xfId="0" applyNumberFormat="1" applyFont="1" applyFill="1" applyBorder="1" applyAlignment="1">
      <alignment horizontal="center" vertical="center" wrapText="1"/>
    </xf>
    <xf numFmtId="17" fontId="6" fillId="2" borderId="46" xfId="0" applyNumberFormat="1" applyFont="1" applyFill="1" applyBorder="1" applyAlignment="1">
      <alignment horizontal="center" vertical="center" wrapText="1"/>
    </xf>
    <xf numFmtId="17" fontId="6" fillId="2" borderId="48" xfId="0" applyNumberFormat="1" applyFont="1" applyFill="1" applyBorder="1" applyAlignment="1">
      <alignment horizontal="center" vertical="center" wrapText="1"/>
    </xf>
  </cellXfs>
  <cellStyles count="6">
    <cellStyle name="Good" xfId="2" builtinId="26"/>
    <cellStyle name="Normal" xfId="0" builtinId="0"/>
    <cellStyle name="Normal 2" xfId="3" xr:uid="{7DCC32E9-459A-43C8-BB8A-01549C460ADA}"/>
    <cellStyle name="Normal 2 2" xfId="4" xr:uid="{1F92CC91-5355-45F2-A30B-343B03DA99AF}"/>
    <cellStyle name="Normal 3" xfId="1" xr:uid="{679C3A54-2F00-4EFB-B2DE-9519AB680187}"/>
    <cellStyle name="Normal 4" xfId="5" xr:uid="{B5793BC5-FEE4-4EE2-AE57-B23F02BB00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E0EB-FD24-41E4-B98A-78484E326D94}">
  <dimension ref="A1:R157"/>
  <sheetViews>
    <sheetView tabSelected="1" workbookViewId="0">
      <selection activeCell="B2" sqref="B2:J2"/>
    </sheetView>
  </sheetViews>
  <sheetFormatPr defaultRowHeight="15" x14ac:dyDescent="0.25"/>
  <cols>
    <col min="1" max="1" width="0.7109375" style="1" customWidth="1"/>
    <col min="2" max="2" width="9.140625" style="1"/>
    <col min="3" max="10" width="10.7109375" style="1" customWidth="1"/>
    <col min="11" max="11" width="10.5703125" style="1" customWidth="1"/>
  </cols>
  <sheetData>
    <row r="1" spans="2:11" ht="4.5" customHeight="1" thickBot="1" x14ac:dyDescent="0.3"/>
    <row r="2" spans="2:11" x14ac:dyDescent="0.25">
      <c r="B2" s="152" t="s">
        <v>77</v>
      </c>
      <c r="C2" s="153"/>
      <c r="D2" s="153"/>
      <c r="E2" s="153"/>
      <c r="F2" s="153"/>
      <c r="G2" s="153"/>
      <c r="H2" s="153"/>
      <c r="I2" s="153"/>
      <c r="J2" s="154"/>
    </row>
    <row r="3" spans="2:11" ht="15.75" thickBot="1" x14ac:dyDescent="0.3">
      <c r="B3" s="51"/>
      <c r="C3" s="52"/>
      <c r="D3" s="52"/>
      <c r="E3" s="52"/>
      <c r="F3" s="52"/>
      <c r="G3" s="52"/>
      <c r="H3" s="52"/>
      <c r="I3" s="52"/>
      <c r="J3" s="76" t="s">
        <v>1</v>
      </c>
    </row>
    <row r="4" spans="2:11" x14ac:dyDescent="0.25">
      <c r="B4" s="155" t="s">
        <v>2</v>
      </c>
      <c r="C4" s="157" t="s">
        <v>3</v>
      </c>
      <c r="D4" s="158"/>
      <c r="E4" s="158"/>
      <c r="F4" s="159"/>
      <c r="G4" s="160" t="s">
        <v>4</v>
      </c>
      <c r="H4" s="158"/>
      <c r="I4" s="158"/>
      <c r="J4" s="159"/>
    </row>
    <row r="5" spans="2:11" ht="39" thickBot="1" x14ac:dyDescent="0.3">
      <c r="B5" s="156"/>
      <c r="C5" s="53" t="s">
        <v>78</v>
      </c>
      <c r="D5" s="54" t="s">
        <v>79</v>
      </c>
      <c r="E5" s="54" t="s">
        <v>69</v>
      </c>
      <c r="F5" s="55" t="s">
        <v>5</v>
      </c>
      <c r="G5" s="56" t="s">
        <v>80</v>
      </c>
      <c r="H5" s="54" t="s">
        <v>81</v>
      </c>
      <c r="I5" s="54" t="s">
        <v>70</v>
      </c>
      <c r="J5" s="55" t="s">
        <v>5</v>
      </c>
    </row>
    <row r="6" spans="2:11" x14ac:dyDescent="0.25">
      <c r="B6" s="57">
        <v>45170</v>
      </c>
      <c r="C6" s="58">
        <v>40.799999999999997</v>
      </c>
      <c r="D6" s="59">
        <v>20.399999999999999</v>
      </c>
      <c r="E6" s="59">
        <v>38.799999999999997</v>
      </c>
      <c r="F6" s="60">
        <v>2</v>
      </c>
      <c r="G6" s="61">
        <v>58</v>
      </c>
      <c r="H6" s="59">
        <v>16.5</v>
      </c>
      <c r="I6" s="59">
        <v>25.6</v>
      </c>
      <c r="J6" s="60">
        <v>32.4</v>
      </c>
      <c r="K6" s="67"/>
    </row>
    <row r="7" spans="2:11" x14ac:dyDescent="0.25">
      <c r="B7" s="57">
        <v>45231</v>
      </c>
      <c r="C7" s="58">
        <v>39</v>
      </c>
      <c r="D7" s="59">
        <v>21.7</v>
      </c>
      <c r="E7" s="59">
        <v>39.299999999999997</v>
      </c>
      <c r="F7" s="60">
        <v>-0.3</v>
      </c>
      <c r="G7" s="61">
        <v>58.5</v>
      </c>
      <c r="H7" s="59">
        <v>16.399999999999999</v>
      </c>
      <c r="I7" s="59">
        <v>25.2</v>
      </c>
      <c r="J7" s="60">
        <v>33.299999999999997</v>
      </c>
      <c r="K7" s="67"/>
    </row>
    <row r="8" spans="2:11" x14ac:dyDescent="0.25">
      <c r="B8" s="57">
        <v>45292</v>
      </c>
      <c r="C8" s="58">
        <v>41.7</v>
      </c>
      <c r="D8" s="59">
        <v>23.3</v>
      </c>
      <c r="E8" s="59">
        <v>35.1</v>
      </c>
      <c r="F8" s="60">
        <v>6.6</v>
      </c>
      <c r="G8" s="61">
        <v>61.8</v>
      </c>
      <c r="H8" s="59">
        <v>16.399999999999999</v>
      </c>
      <c r="I8" s="59">
        <v>21.8</v>
      </c>
      <c r="J8" s="60">
        <v>40</v>
      </c>
      <c r="K8" s="67"/>
    </row>
    <row r="9" spans="2:11" x14ac:dyDescent="0.25">
      <c r="B9" s="57">
        <v>45352</v>
      </c>
      <c r="C9" s="58">
        <v>45.9</v>
      </c>
      <c r="D9" s="59">
        <v>23.1</v>
      </c>
      <c r="E9" s="59">
        <v>31</v>
      </c>
      <c r="F9" s="60">
        <v>14.9</v>
      </c>
      <c r="G9" s="61">
        <v>63.3</v>
      </c>
      <c r="H9" s="59">
        <v>15.8</v>
      </c>
      <c r="I9" s="59">
        <v>20.9</v>
      </c>
      <c r="J9" s="60">
        <v>42.4</v>
      </c>
      <c r="K9" s="67"/>
    </row>
    <row r="10" spans="2:11" x14ac:dyDescent="0.25">
      <c r="B10" s="57">
        <v>45413</v>
      </c>
      <c r="C10" s="58">
        <v>44.6</v>
      </c>
      <c r="D10" s="59">
        <v>22.4</v>
      </c>
      <c r="E10" s="59">
        <v>33</v>
      </c>
      <c r="F10" s="60">
        <v>11.6</v>
      </c>
      <c r="G10" s="61">
        <v>61.2</v>
      </c>
      <c r="H10" s="59">
        <v>17.2</v>
      </c>
      <c r="I10" s="59">
        <v>21.7</v>
      </c>
      <c r="J10" s="60">
        <v>39.5</v>
      </c>
      <c r="K10" s="67"/>
    </row>
    <row r="11" spans="2:11" x14ac:dyDescent="0.25">
      <c r="B11" s="57">
        <v>45474</v>
      </c>
      <c r="C11" s="58">
        <v>39.6</v>
      </c>
      <c r="D11" s="59">
        <v>25.6</v>
      </c>
      <c r="E11" s="59">
        <v>34.799999999999997</v>
      </c>
      <c r="F11" s="60">
        <v>4.8</v>
      </c>
      <c r="G11" s="61">
        <v>58.1</v>
      </c>
      <c r="H11" s="59">
        <v>16.899999999999999</v>
      </c>
      <c r="I11" s="59">
        <v>25</v>
      </c>
      <c r="J11" s="60">
        <v>33.1</v>
      </c>
      <c r="K11" s="67"/>
    </row>
    <row r="12" spans="2:11" x14ac:dyDescent="0.25">
      <c r="B12" s="57">
        <v>45536</v>
      </c>
      <c r="C12" s="58">
        <v>39.9</v>
      </c>
      <c r="D12" s="59">
        <v>25.4</v>
      </c>
      <c r="E12" s="59">
        <v>34.799999999999997</v>
      </c>
      <c r="F12" s="60">
        <v>5.0999999999999996</v>
      </c>
      <c r="G12" s="61">
        <v>57.2</v>
      </c>
      <c r="H12" s="59">
        <v>19.2</v>
      </c>
      <c r="I12" s="59">
        <v>23.6</v>
      </c>
      <c r="J12" s="60">
        <v>33.6</v>
      </c>
      <c r="K12" s="67"/>
    </row>
    <row r="13" spans="2:11" x14ac:dyDescent="0.25">
      <c r="B13" s="57">
        <v>45597</v>
      </c>
      <c r="C13" s="58">
        <v>38.200000000000003</v>
      </c>
      <c r="D13" s="59">
        <v>24.7</v>
      </c>
      <c r="E13" s="59">
        <v>37.1</v>
      </c>
      <c r="F13" s="60">
        <v>1.1000000000000001</v>
      </c>
      <c r="G13" s="61">
        <v>57.9</v>
      </c>
      <c r="H13" s="59">
        <v>18.100000000000001</v>
      </c>
      <c r="I13" s="59">
        <v>24</v>
      </c>
      <c r="J13" s="60">
        <v>34</v>
      </c>
      <c r="K13" s="67"/>
    </row>
    <row r="14" spans="2:11" x14ac:dyDescent="0.25">
      <c r="B14" s="57">
        <v>45658</v>
      </c>
      <c r="C14" s="58">
        <v>39.4</v>
      </c>
      <c r="D14" s="59">
        <v>25.2</v>
      </c>
      <c r="E14" s="59">
        <v>35.4</v>
      </c>
      <c r="F14" s="60">
        <v>4</v>
      </c>
      <c r="G14" s="61">
        <v>58.8</v>
      </c>
      <c r="H14" s="59">
        <v>17</v>
      </c>
      <c r="I14" s="59">
        <v>24.2</v>
      </c>
      <c r="J14" s="60">
        <v>34.6</v>
      </c>
      <c r="K14" s="67"/>
    </row>
    <row r="15" spans="2:11" x14ac:dyDescent="0.25">
      <c r="B15" s="57">
        <v>45717</v>
      </c>
      <c r="C15" s="58">
        <v>41.42</v>
      </c>
      <c r="D15" s="59">
        <v>23.84</v>
      </c>
      <c r="E15" s="59">
        <v>34.74</v>
      </c>
      <c r="F15" s="60">
        <v>6.68</v>
      </c>
      <c r="G15" s="61">
        <v>60</v>
      </c>
      <c r="H15" s="59">
        <v>16.579999999999998</v>
      </c>
      <c r="I15" s="59">
        <v>23.43</v>
      </c>
      <c r="J15" s="60">
        <v>36.57</v>
      </c>
      <c r="K15" s="67"/>
    </row>
    <row r="16" spans="2:11" x14ac:dyDescent="0.25">
      <c r="B16" s="57">
        <v>45778</v>
      </c>
      <c r="C16" s="58">
        <v>40.799999999999997</v>
      </c>
      <c r="D16" s="59">
        <v>25.3</v>
      </c>
      <c r="E16" s="59">
        <v>33.9</v>
      </c>
      <c r="F16" s="60">
        <v>6.9</v>
      </c>
      <c r="G16" s="61">
        <v>60.27</v>
      </c>
      <c r="H16" s="59">
        <v>16.68</v>
      </c>
      <c r="I16" s="59">
        <v>23.05</v>
      </c>
      <c r="J16" s="60">
        <v>37.22</v>
      </c>
      <c r="K16" s="67"/>
    </row>
    <row r="17" spans="1:18" s="125" customFormat="1" x14ac:dyDescent="0.25">
      <c r="A17" s="123"/>
      <c r="B17" s="57">
        <v>45839</v>
      </c>
      <c r="C17" s="58">
        <v>41.56</v>
      </c>
      <c r="D17" s="59">
        <v>24.02</v>
      </c>
      <c r="E17" s="59">
        <v>34.43</v>
      </c>
      <c r="F17" s="60">
        <v>7.1300000000000026</v>
      </c>
      <c r="G17" s="61">
        <v>59.6</v>
      </c>
      <c r="H17" s="59">
        <v>21.23</v>
      </c>
      <c r="I17" s="59">
        <v>19.170000000000002</v>
      </c>
      <c r="J17" s="60">
        <v>40.43</v>
      </c>
      <c r="K17" s="124"/>
    </row>
    <row r="18" spans="1:18" s="125" customFormat="1" x14ac:dyDescent="0.25">
      <c r="A18" s="123"/>
      <c r="B18" s="57">
        <v>45901</v>
      </c>
      <c r="C18" s="58">
        <v>39.39</v>
      </c>
      <c r="D18" s="59">
        <v>28.41</v>
      </c>
      <c r="E18" s="59">
        <v>32.200000000000003</v>
      </c>
      <c r="F18" s="60">
        <v>7.1899999999999977</v>
      </c>
      <c r="G18" s="61">
        <v>58.39</v>
      </c>
      <c r="H18" s="59">
        <v>23.51</v>
      </c>
      <c r="I18" s="59">
        <v>18.11</v>
      </c>
      <c r="J18" s="60">
        <v>40.28</v>
      </c>
      <c r="K18" s="124"/>
    </row>
    <row r="19" spans="1:18" s="125" customFormat="1" x14ac:dyDescent="0.25">
      <c r="A19" s="123"/>
      <c r="B19" s="57">
        <v>45962</v>
      </c>
      <c r="C19" s="58">
        <v>39.950000000000003</v>
      </c>
      <c r="D19" s="59">
        <v>27.4</v>
      </c>
      <c r="E19" s="59">
        <v>32.65</v>
      </c>
      <c r="F19" s="60">
        <v>7.3000000000000043</v>
      </c>
      <c r="G19" s="61">
        <v>58.69</v>
      </c>
      <c r="H19" s="59">
        <v>22.98</v>
      </c>
      <c r="I19" s="59">
        <v>18.32</v>
      </c>
      <c r="J19" s="60">
        <v>40.369999999999997</v>
      </c>
      <c r="K19" s="124"/>
    </row>
    <row r="20" spans="1:18" s="125" customFormat="1" x14ac:dyDescent="0.25">
      <c r="A20" s="123"/>
      <c r="B20" s="57">
        <v>46023</v>
      </c>
      <c r="C20" s="58">
        <v>40.31</v>
      </c>
      <c r="D20" s="59">
        <v>26.89</v>
      </c>
      <c r="E20" s="59">
        <v>32.799999999999997</v>
      </c>
      <c r="F20" s="60">
        <v>7.5100000000000051</v>
      </c>
      <c r="G20" s="61">
        <v>59.47</v>
      </c>
      <c r="H20" s="59">
        <v>23.04</v>
      </c>
      <c r="I20" s="59">
        <v>17.489999999999998</v>
      </c>
      <c r="J20" s="60">
        <v>41.980000000000004</v>
      </c>
      <c r="K20" s="124"/>
    </row>
    <row r="21" spans="1:18" s="125" customFormat="1" x14ac:dyDescent="0.25">
      <c r="A21" s="123"/>
      <c r="B21" s="57">
        <v>46082</v>
      </c>
      <c r="C21" s="58">
        <v>36.28</v>
      </c>
      <c r="D21" s="59">
        <v>29.07</v>
      </c>
      <c r="E21" s="59">
        <v>34.659999999999997</v>
      </c>
      <c r="F21" s="60">
        <v>1.6200000000000045</v>
      </c>
      <c r="G21" s="61">
        <v>56.22</v>
      </c>
      <c r="H21" s="59">
        <v>23.36</v>
      </c>
      <c r="I21" s="59">
        <v>20.420000000000002</v>
      </c>
      <c r="J21" s="60">
        <v>35.799999999999997</v>
      </c>
      <c r="K21" s="124"/>
      <c r="L21" s="129"/>
      <c r="M21" s="129"/>
      <c r="N21" s="129"/>
      <c r="O21" s="124"/>
      <c r="P21" s="129"/>
      <c r="Q21" s="129"/>
      <c r="R21" s="129"/>
    </row>
    <row r="22" spans="1:18" s="125" customFormat="1" x14ac:dyDescent="0.25">
      <c r="A22" s="123"/>
      <c r="B22" s="57">
        <v>46143</v>
      </c>
      <c r="C22" s="58">
        <v>34.6</v>
      </c>
      <c r="D22" s="59">
        <v>28.4</v>
      </c>
      <c r="E22" s="59">
        <v>37.1</v>
      </c>
      <c r="F22" s="60">
        <v>-2.5</v>
      </c>
      <c r="G22" s="61">
        <v>53.1</v>
      </c>
      <c r="H22" s="59">
        <v>22.4</v>
      </c>
      <c r="I22" s="59">
        <v>24.5</v>
      </c>
      <c r="J22" s="60">
        <v>28.5</v>
      </c>
      <c r="K22" s="124"/>
      <c r="L22" s="129"/>
      <c r="M22" s="129"/>
      <c r="N22" s="129"/>
      <c r="O22" s="124"/>
      <c r="P22" s="129"/>
      <c r="Q22" s="129"/>
      <c r="R22" s="129"/>
    </row>
    <row r="23" spans="1:18" s="125" customFormat="1" x14ac:dyDescent="0.25">
      <c r="A23" s="123"/>
      <c r="B23" s="57">
        <v>46204</v>
      </c>
      <c r="C23" s="58">
        <v>30.23</v>
      </c>
      <c r="D23" s="59">
        <v>27.67</v>
      </c>
      <c r="E23" s="59">
        <v>42.1</v>
      </c>
      <c r="F23" s="60">
        <v>-11.870000000000001</v>
      </c>
      <c r="G23" s="61">
        <v>45.92</v>
      </c>
      <c r="H23" s="59">
        <v>23.86</v>
      </c>
      <c r="I23" s="59">
        <v>30.23</v>
      </c>
      <c r="J23" s="60">
        <v>15.690000000000001</v>
      </c>
      <c r="K23" s="124"/>
      <c r="L23" s="129"/>
      <c r="M23" s="129"/>
      <c r="N23" s="129"/>
      <c r="O23" s="124"/>
      <c r="P23" s="129"/>
      <c r="Q23" s="129"/>
      <c r="R23" s="129"/>
    </row>
    <row r="24" spans="1:18" s="125" customFormat="1" x14ac:dyDescent="0.25">
      <c r="A24" s="123"/>
      <c r="B24" s="57">
        <v>46266</v>
      </c>
      <c r="C24" s="58">
        <v>29.86</v>
      </c>
      <c r="D24" s="59">
        <v>26.2</v>
      </c>
      <c r="E24" s="59">
        <v>43.95</v>
      </c>
      <c r="F24" s="60">
        <v>-14.090000000000003</v>
      </c>
      <c r="G24" s="61">
        <v>46.3</v>
      </c>
      <c r="H24" s="59">
        <v>22.01</v>
      </c>
      <c r="I24" s="59">
        <v>31.69</v>
      </c>
      <c r="J24" s="60">
        <v>14.609999999999996</v>
      </c>
      <c r="K24" s="124"/>
      <c r="L24" s="129"/>
      <c r="M24" s="129"/>
      <c r="N24" s="129"/>
      <c r="O24" s="124"/>
      <c r="P24" s="129"/>
      <c r="Q24" s="129"/>
      <c r="R24" s="129"/>
    </row>
    <row r="25" spans="1:18" ht="15.75" customHeight="1" thickBot="1" x14ac:dyDescent="0.3">
      <c r="B25" s="62"/>
      <c r="C25" s="63"/>
      <c r="D25" s="64"/>
      <c r="E25" s="64"/>
      <c r="F25" s="65"/>
      <c r="G25" s="66"/>
      <c r="H25" s="64"/>
      <c r="I25" s="64"/>
      <c r="J25" s="65"/>
      <c r="L25" s="123"/>
      <c r="M25" s="123"/>
      <c r="N25" s="123"/>
      <c r="O25" s="123"/>
      <c r="P25" s="123"/>
      <c r="Q25" s="123"/>
      <c r="R25" s="123"/>
    </row>
    <row r="26" spans="1:18" ht="79.5" customHeight="1" thickBot="1" x14ac:dyDescent="0.3">
      <c r="B26" s="149" t="s">
        <v>98</v>
      </c>
      <c r="C26" s="150"/>
      <c r="D26" s="150"/>
      <c r="E26" s="150"/>
      <c r="F26" s="150"/>
      <c r="G26" s="150"/>
      <c r="H26" s="150"/>
      <c r="I26" s="150"/>
      <c r="J26" s="151"/>
    </row>
    <row r="29" spans="1:18" x14ac:dyDescent="0.25">
      <c r="C29" s="67"/>
      <c r="D29" s="67"/>
      <c r="E29" s="67"/>
      <c r="F29" s="67"/>
      <c r="G29" s="67"/>
      <c r="H29" s="67"/>
      <c r="I29" s="67"/>
      <c r="J29" s="67"/>
    </row>
    <row r="76" ht="29.25" customHeight="1" x14ac:dyDescent="0.25"/>
    <row r="95" spans="2:9" x14ac:dyDescent="0.25">
      <c r="B95" s="50"/>
      <c r="C95" s="50"/>
      <c r="D95" s="50"/>
      <c r="E95" s="50"/>
      <c r="F95" s="50"/>
      <c r="G95" s="50"/>
      <c r="H95" s="50"/>
      <c r="I95" s="50"/>
    </row>
    <row r="96" spans="2:9" x14ac:dyDescent="0.25">
      <c r="B96" s="50"/>
      <c r="C96" s="50"/>
      <c r="D96" s="50"/>
      <c r="E96" s="50"/>
      <c r="F96" s="50"/>
      <c r="G96" s="50"/>
      <c r="H96" s="50"/>
      <c r="I96" s="50"/>
    </row>
    <row r="97" spans="2:9" x14ac:dyDescent="0.25">
      <c r="B97" s="50"/>
      <c r="C97" s="50"/>
      <c r="D97" s="50"/>
      <c r="E97" s="50"/>
      <c r="F97" s="50"/>
      <c r="G97" s="50"/>
      <c r="H97" s="50"/>
      <c r="I97" s="50"/>
    </row>
    <row r="98" spans="2:9" x14ac:dyDescent="0.25">
      <c r="B98" s="50"/>
      <c r="C98" s="50"/>
      <c r="D98" s="50"/>
      <c r="E98" s="50"/>
      <c r="F98" s="50"/>
      <c r="G98" s="50"/>
      <c r="H98" s="50"/>
      <c r="I98" s="50"/>
    </row>
    <row r="99" spans="2:9" x14ac:dyDescent="0.25">
      <c r="B99" s="50"/>
      <c r="C99" s="50"/>
      <c r="D99" s="50"/>
      <c r="E99" s="50"/>
      <c r="F99" s="50"/>
      <c r="G99" s="50"/>
      <c r="H99" s="50"/>
      <c r="I99" s="50"/>
    </row>
    <row r="100" spans="2:9" x14ac:dyDescent="0.25">
      <c r="B100" s="50"/>
      <c r="C100" s="50"/>
      <c r="D100" s="50"/>
      <c r="E100" s="50"/>
      <c r="F100" s="50"/>
      <c r="G100" s="50"/>
      <c r="H100" s="50"/>
      <c r="I100" s="50"/>
    </row>
    <row r="101" spans="2:9" x14ac:dyDescent="0.25">
      <c r="B101" s="50"/>
      <c r="C101" s="50"/>
      <c r="D101" s="50"/>
      <c r="E101" s="50"/>
      <c r="F101" s="50"/>
      <c r="G101" s="50"/>
      <c r="H101" s="50"/>
      <c r="I101" s="50"/>
    </row>
    <row r="102" spans="2:9" x14ac:dyDescent="0.25">
      <c r="B102" s="50"/>
      <c r="C102" s="50"/>
      <c r="D102" s="50"/>
      <c r="E102" s="50"/>
      <c r="F102" s="50"/>
      <c r="G102" s="50"/>
      <c r="H102" s="50"/>
      <c r="I102" s="50"/>
    </row>
    <row r="103" spans="2:9" x14ac:dyDescent="0.25">
      <c r="B103" s="50"/>
      <c r="C103" s="50"/>
      <c r="D103" s="50"/>
      <c r="E103" s="50"/>
      <c r="F103" s="50"/>
      <c r="G103" s="50"/>
      <c r="H103" s="50"/>
      <c r="I103" s="50"/>
    </row>
    <row r="104" spans="2:9" x14ac:dyDescent="0.25">
      <c r="B104" s="50"/>
      <c r="C104" s="50"/>
      <c r="D104" s="50"/>
      <c r="E104" s="50"/>
      <c r="F104" s="50"/>
      <c r="G104" s="50"/>
      <c r="H104" s="50"/>
      <c r="I104" s="50"/>
    </row>
    <row r="105" spans="2:9" x14ac:dyDescent="0.25">
      <c r="B105" s="50"/>
      <c r="C105" s="50"/>
      <c r="D105" s="50"/>
      <c r="E105" s="50"/>
      <c r="F105" s="50"/>
      <c r="G105" s="50"/>
      <c r="H105" s="50"/>
      <c r="I105" s="50"/>
    </row>
    <row r="106" spans="2:9" x14ac:dyDescent="0.25">
      <c r="B106" s="50"/>
      <c r="C106" s="50"/>
      <c r="D106" s="50"/>
      <c r="E106" s="50"/>
      <c r="F106" s="50"/>
      <c r="G106" s="50"/>
      <c r="H106" s="50"/>
      <c r="I106" s="50"/>
    </row>
    <row r="146" spans="1:1" ht="15" customHeight="1" x14ac:dyDescent="0.25">
      <c r="A146" s="50"/>
    </row>
    <row r="147" spans="1:1" x14ac:dyDescent="0.25">
      <c r="A147" s="50"/>
    </row>
    <row r="148" spans="1:1" x14ac:dyDescent="0.25">
      <c r="A148" s="50"/>
    </row>
    <row r="149" spans="1:1" x14ac:dyDescent="0.25">
      <c r="A149" s="50"/>
    </row>
    <row r="150" spans="1:1" x14ac:dyDescent="0.25">
      <c r="A150" s="50"/>
    </row>
    <row r="151" spans="1:1" x14ac:dyDescent="0.25">
      <c r="A151" s="50"/>
    </row>
    <row r="152" spans="1:1" x14ac:dyDescent="0.25">
      <c r="A152" s="50"/>
    </row>
    <row r="153" spans="1:1" x14ac:dyDescent="0.25">
      <c r="A153" s="50"/>
    </row>
    <row r="154" spans="1:1" x14ac:dyDescent="0.25">
      <c r="A154" s="50"/>
    </row>
    <row r="155" spans="1:1" x14ac:dyDescent="0.25">
      <c r="A155" s="50"/>
    </row>
    <row r="156" spans="1:1" x14ac:dyDescent="0.25">
      <c r="A156" s="50"/>
    </row>
    <row r="157" spans="1:1" x14ac:dyDescent="0.25">
      <c r="A157" s="50"/>
    </row>
  </sheetData>
  <mergeCells count="5">
    <mergeCell ref="B26:J26"/>
    <mergeCell ref="B2:J2"/>
    <mergeCell ref="B4:B5"/>
    <mergeCell ref="C4:F4"/>
    <mergeCell ref="G4:J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AE23-50E3-452B-BA09-E8436BF52141}">
  <dimension ref="B1:J26"/>
  <sheetViews>
    <sheetView workbookViewId="0">
      <selection activeCell="F23" sqref="F23"/>
    </sheetView>
  </sheetViews>
  <sheetFormatPr defaultRowHeight="12.75" x14ac:dyDescent="0.2"/>
  <cols>
    <col min="1" max="1" width="1" style="1" customWidth="1"/>
    <col min="2" max="2" width="9.140625" style="1"/>
    <col min="3" max="10" width="10.7109375" style="1" customWidth="1"/>
    <col min="11" max="11" width="1.42578125" style="1" customWidth="1"/>
    <col min="12" max="16384" width="9.140625" style="1"/>
  </cols>
  <sheetData>
    <row r="1" spans="2:10" ht="3" customHeight="1" thickBot="1" x14ac:dyDescent="0.25"/>
    <row r="2" spans="2:10" ht="15" x14ac:dyDescent="0.25">
      <c r="B2" s="152" t="s">
        <v>0</v>
      </c>
      <c r="C2" s="153"/>
      <c r="D2" s="153"/>
      <c r="E2" s="153"/>
      <c r="F2" s="153"/>
      <c r="G2" s="153"/>
      <c r="H2" s="153"/>
      <c r="I2" s="153"/>
      <c r="J2" s="154"/>
    </row>
    <row r="3" spans="2:10" ht="15.75" customHeight="1" thickBot="1" x14ac:dyDescent="0.25">
      <c r="B3" s="51"/>
      <c r="C3" s="52"/>
      <c r="D3" s="52"/>
      <c r="E3" s="52"/>
      <c r="F3" s="52"/>
      <c r="G3" s="52"/>
      <c r="H3" s="52"/>
      <c r="I3" s="52"/>
      <c r="J3" s="76" t="s">
        <v>1</v>
      </c>
    </row>
    <row r="4" spans="2:10" ht="15.75" customHeight="1" x14ac:dyDescent="0.2">
      <c r="B4" s="161" t="s">
        <v>2</v>
      </c>
      <c r="C4" s="158" t="s">
        <v>3</v>
      </c>
      <c r="D4" s="158"/>
      <c r="E4" s="158"/>
      <c r="F4" s="158"/>
      <c r="G4" s="158" t="s">
        <v>4</v>
      </c>
      <c r="H4" s="158"/>
      <c r="I4" s="158"/>
      <c r="J4" s="159"/>
    </row>
    <row r="5" spans="2:10" ht="39" thickBot="1" x14ac:dyDescent="0.25">
      <c r="B5" s="162"/>
      <c r="C5" s="54" t="s">
        <v>78</v>
      </c>
      <c r="D5" s="54" t="s">
        <v>79</v>
      </c>
      <c r="E5" s="54" t="s">
        <v>69</v>
      </c>
      <c r="F5" s="54" t="s">
        <v>5</v>
      </c>
      <c r="G5" s="54" t="s">
        <v>80</v>
      </c>
      <c r="H5" s="54" t="s">
        <v>81</v>
      </c>
      <c r="I5" s="54" t="s">
        <v>70</v>
      </c>
      <c r="J5" s="55" t="s">
        <v>5</v>
      </c>
    </row>
    <row r="6" spans="2:10" ht="18.95" customHeight="1" x14ac:dyDescent="0.2">
      <c r="B6" s="57">
        <v>45170</v>
      </c>
      <c r="C6" s="58">
        <v>36.9</v>
      </c>
      <c r="D6" s="59">
        <v>25.1</v>
      </c>
      <c r="E6" s="59">
        <v>38.1</v>
      </c>
      <c r="F6" s="60">
        <v>-1.2</v>
      </c>
      <c r="G6" s="61">
        <v>56.3</v>
      </c>
      <c r="H6" s="59">
        <v>19.899999999999999</v>
      </c>
      <c r="I6" s="59">
        <v>23.8</v>
      </c>
      <c r="J6" s="60">
        <v>32.5</v>
      </c>
    </row>
    <row r="7" spans="2:10" ht="18.95" customHeight="1" x14ac:dyDescent="0.2">
      <c r="B7" s="57">
        <v>45231</v>
      </c>
      <c r="C7" s="58">
        <v>36.9</v>
      </c>
      <c r="D7" s="59">
        <v>24.4</v>
      </c>
      <c r="E7" s="59">
        <v>38.700000000000003</v>
      </c>
      <c r="F7" s="60">
        <v>-1.8</v>
      </c>
      <c r="G7" s="61">
        <v>57.7</v>
      </c>
      <c r="H7" s="59">
        <v>19</v>
      </c>
      <c r="I7" s="59">
        <v>23.3</v>
      </c>
      <c r="J7" s="60">
        <v>34.4</v>
      </c>
    </row>
    <row r="8" spans="2:10" ht="18.95" customHeight="1" x14ac:dyDescent="0.2">
      <c r="B8" s="57">
        <v>45292</v>
      </c>
      <c r="C8" s="58">
        <v>37.799999999999997</v>
      </c>
      <c r="D8" s="59">
        <v>25.6</v>
      </c>
      <c r="E8" s="59">
        <v>36.6</v>
      </c>
      <c r="F8" s="60">
        <v>1.2</v>
      </c>
      <c r="G8" s="61">
        <v>61</v>
      </c>
      <c r="H8" s="59">
        <v>18.100000000000001</v>
      </c>
      <c r="I8" s="59">
        <v>20.9</v>
      </c>
      <c r="J8" s="60">
        <v>40.1</v>
      </c>
    </row>
    <row r="9" spans="2:10" ht="18.95" customHeight="1" x14ac:dyDescent="0.2">
      <c r="B9" s="57">
        <v>45352</v>
      </c>
      <c r="C9" s="58">
        <v>40.6</v>
      </c>
      <c r="D9" s="59">
        <v>24.8</v>
      </c>
      <c r="E9" s="59">
        <v>34.6</v>
      </c>
      <c r="F9" s="60">
        <v>6</v>
      </c>
      <c r="G9" s="61">
        <v>62.1</v>
      </c>
      <c r="H9" s="59">
        <v>17.5</v>
      </c>
      <c r="I9" s="59">
        <v>20.399999999999999</v>
      </c>
      <c r="J9" s="60">
        <v>41.7</v>
      </c>
    </row>
    <row r="10" spans="2:10" ht="18.95" customHeight="1" x14ac:dyDescent="0.2">
      <c r="B10" s="57">
        <v>45413</v>
      </c>
      <c r="C10" s="58">
        <v>39.4</v>
      </c>
      <c r="D10" s="59">
        <v>23.8</v>
      </c>
      <c r="E10" s="59">
        <v>36.799999999999997</v>
      </c>
      <c r="F10" s="60">
        <v>2.5</v>
      </c>
      <c r="G10" s="61">
        <v>60.4</v>
      </c>
      <c r="H10" s="59">
        <v>18.5</v>
      </c>
      <c r="I10" s="59">
        <v>21.2</v>
      </c>
      <c r="J10" s="60">
        <v>39.200000000000003</v>
      </c>
    </row>
    <row r="11" spans="2:10" ht="18.95" customHeight="1" x14ac:dyDescent="0.2">
      <c r="B11" s="57">
        <v>45474</v>
      </c>
      <c r="C11" s="58">
        <v>35</v>
      </c>
      <c r="D11" s="59">
        <v>27.1</v>
      </c>
      <c r="E11" s="59">
        <v>37.9</v>
      </c>
      <c r="F11" s="60">
        <v>-2.9</v>
      </c>
      <c r="G11" s="61">
        <v>57.7</v>
      </c>
      <c r="H11" s="59">
        <v>19</v>
      </c>
      <c r="I11" s="59">
        <v>23.3</v>
      </c>
      <c r="J11" s="60">
        <v>34.4</v>
      </c>
    </row>
    <row r="12" spans="2:10" ht="18.95" customHeight="1" x14ac:dyDescent="0.2">
      <c r="B12" s="57">
        <v>45536</v>
      </c>
      <c r="C12" s="58">
        <v>35.9</v>
      </c>
      <c r="D12" s="59">
        <v>26.2</v>
      </c>
      <c r="E12" s="59">
        <v>37.9</v>
      </c>
      <c r="F12" s="60">
        <v>-2</v>
      </c>
      <c r="G12" s="61">
        <v>57.1</v>
      </c>
      <c r="H12" s="59">
        <v>20.9</v>
      </c>
      <c r="I12" s="59">
        <v>22.1</v>
      </c>
      <c r="J12" s="60">
        <v>35</v>
      </c>
    </row>
    <row r="13" spans="2:10" ht="18.95" customHeight="1" x14ac:dyDescent="0.2">
      <c r="B13" s="57">
        <v>45597</v>
      </c>
      <c r="C13" s="58">
        <v>36.6</v>
      </c>
      <c r="D13" s="59">
        <v>25.6</v>
      </c>
      <c r="E13" s="59">
        <v>37.799999999999997</v>
      </c>
      <c r="F13" s="60">
        <v>-1.2</v>
      </c>
      <c r="G13" s="61">
        <v>58.4</v>
      </c>
      <c r="H13" s="59">
        <v>19.399999999999999</v>
      </c>
      <c r="I13" s="59">
        <v>22.2</v>
      </c>
      <c r="J13" s="60">
        <v>36.1</v>
      </c>
    </row>
    <row r="14" spans="2:10" ht="18.95" customHeight="1" x14ac:dyDescent="0.2">
      <c r="B14" s="57">
        <v>45658</v>
      </c>
      <c r="C14" s="58">
        <v>38.4</v>
      </c>
      <c r="D14" s="59">
        <v>25.8</v>
      </c>
      <c r="E14" s="59">
        <v>35.799999999999997</v>
      </c>
      <c r="F14" s="60">
        <v>2.6</v>
      </c>
      <c r="G14" s="61">
        <v>58.9</v>
      </c>
      <c r="H14" s="59">
        <v>19</v>
      </c>
      <c r="I14" s="59">
        <v>22.1</v>
      </c>
      <c r="J14" s="60">
        <v>36.799999999999997</v>
      </c>
    </row>
    <row r="15" spans="2:10" ht="18.95" customHeight="1" x14ac:dyDescent="0.2">
      <c r="B15" s="57">
        <v>45717</v>
      </c>
      <c r="C15" s="58">
        <v>39.630000000000003</v>
      </c>
      <c r="D15" s="59">
        <v>24.94</v>
      </c>
      <c r="E15" s="59">
        <v>35.43</v>
      </c>
      <c r="F15" s="60">
        <v>4.2000000000000028</v>
      </c>
      <c r="G15" s="61">
        <v>59.78</v>
      </c>
      <c r="H15" s="59">
        <v>18.760000000000002</v>
      </c>
      <c r="I15" s="59">
        <v>21.45</v>
      </c>
      <c r="J15" s="60">
        <v>38.33</v>
      </c>
    </row>
    <row r="16" spans="2:10" s="123" customFormat="1" ht="18.95" customHeight="1" x14ac:dyDescent="0.2">
      <c r="B16" s="57">
        <v>45778</v>
      </c>
      <c r="C16" s="58">
        <v>39.9</v>
      </c>
      <c r="D16" s="59">
        <v>25</v>
      </c>
      <c r="E16" s="59">
        <v>35.200000000000003</v>
      </c>
      <c r="F16" s="60">
        <v>4.7</v>
      </c>
      <c r="G16" s="61">
        <v>59.9</v>
      </c>
      <c r="H16" s="59">
        <v>18.7</v>
      </c>
      <c r="I16" s="59">
        <v>21.4</v>
      </c>
      <c r="J16" s="60">
        <v>38.5</v>
      </c>
    </row>
    <row r="17" spans="2:10" s="123" customFormat="1" ht="18.95" customHeight="1" x14ac:dyDescent="0.2">
      <c r="B17" s="57">
        <v>45839</v>
      </c>
      <c r="C17" s="58">
        <v>37.97</v>
      </c>
      <c r="D17" s="59">
        <v>28.75</v>
      </c>
      <c r="E17" s="59">
        <v>33.28</v>
      </c>
      <c r="F17" s="60">
        <v>4.6899999999999977</v>
      </c>
      <c r="G17" s="61">
        <v>57.6</v>
      </c>
      <c r="H17" s="59">
        <v>24.66</v>
      </c>
      <c r="I17" s="59">
        <v>17.739999999999998</v>
      </c>
      <c r="J17" s="60">
        <v>39.86</v>
      </c>
    </row>
    <row r="18" spans="2:10" s="123" customFormat="1" ht="18.95" customHeight="1" x14ac:dyDescent="0.2">
      <c r="B18" s="57">
        <v>45901</v>
      </c>
      <c r="C18" s="58">
        <v>35.96</v>
      </c>
      <c r="D18" s="59">
        <v>33.1</v>
      </c>
      <c r="E18" s="59">
        <v>30.93</v>
      </c>
      <c r="F18" s="60">
        <v>5.0300000000000011</v>
      </c>
      <c r="G18" s="61">
        <v>57.03</v>
      </c>
      <c r="H18" s="59">
        <v>26.23</v>
      </c>
      <c r="I18" s="59">
        <v>16.739999999999998</v>
      </c>
      <c r="J18" s="60">
        <v>40.290000000000006</v>
      </c>
    </row>
    <row r="19" spans="2:10" s="123" customFormat="1" ht="18.95" customHeight="1" x14ac:dyDescent="0.2">
      <c r="B19" s="57">
        <v>45962</v>
      </c>
      <c r="C19" s="58">
        <v>36.53</v>
      </c>
      <c r="D19" s="59">
        <v>31.63</v>
      </c>
      <c r="E19" s="59">
        <v>31.84</v>
      </c>
      <c r="F19" s="60">
        <v>4.6900000000000013</v>
      </c>
      <c r="G19" s="61">
        <v>57.33</v>
      </c>
      <c r="H19" s="59">
        <v>25.94</v>
      </c>
      <c r="I19" s="59">
        <v>16.72</v>
      </c>
      <c r="J19" s="60">
        <v>40.61</v>
      </c>
    </row>
    <row r="20" spans="2:10" s="123" customFormat="1" ht="18.95" customHeight="1" x14ac:dyDescent="0.2">
      <c r="B20" s="57">
        <v>46023</v>
      </c>
      <c r="C20" s="58">
        <v>36.22</v>
      </c>
      <c r="D20" s="59">
        <v>32.729999999999997</v>
      </c>
      <c r="E20" s="59">
        <v>31.05</v>
      </c>
      <c r="F20" s="60">
        <v>5.1699999999999982</v>
      </c>
      <c r="G20" s="61">
        <v>57.39</v>
      </c>
      <c r="H20" s="59">
        <v>26.84</v>
      </c>
      <c r="I20" s="59">
        <v>15.77</v>
      </c>
      <c r="J20" s="60">
        <v>41.620000000000005</v>
      </c>
    </row>
    <row r="21" spans="2:10" s="123" customFormat="1" ht="18.95" customHeight="1" x14ac:dyDescent="0.2">
      <c r="B21" s="57">
        <v>46082</v>
      </c>
      <c r="C21" s="58">
        <v>35.299999999999997</v>
      </c>
      <c r="D21" s="59">
        <v>32.01</v>
      </c>
      <c r="E21" s="59">
        <v>32.68</v>
      </c>
      <c r="F21" s="60">
        <v>2.6199999999999974</v>
      </c>
      <c r="G21" s="61">
        <v>54.28</v>
      </c>
      <c r="H21" s="59">
        <v>25.35</v>
      </c>
      <c r="I21" s="59">
        <v>20.37</v>
      </c>
      <c r="J21" s="60">
        <v>33.909999999999997</v>
      </c>
    </row>
    <row r="22" spans="2:10" s="123" customFormat="1" ht="18.95" customHeight="1" x14ac:dyDescent="0.2">
      <c r="B22" s="57">
        <v>46143</v>
      </c>
      <c r="C22" s="58">
        <v>33.6</v>
      </c>
      <c r="D22" s="59">
        <v>31.6</v>
      </c>
      <c r="E22" s="59">
        <v>34.799999999999997</v>
      </c>
      <c r="F22" s="60">
        <v>-1.2</v>
      </c>
      <c r="G22" s="61">
        <v>52.6</v>
      </c>
      <c r="H22" s="59">
        <v>24.6</v>
      </c>
      <c r="I22" s="59">
        <v>22.8</v>
      </c>
      <c r="J22" s="60">
        <v>29.8</v>
      </c>
    </row>
    <row r="23" spans="2:10" s="123" customFormat="1" ht="18.95" customHeight="1" x14ac:dyDescent="0.2">
      <c r="B23" s="57">
        <v>46204</v>
      </c>
      <c r="C23" s="58">
        <v>29.72</v>
      </c>
      <c r="D23" s="59">
        <v>32.6</v>
      </c>
      <c r="E23" s="59">
        <v>37.69</v>
      </c>
      <c r="F23" s="60">
        <v>-7.9699999999999989</v>
      </c>
      <c r="G23" s="61">
        <v>48.51</v>
      </c>
      <c r="H23" s="59">
        <v>25.59</v>
      </c>
      <c r="I23" s="59">
        <v>25.89</v>
      </c>
      <c r="J23" s="60">
        <v>22.619999999999997</v>
      </c>
    </row>
    <row r="24" spans="2:10" s="123" customFormat="1" ht="18.95" customHeight="1" x14ac:dyDescent="0.2">
      <c r="B24" s="57">
        <v>46266</v>
      </c>
      <c r="C24" s="58">
        <v>29.56</v>
      </c>
      <c r="D24" s="59">
        <v>30.4</v>
      </c>
      <c r="E24" s="59">
        <v>40.04</v>
      </c>
      <c r="F24" s="60">
        <v>-10.48</v>
      </c>
      <c r="G24" s="61">
        <v>48.12</v>
      </c>
      <c r="H24" s="59">
        <v>23.8</v>
      </c>
      <c r="I24" s="59">
        <v>28.08</v>
      </c>
      <c r="J24" s="60">
        <v>20.04</v>
      </c>
    </row>
    <row r="25" spans="2:10" ht="18.95" customHeight="1" thickBot="1" x14ac:dyDescent="0.25">
      <c r="B25" s="75"/>
      <c r="C25" s="63"/>
      <c r="D25" s="64"/>
      <c r="E25" s="64"/>
      <c r="F25" s="65"/>
      <c r="G25" s="66"/>
      <c r="H25" s="64"/>
      <c r="I25" s="64"/>
      <c r="J25" s="65"/>
    </row>
    <row r="26" spans="2:10" ht="80.25" customHeight="1" thickBot="1" x14ac:dyDescent="0.25">
      <c r="B26" s="149" t="s">
        <v>98</v>
      </c>
      <c r="C26" s="150"/>
      <c r="D26" s="150"/>
      <c r="E26" s="150"/>
      <c r="F26" s="150"/>
      <c r="G26" s="150"/>
      <c r="H26" s="150"/>
      <c r="I26" s="150"/>
      <c r="J26" s="151"/>
    </row>
  </sheetData>
  <mergeCells count="5">
    <mergeCell ref="B2:J2"/>
    <mergeCell ref="B4:B5"/>
    <mergeCell ref="C4:F4"/>
    <mergeCell ref="G4:J4"/>
    <mergeCell ref="B26:J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2A7C-9208-4007-80CA-8AA0333EDA58}">
  <dimension ref="B1:J26"/>
  <sheetViews>
    <sheetView workbookViewId="0">
      <selection activeCell="G24" sqref="G24:J24"/>
    </sheetView>
  </sheetViews>
  <sheetFormatPr defaultRowHeight="12.75" x14ac:dyDescent="0.2"/>
  <cols>
    <col min="1" max="1" width="1" style="1" customWidth="1"/>
    <col min="2" max="2" width="9.140625" style="1"/>
    <col min="3" max="10" width="10.7109375" style="1" customWidth="1"/>
    <col min="11" max="11" width="3" style="1" customWidth="1"/>
    <col min="12" max="16384" width="9.140625" style="1"/>
  </cols>
  <sheetData>
    <row r="1" spans="2:10" ht="3.75" customHeight="1" thickBot="1" x14ac:dyDescent="0.25"/>
    <row r="2" spans="2:10" ht="15" x14ac:dyDescent="0.25">
      <c r="B2" s="152" t="s">
        <v>29</v>
      </c>
      <c r="C2" s="153"/>
      <c r="D2" s="153"/>
      <c r="E2" s="153"/>
      <c r="F2" s="153"/>
      <c r="G2" s="153"/>
      <c r="H2" s="153"/>
      <c r="I2" s="153"/>
      <c r="J2" s="154"/>
    </row>
    <row r="3" spans="2:10" ht="15.75" customHeight="1" thickBot="1" x14ac:dyDescent="0.25">
      <c r="B3" s="51"/>
      <c r="C3" s="52"/>
      <c r="D3" s="52"/>
      <c r="E3" s="52"/>
      <c r="F3" s="52"/>
      <c r="G3" s="52"/>
      <c r="H3" s="52"/>
      <c r="I3" s="52"/>
      <c r="J3" s="76" t="s">
        <v>1</v>
      </c>
    </row>
    <row r="4" spans="2:10" ht="15.75" customHeight="1" x14ac:dyDescent="0.2">
      <c r="B4" s="161" t="s">
        <v>2</v>
      </c>
      <c r="C4" s="158" t="s">
        <v>3</v>
      </c>
      <c r="D4" s="158"/>
      <c r="E4" s="158"/>
      <c r="F4" s="158"/>
      <c r="G4" s="158" t="s">
        <v>4</v>
      </c>
      <c r="H4" s="158"/>
      <c r="I4" s="158"/>
      <c r="J4" s="159"/>
    </row>
    <row r="5" spans="2:10" ht="39" thickBot="1" x14ac:dyDescent="0.25">
      <c r="B5" s="162"/>
      <c r="C5" s="54" t="s">
        <v>8</v>
      </c>
      <c r="D5" s="54" t="s">
        <v>9</v>
      </c>
      <c r="E5" s="54" t="s">
        <v>10</v>
      </c>
      <c r="F5" s="54" t="s">
        <v>5</v>
      </c>
      <c r="G5" s="54" t="s">
        <v>11</v>
      </c>
      <c r="H5" s="54" t="s">
        <v>87</v>
      </c>
      <c r="I5" s="54" t="s">
        <v>12</v>
      </c>
      <c r="J5" s="55" t="s">
        <v>5</v>
      </c>
    </row>
    <row r="6" spans="2:10" ht="18.95" customHeight="1" x14ac:dyDescent="0.2">
      <c r="B6" s="57">
        <v>45170</v>
      </c>
      <c r="C6" s="58">
        <v>94.9</v>
      </c>
      <c r="D6" s="59">
        <v>3.9</v>
      </c>
      <c r="E6" s="59">
        <v>1.2</v>
      </c>
      <c r="F6" s="60">
        <v>-93.7</v>
      </c>
      <c r="G6" s="61">
        <v>87.8</v>
      </c>
      <c r="H6" s="59">
        <v>5.7</v>
      </c>
      <c r="I6" s="59">
        <v>6.5</v>
      </c>
      <c r="J6" s="60">
        <v>-81.3</v>
      </c>
    </row>
    <row r="7" spans="2:10" ht="18.95" customHeight="1" x14ac:dyDescent="0.2">
      <c r="B7" s="57">
        <v>45231</v>
      </c>
      <c r="C7" s="58">
        <v>95.4</v>
      </c>
      <c r="D7" s="59">
        <v>3.7</v>
      </c>
      <c r="E7" s="59">
        <v>0.9</v>
      </c>
      <c r="F7" s="60">
        <v>-94.4</v>
      </c>
      <c r="G7" s="61">
        <v>90.2</v>
      </c>
      <c r="H7" s="59">
        <v>5.2</v>
      </c>
      <c r="I7" s="59">
        <v>4.5999999999999996</v>
      </c>
      <c r="J7" s="60">
        <v>-85.5</v>
      </c>
    </row>
    <row r="8" spans="2:10" ht="18.95" customHeight="1" x14ac:dyDescent="0.2">
      <c r="B8" s="57">
        <v>45292</v>
      </c>
      <c r="C8" s="58">
        <v>94.7</v>
      </c>
      <c r="D8" s="59">
        <v>4.5999999999999996</v>
      </c>
      <c r="E8" s="59">
        <v>0.7</v>
      </c>
      <c r="F8" s="60">
        <v>-94</v>
      </c>
      <c r="G8" s="61">
        <v>90</v>
      </c>
      <c r="H8" s="59">
        <v>5.2</v>
      </c>
      <c r="I8" s="59">
        <v>4.8</v>
      </c>
      <c r="J8" s="60">
        <v>-85.2</v>
      </c>
    </row>
    <row r="9" spans="2:10" ht="18.95" customHeight="1" x14ac:dyDescent="0.2">
      <c r="B9" s="57">
        <v>45352</v>
      </c>
      <c r="C9" s="58">
        <v>94.6</v>
      </c>
      <c r="D9" s="59">
        <v>4.3</v>
      </c>
      <c r="E9" s="59">
        <v>1.1000000000000001</v>
      </c>
      <c r="F9" s="60">
        <v>-93.5</v>
      </c>
      <c r="G9" s="61">
        <v>90.2</v>
      </c>
      <c r="H9" s="59">
        <v>5.7</v>
      </c>
      <c r="I9" s="59">
        <v>4.0999999999999996</v>
      </c>
      <c r="J9" s="60">
        <v>-86.1</v>
      </c>
    </row>
    <row r="10" spans="2:10" ht="18.95" customHeight="1" x14ac:dyDescent="0.2">
      <c r="B10" s="57">
        <v>45413</v>
      </c>
      <c r="C10" s="58">
        <v>94.6</v>
      </c>
      <c r="D10" s="59">
        <v>4.3</v>
      </c>
      <c r="E10" s="59">
        <v>1.1000000000000001</v>
      </c>
      <c r="F10" s="60">
        <v>-93.5</v>
      </c>
      <c r="G10" s="61">
        <v>90.3</v>
      </c>
      <c r="H10" s="59">
        <v>5.3</v>
      </c>
      <c r="I10" s="59">
        <v>4.4000000000000004</v>
      </c>
      <c r="J10" s="60">
        <v>-85.9</v>
      </c>
    </row>
    <row r="11" spans="2:10" ht="18.95" customHeight="1" x14ac:dyDescent="0.2">
      <c r="B11" s="57">
        <v>45474</v>
      </c>
      <c r="C11" s="58">
        <v>96.2</v>
      </c>
      <c r="D11" s="59">
        <v>3.2</v>
      </c>
      <c r="E11" s="59">
        <v>0.6</v>
      </c>
      <c r="F11" s="60">
        <v>-95.6</v>
      </c>
      <c r="G11" s="61">
        <v>91.2</v>
      </c>
      <c r="H11" s="59">
        <v>4.7</v>
      </c>
      <c r="I11" s="59">
        <v>4.0999999999999996</v>
      </c>
      <c r="J11" s="60">
        <v>-87.1</v>
      </c>
    </row>
    <row r="12" spans="2:10" ht="18.95" customHeight="1" x14ac:dyDescent="0.2">
      <c r="B12" s="57">
        <v>45536</v>
      </c>
      <c r="C12" s="58">
        <v>96.1</v>
      </c>
      <c r="D12" s="59">
        <v>2.7</v>
      </c>
      <c r="E12" s="59">
        <v>1.1000000000000001</v>
      </c>
      <c r="F12" s="60">
        <v>-95</v>
      </c>
      <c r="G12" s="61">
        <v>89.6</v>
      </c>
      <c r="H12" s="59">
        <v>5.2</v>
      </c>
      <c r="I12" s="59">
        <v>5.2</v>
      </c>
      <c r="J12" s="60">
        <v>-84.5</v>
      </c>
    </row>
    <row r="13" spans="2:10" ht="18.95" customHeight="1" x14ac:dyDescent="0.2">
      <c r="B13" s="57">
        <v>45597</v>
      </c>
      <c r="C13" s="58">
        <v>96.6</v>
      </c>
      <c r="D13" s="59">
        <v>3</v>
      </c>
      <c r="E13" s="59">
        <v>0.4</v>
      </c>
      <c r="F13" s="60">
        <v>-96.3</v>
      </c>
      <c r="G13" s="61">
        <v>90</v>
      </c>
      <c r="H13" s="59">
        <v>5</v>
      </c>
      <c r="I13" s="59">
        <v>5</v>
      </c>
      <c r="J13" s="60">
        <v>-85</v>
      </c>
    </row>
    <row r="14" spans="2:10" ht="18.95" customHeight="1" x14ac:dyDescent="0.2">
      <c r="B14" s="57">
        <v>45658</v>
      </c>
      <c r="C14" s="58">
        <v>96.2</v>
      </c>
      <c r="D14" s="59">
        <v>3.3</v>
      </c>
      <c r="E14" s="59">
        <v>0.4</v>
      </c>
      <c r="F14" s="60">
        <v>-95.8</v>
      </c>
      <c r="G14" s="61">
        <v>90</v>
      </c>
      <c r="H14" s="59">
        <v>5</v>
      </c>
      <c r="I14" s="59">
        <v>5.0999999999999996</v>
      </c>
      <c r="J14" s="60">
        <v>-84.9</v>
      </c>
    </row>
    <row r="15" spans="2:10" ht="18.95" customHeight="1" x14ac:dyDescent="0.2">
      <c r="B15" s="57">
        <v>45717</v>
      </c>
      <c r="C15" s="58">
        <v>95.1</v>
      </c>
      <c r="D15" s="59">
        <v>3.44</v>
      </c>
      <c r="E15" s="59">
        <v>1.46</v>
      </c>
      <c r="F15" s="60">
        <v>-93.64</v>
      </c>
      <c r="G15" s="61">
        <v>88.7</v>
      </c>
      <c r="H15" s="59">
        <v>5.42</v>
      </c>
      <c r="I15" s="59">
        <v>5.88</v>
      </c>
      <c r="J15" s="60">
        <v>-82.820000000000007</v>
      </c>
    </row>
    <row r="16" spans="2:10" s="123" customFormat="1" ht="18.95" customHeight="1" x14ac:dyDescent="0.2">
      <c r="B16" s="57">
        <v>45778</v>
      </c>
      <c r="C16" s="58">
        <v>94.6</v>
      </c>
      <c r="D16" s="59">
        <v>3.9</v>
      </c>
      <c r="E16" s="59">
        <v>1.5</v>
      </c>
      <c r="F16" s="60">
        <v>-93.1</v>
      </c>
      <c r="G16" s="61">
        <v>88.5</v>
      </c>
      <c r="H16" s="59">
        <v>4.9000000000000004</v>
      </c>
      <c r="I16" s="59">
        <v>6.6</v>
      </c>
      <c r="J16" s="60">
        <v>-81.900000000000006</v>
      </c>
    </row>
    <row r="17" spans="2:10" s="123" customFormat="1" ht="18.95" customHeight="1" x14ac:dyDescent="0.2">
      <c r="B17" s="57">
        <v>45839</v>
      </c>
      <c r="C17" s="58">
        <v>94.18</v>
      </c>
      <c r="D17" s="59">
        <v>3.62</v>
      </c>
      <c r="E17" s="59">
        <v>2.2000000000000002</v>
      </c>
      <c r="F17" s="60">
        <v>-91.98</v>
      </c>
      <c r="G17" s="61">
        <v>88.47</v>
      </c>
      <c r="H17" s="59">
        <v>3.87</v>
      </c>
      <c r="I17" s="59">
        <v>7.66</v>
      </c>
      <c r="J17" s="60">
        <v>-80.81</v>
      </c>
    </row>
    <row r="18" spans="2:10" s="123" customFormat="1" ht="18.95" customHeight="1" x14ac:dyDescent="0.2">
      <c r="B18" s="57">
        <v>45901</v>
      </c>
      <c r="C18" s="58">
        <v>94.37</v>
      </c>
      <c r="D18" s="59">
        <v>3.48</v>
      </c>
      <c r="E18" s="59">
        <v>2.15</v>
      </c>
      <c r="F18" s="60">
        <v>-92.22</v>
      </c>
      <c r="G18" s="61">
        <v>83.91</v>
      </c>
      <c r="H18" s="59">
        <v>11.52</v>
      </c>
      <c r="I18" s="59">
        <v>4.58</v>
      </c>
      <c r="J18" s="60">
        <v>-79.33</v>
      </c>
    </row>
    <row r="19" spans="2:10" s="123" customFormat="1" ht="18.95" customHeight="1" x14ac:dyDescent="0.2">
      <c r="B19" s="57">
        <v>45962</v>
      </c>
      <c r="C19" s="58">
        <v>92.8</v>
      </c>
      <c r="D19" s="59">
        <v>1.77</v>
      </c>
      <c r="E19" s="59">
        <v>5.43</v>
      </c>
      <c r="F19" s="60">
        <v>-87.37</v>
      </c>
      <c r="G19" s="61">
        <v>82.59</v>
      </c>
      <c r="H19" s="59">
        <v>11.55</v>
      </c>
      <c r="I19" s="59">
        <v>5.86</v>
      </c>
      <c r="J19" s="60">
        <v>-76.73</v>
      </c>
    </row>
    <row r="20" spans="2:10" s="123" customFormat="1" ht="18.95" customHeight="1" x14ac:dyDescent="0.2">
      <c r="B20" s="57">
        <v>46023</v>
      </c>
      <c r="C20" s="58">
        <v>90.8</v>
      </c>
      <c r="D20" s="59">
        <v>7.39</v>
      </c>
      <c r="E20" s="59">
        <v>1.82</v>
      </c>
      <c r="F20" s="60">
        <v>-88.98</v>
      </c>
      <c r="G20" s="61">
        <v>82.12</v>
      </c>
      <c r="H20" s="59">
        <v>12.85</v>
      </c>
      <c r="I20" s="59">
        <v>5.03</v>
      </c>
      <c r="J20" s="60">
        <v>-77.09</v>
      </c>
    </row>
    <row r="21" spans="2:10" s="123" customFormat="1" ht="18.95" customHeight="1" x14ac:dyDescent="0.2">
      <c r="B21" s="57">
        <v>46082</v>
      </c>
      <c r="C21" s="58">
        <v>91.08</v>
      </c>
      <c r="D21" s="59">
        <v>7.44</v>
      </c>
      <c r="E21" s="59">
        <v>1.48</v>
      </c>
      <c r="F21" s="60">
        <v>-89.6</v>
      </c>
      <c r="G21" s="61">
        <v>83.15</v>
      </c>
      <c r="H21" s="59">
        <v>11.92</v>
      </c>
      <c r="I21" s="59">
        <v>4.93</v>
      </c>
      <c r="J21" s="60">
        <v>-78.22</v>
      </c>
    </row>
    <row r="22" spans="2:10" s="123" customFormat="1" ht="18.95" customHeight="1" x14ac:dyDescent="0.2">
      <c r="B22" s="57">
        <v>46143</v>
      </c>
      <c r="C22" s="58">
        <v>90.8</v>
      </c>
      <c r="D22" s="59">
        <v>8.3000000000000007</v>
      </c>
      <c r="E22" s="59">
        <v>0.8</v>
      </c>
      <c r="F22" s="60">
        <v>-90</v>
      </c>
      <c r="G22" s="61">
        <v>82.8</v>
      </c>
      <c r="H22" s="59">
        <v>11</v>
      </c>
      <c r="I22" s="59">
        <v>6.2</v>
      </c>
      <c r="J22" s="60">
        <v>-76.599999999999994</v>
      </c>
    </row>
    <row r="23" spans="2:10" s="123" customFormat="1" ht="18.95" customHeight="1" x14ac:dyDescent="0.2">
      <c r="B23" s="57">
        <v>46204</v>
      </c>
      <c r="C23" s="58">
        <v>91.57</v>
      </c>
      <c r="D23" s="59">
        <v>7.35</v>
      </c>
      <c r="E23" s="59">
        <v>1.07</v>
      </c>
      <c r="F23" s="60">
        <v>-90.5</v>
      </c>
      <c r="G23" s="61">
        <v>84.34</v>
      </c>
      <c r="H23" s="59">
        <v>10.44</v>
      </c>
      <c r="I23" s="59">
        <v>5.22</v>
      </c>
      <c r="J23" s="60">
        <v>-79.12</v>
      </c>
    </row>
    <row r="24" spans="2:10" s="123" customFormat="1" ht="18.95" customHeight="1" x14ac:dyDescent="0.2">
      <c r="B24" s="57">
        <v>46266</v>
      </c>
      <c r="C24" s="58">
        <v>93.15</v>
      </c>
      <c r="D24" s="59">
        <v>6.02</v>
      </c>
      <c r="E24" s="59">
        <v>0.83</v>
      </c>
      <c r="F24" s="60">
        <v>-92.320000000000007</v>
      </c>
      <c r="G24" s="61">
        <v>85.86</v>
      </c>
      <c r="H24" s="59">
        <v>8.76</v>
      </c>
      <c r="I24" s="59">
        <v>5.38</v>
      </c>
      <c r="J24" s="60">
        <v>-80.48</v>
      </c>
    </row>
    <row r="25" spans="2:10" ht="18.95" customHeight="1" thickBot="1" x14ac:dyDescent="0.25">
      <c r="B25" s="75"/>
      <c r="C25" s="66"/>
      <c r="D25" s="64"/>
      <c r="E25" s="64"/>
      <c r="F25" s="65"/>
      <c r="G25" s="66"/>
      <c r="H25" s="64"/>
      <c r="I25" s="64"/>
      <c r="J25" s="65"/>
    </row>
    <row r="26" spans="2:10" ht="79.5" customHeight="1" thickBot="1" x14ac:dyDescent="0.25">
      <c r="B26" s="149" t="s">
        <v>98</v>
      </c>
      <c r="C26" s="150"/>
      <c r="D26" s="150"/>
      <c r="E26" s="150"/>
      <c r="F26" s="150"/>
      <c r="G26" s="150"/>
      <c r="H26" s="150"/>
      <c r="I26" s="150"/>
      <c r="J26" s="151"/>
    </row>
  </sheetData>
  <mergeCells count="5">
    <mergeCell ref="B2:J2"/>
    <mergeCell ref="B4:B5"/>
    <mergeCell ref="C4:F4"/>
    <mergeCell ref="G4:J4"/>
    <mergeCell ref="B26:J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32EA-9F7D-43FA-8625-DCA50E4891DA}">
  <dimension ref="B1:J28"/>
  <sheetViews>
    <sheetView workbookViewId="0">
      <selection activeCell="G24" sqref="G24:J24"/>
    </sheetView>
  </sheetViews>
  <sheetFormatPr defaultRowHeight="12.75" x14ac:dyDescent="0.2"/>
  <cols>
    <col min="1" max="1" width="0.85546875" style="1" customWidth="1"/>
    <col min="2" max="2" width="9.140625" style="1"/>
    <col min="3" max="10" width="10.7109375" style="1" customWidth="1"/>
    <col min="11" max="11" width="2.42578125" style="1" customWidth="1"/>
    <col min="12" max="16384" width="9.140625" style="1"/>
  </cols>
  <sheetData>
    <row r="1" spans="2:10" ht="4.5" customHeight="1" thickBot="1" x14ac:dyDescent="0.25"/>
    <row r="2" spans="2:10" ht="15" x14ac:dyDescent="0.25">
      <c r="B2" s="152" t="s">
        <v>88</v>
      </c>
      <c r="C2" s="153"/>
      <c r="D2" s="153"/>
      <c r="E2" s="153"/>
      <c r="F2" s="153"/>
      <c r="G2" s="153"/>
      <c r="H2" s="153"/>
      <c r="I2" s="153"/>
      <c r="J2" s="154"/>
    </row>
    <row r="3" spans="2:10" ht="15.75" customHeight="1" thickBot="1" x14ac:dyDescent="0.25">
      <c r="B3" s="51" t="s">
        <v>1</v>
      </c>
      <c r="C3" s="52"/>
      <c r="D3" s="52"/>
      <c r="E3" s="52"/>
      <c r="F3" s="52"/>
      <c r="G3" s="52"/>
      <c r="H3" s="52"/>
      <c r="I3" s="52"/>
      <c r="J3" s="76" t="s">
        <v>1</v>
      </c>
    </row>
    <row r="4" spans="2:10" ht="15.75" customHeight="1" x14ac:dyDescent="0.2">
      <c r="B4" s="161" t="s">
        <v>2</v>
      </c>
      <c r="C4" s="158" t="s">
        <v>3</v>
      </c>
      <c r="D4" s="158"/>
      <c r="E4" s="158"/>
      <c r="F4" s="158"/>
      <c r="G4" s="158" t="s">
        <v>4</v>
      </c>
      <c r="H4" s="158"/>
      <c r="I4" s="158"/>
      <c r="J4" s="159"/>
    </row>
    <row r="5" spans="2:10" ht="77.25" thickBot="1" x14ac:dyDescent="0.25">
      <c r="B5" s="162"/>
      <c r="C5" s="54" t="s">
        <v>71</v>
      </c>
      <c r="D5" s="54" t="s">
        <v>72</v>
      </c>
      <c r="E5" s="54" t="s">
        <v>73</v>
      </c>
      <c r="F5" s="54" t="s">
        <v>5</v>
      </c>
      <c r="G5" s="54" t="s">
        <v>74</v>
      </c>
      <c r="H5" s="54" t="s">
        <v>75</v>
      </c>
      <c r="I5" s="54" t="s">
        <v>76</v>
      </c>
      <c r="J5" s="55" t="s">
        <v>5</v>
      </c>
    </row>
    <row r="6" spans="2:10" ht="18.95" customHeight="1" x14ac:dyDescent="0.2">
      <c r="B6" s="57">
        <v>45170</v>
      </c>
      <c r="C6" s="58">
        <v>89.9</v>
      </c>
      <c r="D6" s="59">
        <v>7.5</v>
      </c>
      <c r="E6" s="59">
        <v>2.7</v>
      </c>
      <c r="F6" s="60">
        <v>-87.2</v>
      </c>
      <c r="G6" s="61">
        <v>88.8</v>
      </c>
      <c r="H6" s="59">
        <v>6.6</v>
      </c>
      <c r="I6" s="59">
        <v>4.5999999999999996</v>
      </c>
      <c r="J6" s="60">
        <v>-84.3</v>
      </c>
    </row>
    <row r="7" spans="2:10" ht="18.95" customHeight="1" x14ac:dyDescent="0.2">
      <c r="B7" s="57">
        <v>45231</v>
      </c>
      <c r="C7" s="58">
        <v>89.8</v>
      </c>
      <c r="D7" s="59">
        <v>7.1</v>
      </c>
      <c r="E7" s="59">
        <v>3.1</v>
      </c>
      <c r="F7" s="60">
        <v>-86.7</v>
      </c>
      <c r="G7" s="61">
        <v>91.4</v>
      </c>
      <c r="H7" s="59">
        <v>5.7</v>
      </c>
      <c r="I7" s="59">
        <v>2.9</v>
      </c>
      <c r="J7" s="60">
        <v>-88.5</v>
      </c>
    </row>
    <row r="8" spans="2:10" ht="18.95" customHeight="1" x14ac:dyDescent="0.2">
      <c r="B8" s="57">
        <v>45292</v>
      </c>
      <c r="C8" s="58">
        <v>88.8</v>
      </c>
      <c r="D8" s="59">
        <v>8</v>
      </c>
      <c r="E8" s="59">
        <v>3.2</v>
      </c>
      <c r="F8" s="60">
        <v>-85.6</v>
      </c>
      <c r="G8" s="61">
        <v>91.6</v>
      </c>
      <c r="H8" s="59">
        <v>5.0999999999999996</v>
      </c>
      <c r="I8" s="59">
        <v>3.3</v>
      </c>
      <c r="J8" s="60">
        <v>-88.3</v>
      </c>
    </row>
    <row r="9" spans="2:10" ht="18.95" customHeight="1" x14ac:dyDescent="0.2">
      <c r="B9" s="57">
        <v>45352</v>
      </c>
      <c r="C9" s="58">
        <v>78.099999999999994</v>
      </c>
      <c r="D9" s="59">
        <v>17.2</v>
      </c>
      <c r="E9" s="59">
        <v>4.7</v>
      </c>
      <c r="F9" s="60">
        <v>-73.400000000000006</v>
      </c>
      <c r="G9" s="61">
        <v>82.5</v>
      </c>
      <c r="H9" s="59">
        <v>14.3</v>
      </c>
      <c r="I9" s="59">
        <v>3.1</v>
      </c>
      <c r="J9" s="60">
        <v>-79.400000000000006</v>
      </c>
    </row>
    <row r="10" spans="2:10" ht="18.95" customHeight="1" x14ac:dyDescent="0.2">
      <c r="B10" s="57">
        <v>45413</v>
      </c>
      <c r="C10" s="58">
        <v>78.900000000000006</v>
      </c>
      <c r="D10" s="59">
        <v>15.4</v>
      </c>
      <c r="E10" s="59">
        <v>5.7</v>
      </c>
      <c r="F10" s="60">
        <v>-73.2</v>
      </c>
      <c r="G10" s="61">
        <v>82.3</v>
      </c>
      <c r="H10" s="59">
        <v>15.3</v>
      </c>
      <c r="I10" s="59">
        <v>2.4</v>
      </c>
      <c r="J10" s="60">
        <v>-80</v>
      </c>
    </row>
    <row r="11" spans="2:10" ht="18.95" customHeight="1" x14ac:dyDescent="0.2">
      <c r="B11" s="57">
        <v>45474</v>
      </c>
      <c r="C11" s="58">
        <v>80.5</v>
      </c>
      <c r="D11" s="59">
        <v>15.2</v>
      </c>
      <c r="E11" s="59">
        <v>4.3</v>
      </c>
      <c r="F11" s="60">
        <v>-76.2</v>
      </c>
      <c r="G11" s="61">
        <v>83.6</v>
      </c>
      <c r="H11" s="59">
        <v>13.5</v>
      </c>
      <c r="I11" s="59">
        <v>2.9</v>
      </c>
      <c r="J11" s="60">
        <v>-80.7</v>
      </c>
    </row>
    <row r="12" spans="2:10" ht="18.95" customHeight="1" x14ac:dyDescent="0.2">
      <c r="B12" s="57">
        <v>45536</v>
      </c>
      <c r="C12" s="58">
        <v>80.599999999999994</v>
      </c>
      <c r="D12" s="59">
        <v>14.6</v>
      </c>
      <c r="E12" s="59">
        <v>4.8</v>
      </c>
      <c r="F12" s="60">
        <v>-75.8</v>
      </c>
      <c r="G12" s="61">
        <v>81.8</v>
      </c>
      <c r="H12" s="59">
        <v>15.4</v>
      </c>
      <c r="I12" s="59">
        <v>2.8</v>
      </c>
      <c r="J12" s="60">
        <v>-79</v>
      </c>
    </row>
    <row r="13" spans="2:10" ht="18.95" customHeight="1" x14ac:dyDescent="0.2">
      <c r="B13" s="57">
        <v>45597</v>
      </c>
      <c r="C13" s="58">
        <v>82.3</v>
      </c>
      <c r="D13" s="59">
        <v>14.2</v>
      </c>
      <c r="E13" s="59">
        <v>3.5</v>
      </c>
      <c r="F13" s="60">
        <v>-78.8</v>
      </c>
      <c r="G13" s="61">
        <v>83.6</v>
      </c>
      <c r="H13" s="59">
        <v>12.3</v>
      </c>
      <c r="I13" s="59">
        <v>4.2</v>
      </c>
      <c r="J13" s="60">
        <v>-79.400000000000006</v>
      </c>
    </row>
    <row r="14" spans="2:10" ht="18.95" customHeight="1" x14ac:dyDescent="0.2">
      <c r="B14" s="57">
        <v>45658</v>
      </c>
      <c r="C14" s="58">
        <v>80.400000000000006</v>
      </c>
      <c r="D14" s="59">
        <v>16.5</v>
      </c>
      <c r="E14" s="59">
        <v>3.1</v>
      </c>
      <c r="F14" s="60">
        <v>-77.3</v>
      </c>
      <c r="G14" s="61">
        <v>80.5</v>
      </c>
      <c r="H14" s="59">
        <v>16.3</v>
      </c>
      <c r="I14" s="59">
        <v>3.2</v>
      </c>
      <c r="J14" s="60">
        <v>-77.2</v>
      </c>
    </row>
    <row r="15" spans="2:10" ht="18.95" customHeight="1" x14ac:dyDescent="0.2">
      <c r="B15" s="57">
        <v>45717</v>
      </c>
      <c r="C15" s="58">
        <v>78.3</v>
      </c>
      <c r="D15" s="59">
        <v>17.39</v>
      </c>
      <c r="E15" s="59">
        <v>4.3</v>
      </c>
      <c r="F15" s="60">
        <v>-74</v>
      </c>
      <c r="G15" s="61">
        <v>79.290000000000006</v>
      </c>
      <c r="H15" s="59">
        <v>16.010000000000002</v>
      </c>
      <c r="I15" s="59">
        <v>4.7</v>
      </c>
      <c r="J15" s="60">
        <v>-74.59</v>
      </c>
    </row>
    <row r="16" spans="2:10" s="123" customFormat="1" ht="18.95" customHeight="1" x14ac:dyDescent="0.2">
      <c r="B16" s="57">
        <v>45778</v>
      </c>
      <c r="C16" s="58">
        <v>77.599999999999994</v>
      </c>
      <c r="D16" s="59">
        <v>17.8</v>
      </c>
      <c r="E16" s="59">
        <v>4.5999999999999996</v>
      </c>
      <c r="F16" s="60">
        <v>-73</v>
      </c>
      <c r="G16" s="61">
        <v>77.900000000000006</v>
      </c>
      <c r="H16" s="59">
        <v>16.899999999999999</v>
      </c>
      <c r="I16" s="59">
        <v>5.0999999999999996</v>
      </c>
      <c r="J16" s="60">
        <v>-72.8</v>
      </c>
    </row>
    <row r="17" spans="2:10" s="123" customFormat="1" ht="18.95" customHeight="1" x14ac:dyDescent="0.2">
      <c r="B17" s="57">
        <v>45839</v>
      </c>
      <c r="C17" s="58">
        <v>77.349999999999994</v>
      </c>
      <c r="D17" s="59">
        <v>16.87</v>
      </c>
      <c r="E17" s="59">
        <v>5.78</v>
      </c>
      <c r="F17" s="60">
        <v>-71.569999999999993</v>
      </c>
      <c r="G17" s="61">
        <v>77.849999999999994</v>
      </c>
      <c r="H17" s="59">
        <v>16.649999999999999</v>
      </c>
      <c r="I17" s="59">
        <v>5.51</v>
      </c>
      <c r="J17" s="60">
        <v>-72.339999999999989</v>
      </c>
    </row>
    <row r="18" spans="2:10" s="123" customFormat="1" ht="18.95" customHeight="1" x14ac:dyDescent="0.2">
      <c r="B18" s="57">
        <v>45901</v>
      </c>
      <c r="C18" s="58">
        <v>76.92</v>
      </c>
      <c r="D18" s="59">
        <v>17.920000000000002</v>
      </c>
      <c r="E18" s="59">
        <v>5.16</v>
      </c>
      <c r="F18" s="60">
        <v>-71.760000000000005</v>
      </c>
      <c r="G18" s="61">
        <v>79.459999999999994</v>
      </c>
      <c r="H18" s="59">
        <v>12.04</v>
      </c>
      <c r="I18" s="59">
        <v>8.5</v>
      </c>
      <c r="J18" s="60">
        <v>-70.959999999999994</v>
      </c>
    </row>
    <row r="19" spans="2:10" s="123" customFormat="1" ht="18.95" customHeight="1" x14ac:dyDescent="0.2">
      <c r="B19" s="57">
        <v>45962</v>
      </c>
      <c r="C19" s="58">
        <v>76.91</v>
      </c>
      <c r="D19" s="59">
        <v>11.51</v>
      </c>
      <c r="E19" s="59">
        <v>11.58</v>
      </c>
      <c r="F19" s="60">
        <v>-65.33</v>
      </c>
      <c r="G19" s="61">
        <v>77</v>
      </c>
      <c r="H19" s="59">
        <v>12.32</v>
      </c>
      <c r="I19" s="59">
        <v>10.68</v>
      </c>
      <c r="J19" s="60">
        <v>-66.319999999999993</v>
      </c>
    </row>
    <row r="20" spans="2:10" s="123" customFormat="1" ht="18.95" customHeight="1" x14ac:dyDescent="0.2">
      <c r="B20" s="57">
        <v>46023</v>
      </c>
      <c r="C20" s="58">
        <v>76.23</v>
      </c>
      <c r="D20" s="59">
        <v>14.51</v>
      </c>
      <c r="E20" s="59">
        <v>9.26</v>
      </c>
      <c r="F20" s="60">
        <v>-66.97</v>
      </c>
      <c r="G20" s="61">
        <v>75.150000000000006</v>
      </c>
      <c r="H20" s="59">
        <v>17.78</v>
      </c>
      <c r="I20" s="59">
        <v>7.07</v>
      </c>
      <c r="J20" s="60">
        <v>-68.080000000000013</v>
      </c>
    </row>
    <row r="21" spans="2:10" s="123" customFormat="1" ht="18.95" customHeight="1" x14ac:dyDescent="0.2">
      <c r="B21" s="57">
        <v>46082</v>
      </c>
      <c r="C21" s="58">
        <v>78.150000000000006</v>
      </c>
      <c r="D21" s="59">
        <v>11.58</v>
      </c>
      <c r="E21" s="59">
        <v>10.27</v>
      </c>
      <c r="F21" s="60">
        <v>-67.88000000000001</v>
      </c>
      <c r="G21" s="61">
        <v>76.14</v>
      </c>
      <c r="H21" s="59">
        <v>16.510000000000002</v>
      </c>
      <c r="I21" s="59">
        <v>7.34</v>
      </c>
      <c r="J21" s="60">
        <v>-68.8</v>
      </c>
    </row>
    <row r="22" spans="2:10" s="123" customFormat="1" ht="18.95" customHeight="1" x14ac:dyDescent="0.2">
      <c r="B22" s="57">
        <v>46143</v>
      </c>
      <c r="C22" s="58">
        <v>75.5</v>
      </c>
      <c r="D22" s="59">
        <v>18.2</v>
      </c>
      <c r="E22" s="59">
        <v>6.3</v>
      </c>
      <c r="F22" s="60">
        <v>-69.2</v>
      </c>
      <c r="G22" s="61">
        <v>72.7</v>
      </c>
      <c r="H22" s="59">
        <v>18.899999999999999</v>
      </c>
      <c r="I22" s="59">
        <v>8.4</v>
      </c>
      <c r="J22" s="60">
        <v>-64.3</v>
      </c>
    </row>
    <row r="23" spans="2:10" s="123" customFormat="1" ht="18.95" customHeight="1" x14ac:dyDescent="0.2">
      <c r="B23" s="57">
        <v>46204</v>
      </c>
      <c r="C23" s="58">
        <v>78.599999999999994</v>
      </c>
      <c r="D23" s="59">
        <v>13.88</v>
      </c>
      <c r="E23" s="59">
        <v>7.52</v>
      </c>
      <c r="F23" s="60">
        <v>-71.08</v>
      </c>
      <c r="G23" s="61">
        <v>72.16</v>
      </c>
      <c r="H23" s="59">
        <v>20.309999999999999</v>
      </c>
      <c r="I23" s="59">
        <v>7.53</v>
      </c>
      <c r="J23" s="60">
        <v>-64.63</v>
      </c>
    </row>
    <row r="24" spans="2:10" s="123" customFormat="1" ht="18.95" customHeight="1" x14ac:dyDescent="0.2">
      <c r="B24" s="57">
        <v>46266</v>
      </c>
      <c r="C24" s="58">
        <v>82.13</v>
      </c>
      <c r="D24" s="59">
        <v>9.93</v>
      </c>
      <c r="E24" s="59">
        <v>7.94</v>
      </c>
      <c r="F24" s="60">
        <v>-74.19</v>
      </c>
      <c r="G24" s="61">
        <v>73.92</v>
      </c>
      <c r="H24" s="59">
        <v>19.96</v>
      </c>
      <c r="I24" s="59">
        <v>6.12</v>
      </c>
      <c r="J24" s="60">
        <v>-67.8</v>
      </c>
    </row>
    <row r="25" spans="2:10" ht="18.95" customHeight="1" thickBot="1" x14ac:dyDescent="0.25">
      <c r="B25" s="75"/>
      <c r="C25" s="66"/>
      <c r="D25" s="64"/>
      <c r="E25" s="64"/>
      <c r="F25" s="65"/>
      <c r="G25" s="66"/>
      <c r="H25" s="64"/>
      <c r="I25" s="64"/>
      <c r="J25" s="65"/>
    </row>
    <row r="26" spans="2:10" ht="78" customHeight="1" thickBot="1" x14ac:dyDescent="0.25">
      <c r="B26" s="149" t="s">
        <v>98</v>
      </c>
      <c r="C26" s="150"/>
      <c r="D26" s="150"/>
      <c r="E26" s="150"/>
      <c r="F26" s="150"/>
      <c r="G26" s="150"/>
      <c r="H26" s="150"/>
      <c r="I26" s="150"/>
      <c r="J26" s="151"/>
    </row>
    <row r="28" spans="2:10" x14ac:dyDescent="0.2">
      <c r="C28" s="67"/>
      <c r="D28" s="67"/>
      <c r="E28" s="67"/>
      <c r="F28" s="67"/>
      <c r="G28" s="67"/>
      <c r="H28" s="67"/>
      <c r="I28" s="67"/>
      <c r="J28" s="67"/>
    </row>
  </sheetData>
  <mergeCells count="5">
    <mergeCell ref="B2:J2"/>
    <mergeCell ref="B4:B5"/>
    <mergeCell ref="C4:F4"/>
    <mergeCell ref="G4:J4"/>
    <mergeCell ref="B26:J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F801-BF78-4DF0-9432-520CBD87E3DA}">
  <dimension ref="B1:J26"/>
  <sheetViews>
    <sheetView zoomScaleNormal="100" workbookViewId="0">
      <selection activeCell="B22" sqref="B22:B24"/>
    </sheetView>
  </sheetViews>
  <sheetFormatPr defaultRowHeight="12.75" x14ac:dyDescent="0.2"/>
  <cols>
    <col min="1" max="1" width="0.7109375" style="1" customWidth="1"/>
    <col min="2" max="2" width="9.140625" style="1"/>
    <col min="3" max="10" width="10.7109375" style="1" customWidth="1"/>
    <col min="11" max="11" width="2.140625" style="1" customWidth="1"/>
    <col min="12" max="16384" width="9.140625" style="1"/>
  </cols>
  <sheetData>
    <row r="1" spans="2:10" ht="3" customHeight="1" thickBot="1" x14ac:dyDescent="0.25"/>
    <row r="2" spans="2:10" ht="15" x14ac:dyDescent="0.25">
      <c r="B2" s="152" t="s">
        <v>30</v>
      </c>
      <c r="C2" s="153"/>
      <c r="D2" s="153"/>
      <c r="E2" s="153"/>
      <c r="F2" s="153"/>
      <c r="G2" s="153"/>
      <c r="H2" s="153"/>
      <c r="I2" s="153"/>
      <c r="J2" s="154"/>
    </row>
    <row r="3" spans="2:10" ht="15.75" customHeight="1" thickBot="1" x14ac:dyDescent="0.25">
      <c r="B3" s="51"/>
      <c r="C3" s="52"/>
      <c r="D3" s="52"/>
      <c r="E3" s="52"/>
      <c r="F3" s="52"/>
      <c r="G3" s="52"/>
      <c r="H3" s="52"/>
      <c r="I3" s="52"/>
      <c r="J3" s="76" t="s">
        <v>1</v>
      </c>
    </row>
    <row r="4" spans="2:10" ht="15.75" customHeight="1" x14ac:dyDescent="0.2">
      <c r="B4" s="161" t="s">
        <v>2</v>
      </c>
      <c r="C4" s="158" t="s">
        <v>3</v>
      </c>
      <c r="D4" s="158"/>
      <c r="E4" s="158"/>
      <c r="F4" s="158"/>
      <c r="G4" s="158" t="s">
        <v>89</v>
      </c>
      <c r="H4" s="158"/>
      <c r="I4" s="158"/>
      <c r="J4" s="159"/>
    </row>
    <row r="5" spans="2:10" ht="39" thickBot="1" x14ac:dyDescent="0.25">
      <c r="B5" s="162"/>
      <c r="C5" s="54" t="s">
        <v>8</v>
      </c>
      <c r="D5" s="54" t="s">
        <v>9</v>
      </c>
      <c r="E5" s="54" t="s">
        <v>10</v>
      </c>
      <c r="F5" s="54" t="s">
        <v>5</v>
      </c>
      <c r="G5" s="54" t="s">
        <v>11</v>
      </c>
      <c r="H5" s="54" t="s">
        <v>87</v>
      </c>
      <c r="I5" s="54" t="s">
        <v>12</v>
      </c>
      <c r="J5" s="55" t="s">
        <v>5</v>
      </c>
    </row>
    <row r="6" spans="2:10" ht="18.95" customHeight="1" x14ac:dyDescent="0.2">
      <c r="B6" s="57">
        <v>45170</v>
      </c>
      <c r="C6" s="58">
        <v>23.6</v>
      </c>
      <c r="D6" s="59">
        <v>43.9</v>
      </c>
      <c r="E6" s="59">
        <v>32.5</v>
      </c>
      <c r="F6" s="60">
        <v>-8.9</v>
      </c>
      <c r="G6" s="61">
        <v>55.8</v>
      </c>
      <c r="H6" s="59">
        <v>32.299999999999997</v>
      </c>
      <c r="I6" s="59">
        <v>11.9</v>
      </c>
      <c r="J6" s="60">
        <v>43.9</v>
      </c>
    </row>
    <row r="7" spans="2:10" ht="18.95" customHeight="1" x14ac:dyDescent="0.2">
      <c r="B7" s="57">
        <v>45231</v>
      </c>
      <c r="C7" s="58">
        <v>24.5</v>
      </c>
      <c r="D7" s="59">
        <v>43.1</v>
      </c>
      <c r="E7" s="59">
        <v>32.4</v>
      </c>
      <c r="F7" s="60">
        <v>-8</v>
      </c>
      <c r="G7" s="61">
        <v>56.8</v>
      </c>
      <c r="H7" s="59">
        <v>31.3</v>
      </c>
      <c r="I7" s="59">
        <v>11.9</v>
      </c>
      <c r="J7" s="60">
        <v>45</v>
      </c>
    </row>
    <row r="8" spans="2:10" ht="18.95" customHeight="1" x14ac:dyDescent="0.2">
      <c r="B8" s="57">
        <v>45292</v>
      </c>
      <c r="C8" s="58">
        <v>22.4</v>
      </c>
      <c r="D8" s="59">
        <v>47.3</v>
      </c>
      <c r="E8" s="59">
        <v>30.3</v>
      </c>
      <c r="F8" s="60">
        <v>-7.9</v>
      </c>
      <c r="G8" s="61">
        <v>57.4</v>
      </c>
      <c r="H8" s="59">
        <v>30.7</v>
      </c>
      <c r="I8" s="59">
        <v>11.9</v>
      </c>
      <c r="J8" s="60">
        <v>45.5</v>
      </c>
    </row>
    <row r="9" spans="2:10" ht="18.95" customHeight="1" x14ac:dyDescent="0.2">
      <c r="B9" s="57">
        <v>45352</v>
      </c>
      <c r="C9" s="58">
        <v>23.8</v>
      </c>
      <c r="D9" s="59">
        <v>47.6</v>
      </c>
      <c r="E9" s="59">
        <v>28.6</v>
      </c>
      <c r="F9" s="60">
        <v>-4.8</v>
      </c>
      <c r="G9" s="61">
        <v>59</v>
      </c>
      <c r="H9" s="59">
        <v>30.3</v>
      </c>
      <c r="I9" s="59">
        <v>10.7</v>
      </c>
      <c r="J9" s="60">
        <v>48.4</v>
      </c>
    </row>
    <row r="10" spans="2:10" ht="18.95" customHeight="1" x14ac:dyDescent="0.2">
      <c r="B10" s="57">
        <v>45413</v>
      </c>
      <c r="C10" s="58">
        <v>22.5</v>
      </c>
      <c r="D10" s="59">
        <v>46.4</v>
      </c>
      <c r="E10" s="59">
        <v>31.2</v>
      </c>
      <c r="F10" s="60">
        <v>-8.6999999999999993</v>
      </c>
      <c r="G10" s="61">
        <v>57.4</v>
      </c>
      <c r="H10" s="59">
        <v>31</v>
      </c>
      <c r="I10" s="59">
        <v>11.6</v>
      </c>
      <c r="J10" s="60">
        <v>45.8</v>
      </c>
    </row>
    <row r="11" spans="2:10" ht="18.95" customHeight="1" x14ac:dyDescent="0.2">
      <c r="B11" s="57">
        <v>45474</v>
      </c>
      <c r="C11" s="58">
        <v>22.7</v>
      </c>
      <c r="D11" s="59">
        <v>45</v>
      </c>
      <c r="E11" s="59">
        <v>32.4</v>
      </c>
      <c r="F11" s="60">
        <v>-9.6999999999999993</v>
      </c>
      <c r="G11" s="61">
        <v>57.5</v>
      </c>
      <c r="H11" s="59">
        <v>30.5</v>
      </c>
      <c r="I11" s="59">
        <v>12</v>
      </c>
      <c r="J11" s="60">
        <v>45.5</v>
      </c>
    </row>
    <row r="12" spans="2:10" ht="18.95" customHeight="1" x14ac:dyDescent="0.2">
      <c r="B12" s="57">
        <v>45536</v>
      </c>
      <c r="C12" s="58">
        <v>23.3</v>
      </c>
      <c r="D12" s="59">
        <v>44.1</v>
      </c>
      <c r="E12" s="59">
        <v>32.6</v>
      </c>
      <c r="F12" s="60">
        <v>-9.3000000000000007</v>
      </c>
      <c r="G12" s="61">
        <v>57.1</v>
      </c>
      <c r="H12" s="59">
        <v>31.9</v>
      </c>
      <c r="I12" s="59">
        <v>11</v>
      </c>
      <c r="J12" s="60">
        <v>46.2</v>
      </c>
    </row>
    <row r="13" spans="2:10" ht="18.95" customHeight="1" x14ac:dyDescent="0.2">
      <c r="B13" s="57">
        <v>45597</v>
      </c>
      <c r="C13" s="58">
        <v>24.2</v>
      </c>
      <c r="D13" s="59">
        <v>43.3</v>
      </c>
      <c r="E13" s="59">
        <v>32.5</v>
      </c>
      <c r="F13" s="60">
        <v>-8.3000000000000007</v>
      </c>
      <c r="G13" s="61">
        <v>58.2</v>
      </c>
      <c r="H13" s="59">
        <v>30.1</v>
      </c>
      <c r="I13" s="59">
        <v>11.7</v>
      </c>
      <c r="J13" s="60">
        <v>46.5</v>
      </c>
    </row>
    <row r="14" spans="2:10" ht="18.95" customHeight="1" x14ac:dyDescent="0.2">
      <c r="B14" s="57">
        <v>45658</v>
      </c>
      <c r="C14" s="58">
        <v>23.7</v>
      </c>
      <c r="D14" s="59">
        <v>45.6</v>
      </c>
      <c r="E14" s="59">
        <v>30.7</v>
      </c>
      <c r="F14" s="60">
        <v>-7</v>
      </c>
      <c r="G14" s="61">
        <v>58.4</v>
      </c>
      <c r="H14" s="59">
        <v>30.1</v>
      </c>
      <c r="I14" s="59">
        <v>11.5</v>
      </c>
      <c r="J14" s="60">
        <v>47</v>
      </c>
    </row>
    <row r="15" spans="2:10" ht="18.95" customHeight="1" x14ac:dyDescent="0.2">
      <c r="B15" s="57">
        <v>45717</v>
      </c>
      <c r="C15" s="58">
        <v>24.74</v>
      </c>
      <c r="D15" s="59">
        <v>45.34</v>
      </c>
      <c r="E15" s="59">
        <v>29.92</v>
      </c>
      <c r="F15" s="60">
        <v>-5.1800000000000033</v>
      </c>
      <c r="G15" s="61">
        <v>58.95</v>
      </c>
      <c r="H15" s="59">
        <v>30.8</v>
      </c>
      <c r="I15" s="59">
        <v>10.25</v>
      </c>
      <c r="J15" s="60">
        <v>48.7</v>
      </c>
    </row>
    <row r="16" spans="2:10" s="123" customFormat="1" ht="18.95" customHeight="1" x14ac:dyDescent="0.2">
      <c r="B16" s="57">
        <v>45778</v>
      </c>
      <c r="C16" s="58">
        <v>25.3</v>
      </c>
      <c r="D16" s="59">
        <v>44.7</v>
      </c>
      <c r="E16" s="59">
        <v>30</v>
      </c>
      <c r="F16" s="60">
        <v>-4.8</v>
      </c>
      <c r="G16" s="61">
        <v>59.7</v>
      </c>
      <c r="H16" s="59">
        <v>29.9</v>
      </c>
      <c r="I16" s="59">
        <v>10.4</v>
      </c>
      <c r="J16" s="60">
        <v>49.3</v>
      </c>
    </row>
    <row r="17" spans="2:10" s="123" customFormat="1" ht="18.95" customHeight="1" x14ac:dyDescent="0.2">
      <c r="B17" s="57">
        <v>45839</v>
      </c>
      <c r="C17" s="58">
        <v>23.73</v>
      </c>
      <c r="D17" s="59">
        <v>49.44</v>
      </c>
      <c r="E17" s="59">
        <v>26.83</v>
      </c>
      <c r="F17" s="60">
        <v>-3.0999999999999979</v>
      </c>
      <c r="G17" s="61">
        <v>57.96</v>
      </c>
      <c r="H17" s="59">
        <v>35.270000000000003</v>
      </c>
      <c r="I17" s="59">
        <v>6.76</v>
      </c>
      <c r="J17" s="60">
        <v>51.2</v>
      </c>
    </row>
    <row r="18" spans="2:10" s="123" customFormat="1" ht="18.95" customHeight="1" x14ac:dyDescent="0.2">
      <c r="B18" s="57">
        <v>45901</v>
      </c>
      <c r="C18" s="58">
        <v>24.45</v>
      </c>
      <c r="D18" s="59">
        <v>49.02</v>
      </c>
      <c r="E18" s="59">
        <v>26.54</v>
      </c>
      <c r="F18" s="60">
        <v>-2.09</v>
      </c>
      <c r="G18" s="61">
        <v>56.28</v>
      </c>
      <c r="H18" s="59">
        <v>38.82</v>
      </c>
      <c r="I18" s="59">
        <v>4.8899999999999997</v>
      </c>
      <c r="J18" s="60">
        <v>51.39</v>
      </c>
    </row>
    <row r="19" spans="2:10" s="123" customFormat="1" ht="18.95" customHeight="1" x14ac:dyDescent="0.2">
      <c r="B19" s="57">
        <v>45962</v>
      </c>
      <c r="C19" s="58">
        <v>24.06</v>
      </c>
      <c r="D19" s="59">
        <v>49.68</v>
      </c>
      <c r="E19" s="59">
        <v>26.26</v>
      </c>
      <c r="F19" s="60">
        <v>-2.2000000000000028</v>
      </c>
      <c r="G19" s="61">
        <v>59.05</v>
      </c>
      <c r="H19" s="59">
        <v>33.6</v>
      </c>
      <c r="I19" s="59">
        <v>7.36</v>
      </c>
      <c r="J19" s="60">
        <v>51.69</v>
      </c>
    </row>
    <row r="20" spans="2:10" s="123" customFormat="1" ht="18.95" customHeight="1" x14ac:dyDescent="0.2">
      <c r="B20" s="57">
        <v>46023</v>
      </c>
      <c r="C20" s="58">
        <v>22.57</v>
      </c>
      <c r="D20" s="59">
        <v>51.58</v>
      </c>
      <c r="E20" s="59">
        <v>25.85</v>
      </c>
      <c r="F20" s="60">
        <v>-3.2800000000000011</v>
      </c>
      <c r="G20" s="61">
        <v>57.11</v>
      </c>
      <c r="H20" s="59">
        <v>37.78</v>
      </c>
      <c r="I20" s="59">
        <v>5.1100000000000003</v>
      </c>
      <c r="J20" s="60">
        <v>52</v>
      </c>
    </row>
    <row r="21" spans="2:10" s="123" customFormat="1" ht="18.95" customHeight="1" x14ac:dyDescent="0.2">
      <c r="B21" s="57">
        <v>46082</v>
      </c>
      <c r="C21" s="58">
        <v>21.55</v>
      </c>
      <c r="D21" s="59">
        <v>50.22</v>
      </c>
      <c r="E21" s="59">
        <v>28.23</v>
      </c>
      <c r="F21" s="60">
        <v>-6.68</v>
      </c>
      <c r="G21" s="61">
        <v>55.86</v>
      </c>
      <c r="H21" s="59">
        <v>33.979999999999997</v>
      </c>
      <c r="I21" s="59">
        <v>10.16</v>
      </c>
      <c r="J21" s="60">
        <v>45.7</v>
      </c>
    </row>
    <row r="22" spans="2:10" s="123" customFormat="1" ht="18.95" customHeight="1" x14ac:dyDescent="0.2">
      <c r="B22" s="57">
        <v>46143</v>
      </c>
      <c r="C22" s="58">
        <v>21.6</v>
      </c>
      <c r="D22" s="59">
        <v>51</v>
      </c>
      <c r="E22" s="59">
        <v>27.4</v>
      </c>
      <c r="F22" s="60">
        <v>-5.8</v>
      </c>
      <c r="G22" s="61">
        <v>51.4</v>
      </c>
      <c r="H22" s="59">
        <v>36.200000000000003</v>
      </c>
      <c r="I22" s="59">
        <v>12.5</v>
      </c>
      <c r="J22" s="60">
        <v>38.9</v>
      </c>
    </row>
    <row r="23" spans="2:10" s="123" customFormat="1" ht="18.95" customHeight="1" x14ac:dyDescent="0.2">
      <c r="B23" s="57">
        <v>46204</v>
      </c>
      <c r="C23" s="58">
        <v>20.92</v>
      </c>
      <c r="D23" s="59">
        <v>49.52</v>
      </c>
      <c r="E23" s="59">
        <v>29.57</v>
      </c>
      <c r="F23" s="60">
        <v>-8.6499999999999986</v>
      </c>
      <c r="G23" s="61">
        <v>46.5</v>
      </c>
      <c r="H23" s="59">
        <v>39.07</v>
      </c>
      <c r="I23" s="59">
        <v>14.43</v>
      </c>
      <c r="J23" s="60">
        <v>32.07</v>
      </c>
    </row>
    <row r="24" spans="2:10" s="123" customFormat="1" ht="18.95" customHeight="1" x14ac:dyDescent="0.2">
      <c r="B24" s="57">
        <v>46266</v>
      </c>
      <c r="C24" s="58">
        <v>20.58</v>
      </c>
      <c r="D24" s="59">
        <v>48.94</v>
      </c>
      <c r="E24" s="59">
        <v>30.48</v>
      </c>
      <c r="F24" s="60">
        <v>-9.9000000000000021</v>
      </c>
      <c r="G24" s="61">
        <v>46.8</v>
      </c>
      <c r="H24" s="59">
        <v>38.020000000000003</v>
      </c>
      <c r="I24" s="59">
        <v>15.18</v>
      </c>
      <c r="J24" s="60">
        <v>31.619999999999997</v>
      </c>
    </row>
    <row r="25" spans="2:10" ht="18.95" customHeight="1" thickBot="1" x14ac:dyDescent="0.25">
      <c r="B25" s="57"/>
      <c r="C25" s="58"/>
      <c r="D25" s="59"/>
      <c r="E25" s="59"/>
      <c r="F25" s="60"/>
      <c r="G25" s="61"/>
      <c r="H25" s="59"/>
      <c r="I25" s="59"/>
      <c r="J25" s="60"/>
    </row>
    <row r="26" spans="2:10" ht="80.25" customHeight="1" thickBot="1" x14ac:dyDescent="0.25">
      <c r="B26" s="149" t="s">
        <v>98</v>
      </c>
      <c r="C26" s="150"/>
      <c r="D26" s="150"/>
      <c r="E26" s="150"/>
      <c r="F26" s="150"/>
      <c r="G26" s="150"/>
      <c r="H26" s="150"/>
      <c r="I26" s="150"/>
      <c r="J26" s="151"/>
    </row>
  </sheetData>
  <mergeCells count="5">
    <mergeCell ref="B2:J2"/>
    <mergeCell ref="B4:B5"/>
    <mergeCell ref="C4:F4"/>
    <mergeCell ref="G4:J4"/>
    <mergeCell ref="B26:J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21FD-5E1B-423A-A12F-415128D08826}">
  <dimension ref="B1:J26"/>
  <sheetViews>
    <sheetView workbookViewId="0">
      <selection activeCell="B22" sqref="B22:B24"/>
    </sheetView>
  </sheetViews>
  <sheetFormatPr defaultRowHeight="12.75" x14ac:dyDescent="0.2"/>
  <cols>
    <col min="1" max="1" width="0.5703125" style="1" customWidth="1"/>
    <col min="2" max="2" width="9.140625" style="1"/>
    <col min="3" max="10" width="10.7109375" style="1" customWidth="1"/>
    <col min="11" max="11" width="2" style="1" customWidth="1"/>
    <col min="12" max="16384" width="9.140625" style="1"/>
  </cols>
  <sheetData>
    <row r="1" spans="2:10" ht="3" customHeight="1" thickBot="1" x14ac:dyDescent="0.25"/>
    <row r="2" spans="2:10" ht="15" x14ac:dyDescent="0.25">
      <c r="B2" s="152" t="s">
        <v>31</v>
      </c>
      <c r="C2" s="153"/>
      <c r="D2" s="153"/>
      <c r="E2" s="153"/>
      <c r="F2" s="153"/>
      <c r="G2" s="153"/>
      <c r="H2" s="153"/>
      <c r="I2" s="153"/>
      <c r="J2" s="154"/>
    </row>
    <row r="3" spans="2:10" ht="15.75" customHeight="1" thickBot="1" x14ac:dyDescent="0.25">
      <c r="B3" s="51"/>
      <c r="C3" s="52"/>
      <c r="D3" s="52"/>
      <c r="E3" s="52"/>
      <c r="F3" s="52"/>
      <c r="G3" s="52"/>
      <c r="H3" s="52"/>
      <c r="I3" s="52"/>
      <c r="J3" s="76" t="s">
        <v>1</v>
      </c>
    </row>
    <row r="4" spans="2:10" ht="15.75" customHeight="1" x14ac:dyDescent="0.2">
      <c r="B4" s="161" t="s">
        <v>2</v>
      </c>
      <c r="C4" s="158" t="s">
        <v>3</v>
      </c>
      <c r="D4" s="158"/>
      <c r="E4" s="158"/>
      <c r="F4" s="158"/>
      <c r="G4" s="158" t="s">
        <v>89</v>
      </c>
      <c r="H4" s="158"/>
      <c r="I4" s="158"/>
      <c r="J4" s="159"/>
    </row>
    <row r="5" spans="2:10" ht="39" thickBot="1" x14ac:dyDescent="0.25">
      <c r="B5" s="162"/>
      <c r="C5" s="54" t="s">
        <v>8</v>
      </c>
      <c r="D5" s="54" t="s">
        <v>9</v>
      </c>
      <c r="E5" s="54" t="s">
        <v>10</v>
      </c>
      <c r="F5" s="54" t="s">
        <v>5</v>
      </c>
      <c r="G5" s="54" t="s">
        <v>11</v>
      </c>
      <c r="H5" s="54" t="s">
        <v>87</v>
      </c>
      <c r="I5" s="54" t="s">
        <v>12</v>
      </c>
      <c r="J5" s="55" t="s">
        <v>5</v>
      </c>
    </row>
    <row r="6" spans="2:10" ht="18.95" customHeight="1" x14ac:dyDescent="0.2">
      <c r="B6" s="57">
        <v>45170</v>
      </c>
      <c r="C6" s="58">
        <v>81.2</v>
      </c>
      <c r="D6" s="59">
        <v>15</v>
      </c>
      <c r="E6" s="59">
        <v>3.8</v>
      </c>
      <c r="F6" s="60">
        <v>77.400000000000006</v>
      </c>
      <c r="G6" s="61">
        <v>84.2</v>
      </c>
      <c r="H6" s="59">
        <v>12.3</v>
      </c>
      <c r="I6" s="59">
        <v>3.5</v>
      </c>
      <c r="J6" s="60">
        <v>80.599999999999994</v>
      </c>
    </row>
    <row r="7" spans="2:10" ht="18.95" customHeight="1" x14ac:dyDescent="0.2">
      <c r="B7" s="57">
        <v>45231</v>
      </c>
      <c r="C7" s="58">
        <v>80.8</v>
      </c>
      <c r="D7" s="59">
        <v>16</v>
      </c>
      <c r="E7" s="59">
        <v>3.2</v>
      </c>
      <c r="F7" s="60">
        <v>77.599999999999994</v>
      </c>
      <c r="G7" s="61">
        <v>84.6</v>
      </c>
      <c r="H7" s="59">
        <v>12.4</v>
      </c>
      <c r="I7" s="59">
        <v>3</v>
      </c>
      <c r="J7" s="60">
        <v>81.599999999999994</v>
      </c>
    </row>
    <row r="8" spans="2:10" ht="18.95" customHeight="1" x14ac:dyDescent="0.2">
      <c r="B8" s="57">
        <v>45292</v>
      </c>
      <c r="C8" s="58">
        <v>80</v>
      </c>
      <c r="D8" s="59">
        <v>16.5</v>
      </c>
      <c r="E8" s="59">
        <v>3.5</v>
      </c>
      <c r="F8" s="60">
        <v>76.5</v>
      </c>
      <c r="G8" s="61">
        <v>84.4</v>
      </c>
      <c r="H8" s="59">
        <v>12.2</v>
      </c>
      <c r="I8" s="59">
        <v>3.3</v>
      </c>
      <c r="J8" s="60">
        <v>81.099999999999994</v>
      </c>
    </row>
    <row r="9" spans="2:10" ht="18.95" customHeight="1" x14ac:dyDescent="0.2">
      <c r="B9" s="57">
        <v>45352</v>
      </c>
      <c r="C9" s="58">
        <v>82.5</v>
      </c>
      <c r="D9" s="59">
        <v>14.4</v>
      </c>
      <c r="E9" s="59">
        <v>3.1</v>
      </c>
      <c r="F9" s="60">
        <v>79.5</v>
      </c>
      <c r="G9" s="61">
        <v>85.7</v>
      </c>
      <c r="H9" s="59">
        <v>11.6</v>
      </c>
      <c r="I9" s="59">
        <v>2.8</v>
      </c>
      <c r="J9" s="60">
        <v>82.9</v>
      </c>
    </row>
    <row r="10" spans="2:10" ht="18.95" customHeight="1" x14ac:dyDescent="0.2">
      <c r="B10" s="57">
        <v>45413</v>
      </c>
      <c r="C10" s="58">
        <v>85</v>
      </c>
      <c r="D10" s="59">
        <v>12.3</v>
      </c>
      <c r="E10" s="59">
        <v>2.7</v>
      </c>
      <c r="F10" s="60">
        <v>82.3</v>
      </c>
      <c r="G10" s="61">
        <v>87.1</v>
      </c>
      <c r="H10" s="59">
        <v>10.4</v>
      </c>
      <c r="I10" s="59">
        <v>2.5</v>
      </c>
      <c r="J10" s="60">
        <v>84.7</v>
      </c>
    </row>
    <row r="11" spans="2:10" ht="18.95" customHeight="1" x14ac:dyDescent="0.2">
      <c r="B11" s="57">
        <v>45474</v>
      </c>
      <c r="C11" s="58">
        <v>86.2</v>
      </c>
      <c r="D11" s="59">
        <v>11.5</v>
      </c>
      <c r="E11" s="59">
        <v>2.2000000000000002</v>
      </c>
      <c r="F11" s="60">
        <v>84</v>
      </c>
      <c r="G11" s="61">
        <v>88.5</v>
      </c>
      <c r="H11" s="59">
        <v>9.1</v>
      </c>
      <c r="I11" s="59">
        <v>2.4</v>
      </c>
      <c r="J11" s="60">
        <v>86.1</v>
      </c>
    </row>
    <row r="12" spans="2:10" ht="18.95" customHeight="1" x14ac:dyDescent="0.2">
      <c r="B12" s="57">
        <v>45536</v>
      </c>
      <c r="C12" s="58">
        <v>87.9</v>
      </c>
      <c r="D12" s="59">
        <v>9.6999999999999993</v>
      </c>
      <c r="E12" s="59">
        <v>2.5</v>
      </c>
      <c r="F12" s="60">
        <v>85.4</v>
      </c>
      <c r="G12" s="61">
        <v>88.8</v>
      </c>
      <c r="H12" s="59">
        <v>9.1999999999999993</v>
      </c>
      <c r="I12" s="59">
        <v>2</v>
      </c>
      <c r="J12" s="60">
        <v>86.9</v>
      </c>
    </row>
    <row r="13" spans="2:10" ht="18.95" customHeight="1" x14ac:dyDescent="0.2">
      <c r="B13" s="57">
        <v>45597</v>
      </c>
      <c r="C13" s="58">
        <v>88.5</v>
      </c>
      <c r="D13" s="59">
        <v>9.6</v>
      </c>
      <c r="E13" s="59">
        <v>1.9</v>
      </c>
      <c r="F13" s="60">
        <v>86.6</v>
      </c>
      <c r="G13" s="61">
        <v>90</v>
      </c>
      <c r="H13" s="59">
        <v>8</v>
      </c>
      <c r="I13" s="59">
        <v>2</v>
      </c>
      <c r="J13" s="60">
        <v>88</v>
      </c>
    </row>
    <row r="14" spans="2:10" ht="18.95" customHeight="1" x14ac:dyDescent="0.2">
      <c r="B14" s="57">
        <v>45658</v>
      </c>
      <c r="C14" s="58">
        <v>87.9</v>
      </c>
      <c r="D14" s="59">
        <v>10.3</v>
      </c>
      <c r="E14" s="59">
        <v>1.9</v>
      </c>
      <c r="F14" s="60">
        <v>86</v>
      </c>
      <c r="G14" s="61">
        <v>89</v>
      </c>
      <c r="H14" s="59">
        <v>9.3000000000000007</v>
      </c>
      <c r="I14" s="59">
        <v>1.8</v>
      </c>
      <c r="J14" s="60">
        <v>87.2</v>
      </c>
    </row>
    <row r="15" spans="2:10" ht="18.95" customHeight="1" x14ac:dyDescent="0.2">
      <c r="B15" s="57">
        <v>45717</v>
      </c>
      <c r="C15" s="58">
        <v>90.46</v>
      </c>
      <c r="D15" s="59">
        <v>7.31</v>
      </c>
      <c r="E15" s="59">
        <v>2.23</v>
      </c>
      <c r="F15" s="60">
        <v>88.22999999999999</v>
      </c>
      <c r="G15" s="61">
        <v>90.76</v>
      </c>
      <c r="H15" s="59">
        <v>7.39</v>
      </c>
      <c r="I15" s="59">
        <v>1.85</v>
      </c>
      <c r="J15" s="60">
        <v>88.910000000000011</v>
      </c>
    </row>
    <row r="16" spans="2:10" s="123" customFormat="1" ht="18.95" customHeight="1" x14ac:dyDescent="0.2">
      <c r="B16" s="57">
        <v>45778</v>
      </c>
      <c r="C16" s="58">
        <v>88.1</v>
      </c>
      <c r="D16" s="59">
        <v>10</v>
      </c>
      <c r="E16" s="59">
        <v>2</v>
      </c>
      <c r="F16" s="60">
        <v>86.1</v>
      </c>
      <c r="G16" s="61">
        <v>89.7</v>
      </c>
      <c r="H16" s="59">
        <v>8.3000000000000007</v>
      </c>
      <c r="I16" s="59">
        <v>2</v>
      </c>
      <c r="J16" s="60">
        <v>87.8</v>
      </c>
    </row>
    <row r="17" spans="2:10" s="123" customFormat="1" ht="18.95" customHeight="1" x14ac:dyDescent="0.2">
      <c r="B17" s="57">
        <v>45839</v>
      </c>
      <c r="C17" s="58">
        <v>87</v>
      </c>
      <c r="D17" s="59">
        <v>12.3</v>
      </c>
      <c r="E17" s="59">
        <v>0.69</v>
      </c>
      <c r="F17" s="60">
        <v>86.31</v>
      </c>
      <c r="G17" s="61">
        <v>90.86</v>
      </c>
      <c r="H17" s="59">
        <v>6.28</v>
      </c>
      <c r="I17" s="59">
        <v>2.85</v>
      </c>
      <c r="J17" s="60">
        <v>88.01</v>
      </c>
    </row>
    <row r="18" spans="2:10" s="123" customFormat="1" ht="18.95" customHeight="1" x14ac:dyDescent="0.2">
      <c r="B18" s="57">
        <v>45901</v>
      </c>
      <c r="C18" s="58">
        <v>88.19</v>
      </c>
      <c r="D18" s="59">
        <v>10.32</v>
      </c>
      <c r="E18" s="59">
        <v>1.49</v>
      </c>
      <c r="F18" s="60">
        <v>86.7</v>
      </c>
      <c r="G18" s="61">
        <v>87.82</v>
      </c>
      <c r="H18" s="59">
        <v>11.06</v>
      </c>
      <c r="I18" s="59">
        <v>1.1200000000000001</v>
      </c>
      <c r="J18" s="60">
        <v>86.699999999999989</v>
      </c>
    </row>
    <row r="19" spans="2:10" s="123" customFormat="1" ht="18.95" customHeight="1" x14ac:dyDescent="0.2">
      <c r="B19" s="57">
        <v>45962</v>
      </c>
      <c r="C19" s="58">
        <v>84.53</v>
      </c>
      <c r="D19" s="59">
        <v>12.45</v>
      </c>
      <c r="E19" s="59">
        <v>3.02</v>
      </c>
      <c r="F19" s="60">
        <v>81.510000000000005</v>
      </c>
      <c r="G19" s="61">
        <v>88.79</v>
      </c>
      <c r="H19" s="59">
        <v>9.32</v>
      </c>
      <c r="I19" s="59">
        <v>1.88</v>
      </c>
      <c r="J19" s="60">
        <v>86.910000000000011</v>
      </c>
    </row>
    <row r="20" spans="2:10" s="123" customFormat="1" ht="18.95" customHeight="1" x14ac:dyDescent="0.2">
      <c r="B20" s="57">
        <v>46023</v>
      </c>
      <c r="C20" s="58">
        <v>82.88</v>
      </c>
      <c r="D20" s="59">
        <v>16.239999999999998</v>
      </c>
      <c r="E20" s="59">
        <v>0.88</v>
      </c>
      <c r="F20" s="60">
        <v>82</v>
      </c>
      <c r="G20" s="61">
        <v>89.9</v>
      </c>
      <c r="H20" s="59">
        <v>8.18</v>
      </c>
      <c r="I20" s="59">
        <v>1.92</v>
      </c>
      <c r="J20" s="60">
        <v>87.98</v>
      </c>
    </row>
    <row r="21" spans="2:10" s="123" customFormat="1" ht="18.95" customHeight="1" x14ac:dyDescent="0.2">
      <c r="B21" s="57">
        <v>46082</v>
      </c>
      <c r="C21" s="58">
        <v>84.96</v>
      </c>
      <c r="D21" s="59">
        <v>12.35</v>
      </c>
      <c r="E21" s="59">
        <v>2.69</v>
      </c>
      <c r="F21" s="60">
        <v>82.27</v>
      </c>
      <c r="G21" s="61">
        <v>90.99</v>
      </c>
      <c r="H21" s="59">
        <v>6.32</v>
      </c>
      <c r="I21" s="59">
        <v>2.69</v>
      </c>
      <c r="J21" s="60">
        <v>88.3</v>
      </c>
    </row>
    <row r="22" spans="2:10" s="123" customFormat="1" ht="18.95" customHeight="1" x14ac:dyDescent="0.2">
      <c r="B22" s="57">
        <v>46143</v>
      </c>
      <c r="C22" s="58">
        <v>78.2</v>
      </c>
      <c r="D22" s="59">
        <v>19</v>
      </c>
      <c r="E22" s="59">
        <v>2.8</v>
      </c>
      <c r="F22" s="60">
        <v>75.400000000000006</v>
      </c>
      <c r="G22" s="61">
        <v>79.7</v>
      </c>
      <c r="H22" s="59">
        <v>16.7</v>
      </c>
      <c r="I22" s="59">
        <v>3.7</v>
      </c>
      <c r="J22" s="60">
        <v>76</v>
      </c>
    </row>
    <row r="23" spans="2:10" s="123" customFormat="1" ht="18.95" customHeight="1" x14ac:dyDescent="0.2">
      <c r="B23" s="57">
        <v>46204</v>
      </c>
      <c r="C23" s="58">
        <v>80</v>
      </c>
      <c r="D23" s="59">
        <v>17.350000000000001</v>
      </c>
      <c r="E23" s="59">
        <v>2.65</v>
      </c>
      <c r="F23" s="60">
        <v>77.349999999999994</v>
      </c>
      <c r="G23" s="61">
        <v>80.900000000000006</v>
      </c>
      <c r="H23" s="59">
        <v>15.09</v>
      </c>
      <c r="I23" s="59">
        <v>4.01</v>
      </c>
      <c r="J23" s="60">
        <v>76.89</v>
      </c>
    </row>
    <row r="24" spans="2:10" s="123" customFormat="1" ht="18.95" customHeight="1" x14ac:dyDescent="0.2">
      <c r="B24" s="57">
        <v>46266</v>
      </c>
      <c r="C24" s="58">
        <v>82.42</v>
      </c>
      <c r="D24" s="59">
        <v>14.76</v>
      </c>
      <c r="E24" s="59">
        <v>2.82</v>
      </c>
      <c r="F24" s="60">
        <v>79.600000000000009</v>
      </c>
      <c r="G24" s="61">
        <v>82.11</v>
      </c>
      <c r="H24" s="59">
        <v>14.17</v>
      </c>
      <c r="I24" s="59">
        <v>3.72</v>
      </c>
      <c r="J24" s="60">
        <v>78.39</v>
      </c>
    </row>
    <row r="25" spans="2:10" ht="18.95" customHeight="1" thickBot="1" x14ac:dyDescent="0.25">
      <c r="B25" s="75"/>
      <c r="C25" s="66"/>
      <c r="D25" s="64"/>
      <c r="E25" s="64"/>
      <c r="F25" s="65"/>
      <c r="G25" s="66"/>
      <c r="H25" s="64"/>
      <c r="I25" s="64"/>
      <c r="J25" s="65"/>
    </row>
    <row r="26" spans="2:10" ht="77.25" customHeight="1" thickBot="1" x14ac:dyDescent="0.25">
      <c r="B26" s="149" t="s">
        <v>98</v>
      </c>
      <c r="C26" s="150"/>
      <c r="D26" s="150"/>
      <c r="E26" s="150"/>
      <c r="F26" s="150"/>
      <c r="G26" s="150"/>
      <c r="H26" s="150"/>
      <c r="I26" s="150"/>
      <c r="J26" s="151"/>
    </row>
  </sheetData>
  <mergeCells count="5">
    <mergeCell ref="B2:J2"/>
    <mergeCell ref="B4:B5"/>
    <mergeCell ref="C4:F4"/>
    <mergeCell ref="G4:J4"/>
    <mergeCell ref="B26:J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3B02-2054-452B-B628-016190095EFD}">
  <dimension ref="B1:J26"/>
  <sheetViews>
    <sheetView workbookViewId="0">
      <selection activeCell="G24" sqref="G24:J24"/>
    </sheetView>
  </sheetViews>
  <sheetFormatPr defaultRowHeight="12.75" x14ac:dyDescent="0.2"/>
  <cols>
    <col min="1" max="1" width="0.5703125" style="1" customWidth="1"/>
    <col min="2" max="2" width="9.140625" style="1"/>
    <col min="3" max="10" width="10.7109375" style="1" customWidth="1"/>
    <col min="11" max="11" width="2" style="1" customWidth="1"/>
    <col min="12" max="16384" width="9.140625" style="1"/>
  </cols>
  <sheetData>
    <row r="1" spans="2:10" ht="3.75" customHeight="1" thickBot="1" x14ac:dyDescent="0.25"/>
    <row r="2" spans="2:10" ht="20.25" customHeight="1" x14ac:dyDescent="0.25">
      <c r="B2" s="152" t="s">
        <v>32</v>
      </c>
      <c r="C2" s="153"/>
      <c r="D2" s="153"/>
      <c r="E2" s="153"/>
      <c r="F2" s="153"/>
      <c r="G2" s="153"/>
      <c r="H2" s="153"/>
      <c r="I2" s="153"/>
      <c r="J2" s="154"/>
    </row>
    <row r="3" spans="2:10" ht="19.5" customHeight="1" thickBot="1" x14ac:dyDescent="0.25">
      <c r="B3" s="51"/>
      <c r="C3" s="52"/>
      <c r="D3" s="52"/>
      <c r="E3" s="52"/>
      <c r="F3" s="52"/>
      <c r="G3" s="52"/>
      <c r="H3" s="52"/>
      <c r="I3" s="52"/>
      <c r="J3" s="80" t="s">
        <v>1</v>
      </c>
    </row>
    <row r="4" spans="2:10" ht="15.75" customHeight="1" x14ac:dyDescent="0.2">
      <c r="B4" s="163" t="s">
        <v>2</v>
      </c>
      <c r="C4" s="160" t="s">
        <v>3</v>
      </c>
      <c r="D4" s="158"/>
      <c r="E4" s="158"/>
      <c r="F4" s="159"/>
      <c r="G4" s="157" t="s">
        <v>4</v>
      </c>
      <c r="H4" s="158"/>
      <c r="I4" s="158"/>
      <c r="J4" s="159"/>
    </row>
    <row r="5" spans="2:10" ht="39" thickBot="1" x14ac:dyDescent="0.25">
      <c r="B5" s="164"/>
      <c r="C5" s="77" t="s">
        <v>8</v>
      </c>
      <c r="D5" s="78" t="s">
        <v>9</v>
      </c>
      <c r="E5" s="78" t="s">
        <v>10</v>
      </c>
      <c r="F5" s="79" t="s">
        <v>5</v>
      </c>
      <c r="G5" s="53" t="s">
        <v>11</v>
      </c>
      <c r="H5" s="54" t="s">
        <v>87</v>
      </c>
      <c r="I5" s="54" t="s">
        <v>12</v>
      </c>
      <c r="J5" s="55" t="s">
        <v>5</v>
      </c>
    </row>
    <row r="6" spans="2:10" ht="18.95" customHeight="1" x14ac:dyDescent="0.2">
      <c r="B6" s="57">
        <v>45170</v>
      </c>
      <c r="C6" s="58">
        <v>86.5</v>
      </c>
      <c r="D6" s="59">
        <v>10.4</v>
      </c>
      <c r="E6" s="59">
        <v>3.1</v>
      </c>
      <c r="F6" s="60">
        <v>83.4</v>
      </c>
      <c r="G6" s="61">
        <v>86.8</v>
      </c>
      <c r="H6" s="59">
        <v>9.9</v>
      </c>
      <c r="I6" s="59">
        <v>3.4</v>
      </c>
      <c r="J6" s="60">
        <v>83.4</v>
      </c>
    </row>
    <row r="7" spans="2:10" ht="18.95" customHeight="1" x14ac:dyDescent="0.2">
      <c r="B7" s="57">
        <v>45231</v>
      </c>
      <c r="C7" s="58">
        <v>86.8</v>
      </c>
      <c r="D7" s="59">
        <v>10.3</v>
      </c>
      <c r="E7" s="59">
        <v>2.9</v>
      </c>
      <c r="F7" s="60">
        <v>83.9</v>
      </c>
      <c r="G7" s="61">
        <v>88.2</v>
      </c>
      <c r="H7" s="59">
        <v>9.1999999999999993</v>
      </c>
      <c r="I7" s="59">
        <v>2.6</v>
      </c>
      <c r="J7" s="60">
        <v>85.6</v>
      </c>
    </row>
    <row r="8" spans="2:10" ht="18.95" customHeight="1" x14ac:dyDescent="0.2">
      <c r="B8" s="57">
        <v>45292</v>
      </c>
      <c r="C8" s="58">
        <v>85.8</v>
      </c>
      <c r="D8" s="59">
        <v>11.7</v>
      </c>
      <c r="E8" s="59">
        <v>2.5</v>
      </c>
      <c r="F8" s="60">
        <v>83.3</v>
      </c>
      <c r="G8" s="61">
        <v>87.4</v>
      </c>
      <c r="H8" s="59">
        <v>9.5</v>
      </c>
      <c r="I8" s="59">
        <v>3.1</v>
      </c>
      <c r="J8" s="60">
        <v>84.3</v>
      </c>
    </row>
    <row r="9" spans="2:10" ht="18.95" customHeight="1" x14ac:dyDescent="0.2">
      <c r="B9" s="57">
        <v>45352</v>
      </c>
      <c r="C9" s="58">
        <v>85.1</v>
      </c>
      <c r="D9" s="59">
        <v>12.1</v>
      </c>
      <c r="E9" s="59">
        <v>2.8</v>
      </c>
      <c r="F9" s="60">
        <v>82.3</v>
      </c>
      <c r="G9" s="61">
        <v>88</v>
      </c>
      <c r="H9" s="59">
        <v>9.4</v>
      </c>
      <c r="I9" s="59">
        <v>2.6</v>
      </c>
      <c r="J9" s="60">
        <v>85.4</v>
      </c>
    </row>
    <row r="10" spans="2:10" ht="18.95" customHeight="1" x14ac:dyDescent="0.2">
      <c r="B10" s="57">
        <v>45413</v>
      </c>
      <c r="C10" s="58">
        <v>87.2</v>
      </c>
      <c r="D10" s="59">
        <v>10.4</v>
      </c>
      <c r="E10" s="59">
        <v>2.4</v>
      </c>
      <c r="F10" s="60">
        <v>84.8</v>
      </c>
      <c r="G10" s="61">
        <v>88.8</v>
      </c>
      <c r="H10" s="59">
        <v>8.6</v>
      </c>
      <c r="I10" s="59">
        <v>2.5</v>
      </c>
      <c r="J10" s="60">
        <v>86.3</v>
      </c>
    </row>
    <row r="11" spans="2:10" ht="18.95" customHeight="1" x14ac:dyDescent="0.2">
      <c r="B11" s="57">
        <v>45474</v>
      </c>
      <c r="C11" s="58">
        <v>88.1</v>
      </c>
      <c r="D11" s="59">
        <v>9.6</v>
      </c>
      <c r="E11" s="59">
        <v>2.2999999999999998</v>
      </c>
      <c r="F11" s="60">
        <v>85.8</v>
      </c>
      <c r="G11" s="61">
        <v>89.2</v>
      </c>
      <c r="H11" s="59">
        <v>8.4</v>
      </c>
      <c r="I11" s="59">
        <v>2.5</v>
      </c>
      <c r="J11" s="60">
        <v>86.7</v>
      </c>
    </row>
    <row r="12" spans="2:10" ht="18.95" customHeight="1" x14ac:dyDescent="0.2">
      <c r="B12" s="57">
        <v>45536</v>
      </c>
      <c r="C12" s="58">
        <v>89.1</v>
      </c>
      <c r="D12" s="59">
        <v>8.5</v>
      </c>
      <c r="E12" s="59">
        <v>2.4</v>
      </c>
      <c r="F12" s="60">
        <v>86.7</v>
      </c>
      <c r="G12" s="61">
        <v>89.9</v>
      </c>
      <c r="H12" s="59">
        <v>8</v>
      </c>
      <c r="I12" s="59">
        <v>2.1</v>
      </c>
      <c r="J12" s="60">
        <v>87.8</v>
      </c>
    </row>
    <row r="13" spans="2:10" ht="18.95" customHeight="1" x14ac:dyDescent="0.2">
      <c r="B13" s="57">
        <v>45597</v>
      </c>
      <c r="C13" s="58">
        <v>89.1</v>
      </c>
      <c r="D13" s="59">
        <v>8.9</v>
      </c>
      <c r="E13" s="59">
        <v>2.1</v>
      </c>
      <c r="F13" s="60">
        <v>87</v>
      </c>
      <c r="G13" s="61">
        <v>90</v>
      </c>
      <c r="H13" s="59">
        <v>7.9</v>
      </c>
      <c r="I13" s="59">
        <v>2.1</v>
      </c>
      <c r="J13" s="60">
        <v>87.9</v>
      </c>
    </row>
    <row r="14" spans="2:10" ht="18.95" customHeight="1" x14ac:dyDescent="0.2">
      <c r="B14" s="57">
        <v>45658</v>
      </c>
      <c r="C14" s="58">
        <v>87.9</v>
      </c>
      <c r="D14" s="59">
        <v>9.5</v>
      </c>
      <c r="E14" s="59">
        <v>2.6</v>
      </c>
      <c r="F14" s="60">
        <v>85.4</v>
      </c>
      <c r="G14" s="61">
        <v>89.5</v>
      </c>
      <c r="H14" s="59">
        <v>8.1999999999999993</v>
      </c>
      <c r="I14" s="59">
        <v>2.2999999999999998</v>
      </c>
      <c r="J14" s="60">
        <v>87.2</v>
      </c>
    </row>
    <row r="15" spans="2:10" ht="18.95" customHeight="1" x14ac:dyDescent="0.2">
      <c r="B15" s="57">
        <v>45717</v>
      </c>
      <c r="C15" s="58">
        <v>89.79</v>
      </c>
      <c r="D15" s="59">
        <v>8</v>
      </c>
      <c r="E15" s="59">
        <v>2.21</v>
      </c>
      <c r="F15" s="60">
        <v>87.580000000000013</v>
      </c>
      <c r="G15" s="61">
        <v>91.18</v>
      </c>
      <c r="H15" s="59">
        <v>6.85</v>
      </c>
      <c r="I15" s="59">
        <v>1.97</v>
      </c>
      <c r="J15" s="60">
        <v>89.210000000000008</v>
      </c>
    </row>
    <row r="16" spans="2:10" s="123" customFormat="1" ht="18.95" customHeight="1" x14ac:dyDescent="0.2">
      <c r="B16" s="57">
        <v>45778</v>
      </c>
      <c r="C16" s="58">
        <v>88.3</v>
      </c>
      <c r="D16" s="59">
        <v>9.1999999999999993</v>
      </c>
      <c r="E16" s="59">
        <v>2.6</v>
      </c>
      <c r="F16" s="60">
        <v>85.7</v>
      </c>
      <c r="G16" s="61">
        <v>90.4</v>
      </c>
      <c r="H16" s="59">
        <v>7.7</v>
      </c>
      <c r="I16" s="59">
        <v>2</v>
      </c>
      <c r="J16" s="60">
        <v>88.4</v>
      </c>
    </row>
    <row r="17" spans="2:10" s="123" customFormat="1" ht="18.95" customHeight="1" x14ac:dyDescent="0.2">
      <c r="B17" s="57">
        <v>45839</v>
      </c>
      <c r="C17" s="58">
        <v>86.7</v>
      </c>
      <c r="D17" s="59">
        <v>11.61</v>
      </c>
      <c r="E17" s="59">
        <v>1.69</v>
      </c>
      <c r="F17" s="60">
        <v>85.01</v>
      </c>
      <c r="G17" s="61">
        <v>92.5</v>
      </c>
      <c r="H17" s="59">
        <v>4.01</v>
      </c>
      <c r="I17" s="59">
        <v>3.48</v>
      </c>
      <c r="J17" s="60">
        <v>89.02</v>
      </c>
    </row>
    <row r="18" spans="2:10" s="123" customFormat="1" ht="18.95" customHeight="1" x14ac:dyDescent="0.2">
      <c r="B18" s="57">
        <v>45901</v>
      </c>
      <c r="C18" s="58">
        <v>87.97</v>
      </c>
      <c r="D18" s="59">
        <v>9.3699999999999992</v>
      </c>
      <c r="E18" s="59">
        <v>2.66</v>
      </c>
      <c r="F18" s="60">
        <v>85.31</v>
      </c>
      <c r="G18" s="61">
        <v>89.14</v>
      </c>
      <c r="H18" s="59">
        <v>9.4</v>
      </c>
      <c r="I18" s="59">
        <v>1.46</v>
      </c>
      <c r="J18" s="60">
        <v>87.68</v>
      </c>
    </row>
    <row r="19" spans="2:10" s="123" customFormat="1" ht="18.95" customHeight="1" x14ac:dyDescent="0.2">
      <c r="B19" s="57">
        <v>45962</v>
      </c>
      <c r="C19" s="58">
        <v>84.61</v>
      </c>
      <c r="D19" s="59">
        <v>12.19</v>
      </c>
      <c r="E19" s="59">
        <v>3.2</v>
      </c>
      <c r="F19" s="60">
        <v>81.41</v>
      </c>
      <c r="G19" s="61">
        <v>88.61</v>
      </c>
      <c r="H19" s="59">
        <v>9.09</v>
      </c>
      <c r="I19" s="59">
        <v>2.2999999999999998</v>
      </c>
      <c r="J19" s="60">
        <v>86.31</v>
      </c>
    </row>
    <row r="20" spans="2:10" s="123" customFormat="1" ht="18.95" customHeight="1" x14ac:dyDescent="0.2">
      <c r="B20" s="57">
        <v>46023</v>
      </c>
      <c r="C20" s="58">
        <v>83.75</v>
      </c>
      <c r="D20" s="59">
        <v>15.06</v>
      </c>
      <c r="E20" s="59">
        <v>1.19</v>
      </c>
      <c r="F20" s="60">
        <v>82.56</v>
      </c>
      <c r="G20" s="61">
        <v>89.34</v>
      </c>
      <c r="H20" s="59">
        <v>8.51</v>
      </c>
      <c r="I20" s="59">
        <v>2.16</v>
      </c>
      <c r="J20" s="60">
        <v>87.18</v>
      </c>
    </row>
    <row r="21" spans="2:10" s="123" customFormat="1" ht="18.95" customHeight="1" x14ac:dyDescent="0.2">
      <c r="B21" s="57">
        <v>46082</v>
      </c>
      <c r="C21" s="58">
        <v>85.53</v>
      </c>
      <c r="D21" s="59">
        <v>11.64</v>
      </c>
      <c r="E21" s="59">
        <v>2.83</v>
      </c>
      <c r="F21" s="60">
        <v>82.7</v>
      </c>
      <c r="G21" s="61">
        <v>90.21</v>
      </c>
      <c r="H21" s="59">
        <v>7.1</v>
      </c>
      <c r="I21" s="59">
        <v>2.69</v>
      </c>
      <c r="J21" s="60">
        <v>87.52</v>
      </c>
    </row>
    <row r="22" spans="2:10" s="123" customFormat="1" ht="18.95" customHeight="1" x14ac:dyDescent="0.2">
      <c r="B22" s="57">
        <v>46143</v>
      </c>
      <c r="C22" s="58">
        <v>83.3</v>
      </c>
      <c r="D22" s="59">
        <v>14</v>
      </c>
      <c r="E22" s="59">
        <v>2.7</v>
      </c>
      <c r="F22" s="60">
        <v>80.599999999999994</v>
      </c>
      <c r="G22" s="61">
        <v>83.6</v>
      </c>
      <c r="H22" s="59">
        <v>12.9</v>
      </c>
      <c r="I22" s="59">
        <v>3.5</v>
      </c>
      <c r="J22" s="60">
        <v>80.099999999999994</v>
      </c>
    </row>
    <row r="23" spans="2:10" s="123" customFormat="1" ht="18.95" customHeight="1" x14ac:dyDescent="0.2">
      <c r="B23" s="57">
        <v>46204</v>
      </c>
      <c r="C23" s="58">
        <v>84.5</v>
      </c>
      <c r="D23" s="59">
        <v>12.64</v>
      </c>
      <c r="E23" s="59">
        <v>2.86</v>
      </c>
      <c r="F23" s="60">
        <v>81.64</v>
      </c>
      <c r="G23" s="61">
        <v>84.78</v>
      </c>
      <c r="H23" s="59">
        <v>11.57</v>
      </c>
      <c r="I23" s="59">
        <v>3.65</v>
      </c>
      <c r="J23" s="60">
        <v>81.13</v>
      </c>
    </row>
    <row r="24" spans="2:10" s="123" customFormat="1" ht="18.95" customHeight="1" x14ac:dyDescent="0.2">
      <c r="B24" s="57">
        <v>46266</v>
      </c>
      <c r="C24" s="58">
        <v>86.88</v>
      </c>
      <c r="D24" s="59">
        <v>10.43</v>
      </c>
      <c r="E24" s="59">
        <v>2.68</v>
      </c>
      <c r="F24" s="60">
        <v>84.199999999999989</v>
      </c>
      <c r="G24" s="61">
        <v>85.62</v>
      </c>
      <c r="H24" s="59">
        <v>10.98</v>
      </c>
      <c r="I24" s="59">
        <v>3.4</v>
      </c>
      <c r="J24" s="60">
        <v>82.22</v>
      </c>
    </row>
    <row r="25" spans="2:10" ht="18.95" customHeight="1" thickBot="1" x14ac:dyDescent="0.25">
      <c r="B25" s="75"/>
      <c r="C25" s="66"/>
      <c r="D25" s="64"/>
      <c r="E25" s="64"/>
      <c r="F25" s="65"/>
      <c r="G25" s="66"/>
      <c r="H25" s="64"/>
      <c r="I25" s="64"/>
      <c r="J25" s="65"/>
    </row>
    <row r="26" spans="2:10" ht="78" customHeight="1" thickBot="1" x14ac:dyDescent="0.25">
      <c r="B26" s="149" t="s">
        <v>98</v>
      </c>
      <c r="C26" s="150"/>
      <c r="D26" s="150"/>
      <c r="E26" s="150"/>
      <c r="F26" s="150"/>
      <c r="G26" s="150"/>
      <c r="H26" s="150"/>
      <c r="I26" s="150"/>
      <c r="J26" s="151"/>
    </row>
  </sheetData>
  <mergeCells count="5">
    <mergeCell ref="B2:J2"/>
    <mergeCell ref="B4:B5"/>
    <mergeCell ref="C4:F4"/>
    <mergeCell ref="G4:J4"/>
    <mergeCell ref="B26:J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9851-030E-47C1-8862-7048759743DD}">
  <dimension ref="B1:J26"/>
  <sheetViews>
    <sheetView topLeftCell="A4" workbookViewId="0">
      <selection activeCell="P21" sqref="P21"/>
    </sheetView>
  </sheetViews>
  <sheetFormatPr defaultRowHeight="12.75" x14ac:dyDescent="0.2"/>
  <cols>
    <col min="1" max="1" width="0.7109375" style="1" customWidth="1"/>
    <col min="2" max="2" width="9.140625" style="1"/>
    <col min="3" max="10" width="10.7109375" style="1" customWidth="1"/>
    <col min="11" max="11" width="1" style="1" customWidth="1"/>
    <col min="12" max="16384" width="9.140625" style="1"/>
  </cols>
  <sheetData>
    <row r="1" spans="2:10" ht="3" customHeight="1" thickBot="1" x14ac:dyDescent="0.25"/>
    <row r="2" spans="2:10" ht="18.95" customHeight="1" x14ac:dyDescent="0.25">
      <c r="B2" s="152" t="s">
        <v>33</v>
      </c>
      <c r="C2" s="153"/>
      <c r="D2" s="153"/>
      <c r="E2" s="153"/>
      <c r="F2" s="153"/>
      <c r="G2" s="153"/>
      <c r="H2" s="153"/>
      <c r="I2" s="153"/>
      <c r="J2" s="154"/>
    </row>
    <row r="3" spans="2:10" ht="18.95" customHeight="1" thickBot="1" x14ac:dyDescent="0.25">
      <c r="B3" s="51"/>
      <c r="C3" s="52"/>
      <c r="D3" s="52"/>
      <c r="E3" s="52"/>
      <c r="F3" s="52"/>
      <c r="G3" s="52"/>
      <c r="H3" s="52"/>
      <c r="I3" s="52"/>
      <c r="J3" s="76" t="s">
        <v>1</v>
      </c>
    </row>
    <row r="4" spans="2:10" ht="18.95" customHeight="1" x14ac:dyDescent="0.2">
      <c r="B4" s="163" t="s">
        <v>2</v>
      </c>
      <c r="C4" s="160" t="s">
        <v>3</v>
      </c>
      <c r="D4" s="158"/>
      <c r="E4" s="158"/>
      <c r="F4" s="159"/>
      <c r="G4" s="157" t="s">
        <v>4</v>
      </c>
      <c r="H4" s="158"/>
      <c r="I4" s="158"/>
      <c r="J4" s="159"/>
    </row>
    <row r="5" spans="2:10" ht="39" thickBot="1" x14ac:dyDescent="0.25">
      <c r="B5" s="164"/>
      <c r="C5" s="77" t="s">
        <v>8</v>
      </c>
      <c r="D5" s="78" t="s">
        <v>9</v>
      </c>
      <c r="E5" s="78" t="s">
        <v>10</v>
      </c>
      <c r="F5" s="79" t="s">
        <v>5</v>
      </c>
      <c r="G5" s="53" t="s">
        <v>11</v>
      </c>
      <c r="H5" s="54" t="s">
        <v>87</v>
      </c>
      <c r="I5" s="54" t="s">
        <v>12</v>
      </c>
      <c r="J5" s="55" t="s">
        <v>5</v>
      </c>
    </row>
    <row r="6" spans="2:10" ht="18.95" customHeight="1" x14ac:dyDescent="0.2">
      <c r="B6" s="57">
        <v>45170</v>
      </c>
      <c r="C6" s="58">
        <v>44.4</v>
      </c>
      <c r="D6" s="59">
        <v>31.9</v>
      </c>
      <c r="E6" s="59">
        <v>23.7</v>
      </c>
      <c r="F6" s="60">
        <v>20.7</v>
      </c>
      <c r="G6" s="61">
        <v>53.6</v>
      </c>
      <c r="H6" s="59">
        <v>28.1</v>
      </c>
      <c r="I6" s="59">
        <v>18.3</v>
      </c>
      <c r="J6" s="60">
        <v>35.4</v>
      </c>
    </row>
    <row r="7" spans="2:10" ht="18.95" customHeight="1" x14ac:dyDescent="0.2">
      <c r="B7" s="57">
        <v>45231</v>
      </c>
      <c r="C7" s="58">
        <v>47.2</v>
      </c>
      <c r="D7" s="59">
        <v>30.5</v>
      </c>
      <c r="E7" s="59">
        <v>22.3</v>
      </c>
      <c r="F7" s="60">
        <v>24.9</v>
      </c>
      <c r="G7" s="61">
        <v>56.1</v>
      </c>
      <c r="H7" s="59">
        <v>27.5</v>
      </c>
      <c r="I7" s="59">
        <v>16.399999999999999</v>
      </c>
      <c r="J7" s="60">
        <v>39.6</v>
      </c>
    </row>
    <row r="8" spans="2:10" ht="18.95" customHeight="1" x14ac:dyDescent="0.2">
      <c r="B8" s="57">
        <v>45292</v>
      </c>
      <c r="C8" s="58">
        <v>46.5</v>
      </c>
      <c r="D8" s="59">
        <v>30.9</v>
      </c>
      <c r="E8" s="59">
        <v>22.6</v>
      </c>
      <c r="F8" s="60">
        <v>23.9</v>
      </c>
      <c r="G8" s="61">
        <v>56.4</v>
      </c>
      <c r="H8" s="59">
        <v>26.5</v>
      </c>
      <c r="I8" s="59">
        <v>17.100000000000001</v>
      </c>
      <c r="J8" s="60">
        <v>39.299999999999997</v>
      </c>
    </row>
    <row r="9" spans="2:10" ht="18.95" customHeight="1" x14ac:dyDescent="0.2">
      <c r="B9" s="57">
        <v>45352</v>
      </c>
      <c r="C9" s="58">
        <v>51.8</v>
      </c>
      <c r="D9" s="59">
        <v>25.5</v>
      </c>
      <c r="E9" s="59">
        <v>22.8</v>
      </c>
      <c r="F9" s="60">
        <v>29</v>
      </c>
      <c r="G9" s="61">
        <v>63.8</v>
      </c>
      <c r="H9" s="59">
        <v>23.2</v>
      </c>
      <c r="I9" s="59">
        <v>13</v>
      </c>
      <c r="J9" s="60">
        <v>50.8</v>
      </c>
    </row>
    <row r="10" spans="2:10" ht="18.95" customHeight="1" x14ac:dyDescent="0.2">
      <c r="B10" s="57">
        <v>45413</v>
      </c>
      <c r="C10" s="58">
        <v>53.6</v>
      </c>
      <c r="D10" s="59">
        <v>22.3</v>
      </c>
      <c r="E10" s="59">
        <v>24.1</v>
      </c>
      <c r="F10" s="60">
        <v>29.5</v>
      </c>
      <c r="G10" s="61">
        <v>66.3</v>
      </c>
      <c r="H10" s="59">
        <v>21.3</v>
      </c>
      <c r="I10" s="59">
        <v>12.5</v>
      </c>
      <c r="J10" s="60">
        <v>53.9</v>
      </c>
    </row>
    <row r="11" spans="2:10" ht="18.95" customHeight="1" x14ac:dyDescent="0.2">
      <c r="B11" s="57">
        <v>45474</v>
      </c>
      <c r="C11" s="58">
        <v>53.9</v>
      </c>
      <c r="D11" s="59">
        <v>21</v>
      </c>
      <c r="E11" s="59">
        <v>25.2</v>
      </c>
      <c r="F11" s="60">
        <v>28.7</v>
      </c>
      <c r="G11" s="61">
        <v>67.5</v>
      </c>
      <c r="H11" s="59">
        <v>19.600000000000001</v>
      </c>
      <c r="I11" s="59">
        <v>12.9</v>
      </c>
      <c r="J11" s="60">
        <v>54.5</v>
      </c>
    </row>
    <row r="12" spans="2:10" ht="18.95" customHeight="1" x14ac:dyDescent="0.2">
      <c r="B12" s="57">
        <v>45536</v>
      </c>
      <c r="C12" s="58">
        <v>55.6</v>
      </c>
      <c r="D12" s="59">
        <v>18.3</v>
      </c>
      <c r="E12" s="59">
        <v>26.1</v>
      </c>
      <c r="F12" s="60">
        <v>29.4</v>
      </c>
      <c r="G12" s="61">
        <v>68.2</v>
      </c>
      <c r="H12" s="59">
        <v>18.7</v>
      </c>
      <c r="I12" s="59">
        <v>13</v>
      </c>
      <c r="J12" s="60">
        <v>55.2</v>
      </c>
    </row>
    <row r="13" spans="2:10" ht="18.95" customHeight="1" x14ac:dyDescent="0.2">
      <c r="B13" s="57">
        <v>45597</v>
      </c>
      <c r="C13" s="58">
        <v>57.3</v>
      </c>
      <c r="D13" s="59">
        <v>18.5</v>
      </c>
      <c r="E13" s="59">
        <v>24.2</v>
      </c>
      <c r="F13" s="60">
        <v>33.200000000000003</v>
      </c>
      <c r="G13" s="61">
        <v>68.099999999999994</v>
      </c>
      <c r="H13" s="59">
        <v>19.100000000000001</v>
      </c>
      <c r="I13" s="59">
        <v>12.8</v>
      </c>
      <c r="J13" s="60">
        <v>55.4</v>
      </c>
    </row>
    <row r="14" spans="2:10" ht="18.95" customHeight="1" x14ac:dyDescent="0.2">
      <c r="B14" s="57">
        <v>45658</v>
      </c>
      <c r="C14" s="58">
        <v>57.3</v>
      </c>
      <c r="D14" s="59">
        <v>19.7</v>
      </c>
      <c r="E14" s="59">
        <v>23.1</v>
      </c>
      <c r="F14" s="60">
        <v>34.200000000000003</v>
      </c>
      <c r="G14" s="61">
        <v>68.099999999999994</v>
      </c>
      <c r="H14" s="59">
        <v>19.600000000000001</v>
      </c>
      <c r="I14" s="59">
        <v>12.4</v>
      </c>
      <c r="J14" s="60">
        <v>55.7</v>
      </c>
    </row>
    <row r="15" spans="2:10" ht="18.95" customHeight="1" x14ac:dyDescent="0.2">
      <c r="B15" s="57">
        <v>45717</v>
      </c>
      <c r="C15" s="58">
        <v>58.42</v>
      </c>
      <c r="D15" s="59">
        <v>19.09</v>
      </c>
      <c r="E15" s="59">
        <v>22.49</v>
      </c>
      <c r="F15" s="60">
        <v>35.930000000000007</v>
      </c>
      <c r="G15" s="61">
        <v>69.58</v>
      </c>
      <c r="H15" s="59">
        <v>18.16</v>
      </c>
      <c r="I15" s="59">
        <v>12.26</v>
      </c>
      <c r="J15" s="60">
        <v>57.32</v>
      </c>
    </row>
    <row r="16" spans="2:10" s="123" customFormat="1" ht="18.95" customHeight="1" x14ac:dyDescent="0.2">
      <c r="B16" s="57">
        <v>45778</v>
      </c>
      <c r="C16" s="58">
        <v>58.3</v>
      </c>
      <c r="D16" s="59">
        <v>18.600000000000001</v>
      </c>
      <c r="E16" s="59">
        <v>23.1</v>
      </c>
      <c r="F16" s="60">
        <v>35.200000000000003</v>
      </c>
      <c r="G16" s="61">
        <v>69.3</v>
      </c>
      <c r="H16" s="59">
        <v>18.399999999999999</v>
      </c>
      <c r="I16" s="59">
        <v>12.3</v>
      </c>
      <c r="J16" s="60">
        <v>56.9</v>
      </c>
    </row>
    <row r="17" spans="2:10" s="123" customFormat="1" ht="18.95" customHeight="1" x14ac:dyDescent="0.2">
      <c r="B17" s="57">
        <v>45839</v>
      </c>
      <c r="C17" s="58">
        <v>54.67</v>
      </c>
      <c r="D17" s="59">
        <v>27.9</v>
      </c>
      <c r="E17" s="59">
        <v>17.43</v>
      </c>
      <c r="F17" s="60">
        <v>37.24</v>
      </c>
      <c r="G17" s="61">
        <v>73.55</v>
      </c>
      <c r="H17" s="59">
        <v>10.1</v>
      </c>
      <c r="I17" s="59">
        <v>16.36</v>
      </c>
      <c r="J17" s="60">
        <v>57.19</v>
      </c>
    </row>
    <row r="18" spans="2:10" s="123" customFormat="1" ht="18.95" customHeight="1" x14ac:dyDescent="0.2">
      <c r="B18" s="57">
        <v>45901</v>
      </c>
      <c r="C18" s="58">
        <v>52.97</v>
      </c>
      <c r="D18" s="59">
        <v>31.36</v>
      </c>
      <c r="E18" s="59">
        <v>15.66</v>
      </c>
      <c r="F18" s="60">
        <v>37.31</v>
      </c>
      <c r="G18" s="61">
        <v>68.25</v>
      </c>
      <c r="H18" s="59">
        <v>21</v>
      </c>
      <c r="I18" s="59">
        <v>10.75</v>
      </c>
      <c r="J18" s="60">
        <v>57.5</v>
      </c>
    </row>
    <row r="19" spans="2:10" s="123" customFormat="1" ht="18.95" customHeight="1" x14ac:dyDescent="0.2">
      <c r="B19" s="57">
        <v>45962</v>
      </c>
      <c r="C19" s="58">
        <v>53.82</v>
      </c>
      <c r="D19" s="59">
        <v>27.84</v>
      </c>
      <c r="E19" s="59">
        <v>18.350000000000001</v>
      </c>
      <c r="F19" s="60">
        <v>35.47</v>
      </c>
      <c r="G19" s="61">
        <v>69.63</v>
      </c>
      <c r="H19" s="59">
        <v>18.63</v>
      </c>
      <c r="I19" s="59">
        <v>11.74</v>
      </c>
      <c r="J19" s="60">
        <v>57.889999999999993</v>
      </c>
    </row>
    <row r="20" spans="2:10" s="123" customFormat="1" ht="18.95" customHeight="1" x14ac:dyDescent="0.2">
      <c r="B20" s="57">
        <v>46023</v>
      </c>
      <c r="C20" s="58">
        <v>51.07</v>
      </c>
      <c r="D20" s="59">
        <v>33.49</v>
      </c>
      <c r="E20" s="59">
        <v>15.43</v>
      </c>
      <c r="F20" s="60">
        <v>35.64</v>
      </c>
      <c r="G20" s="61">
        <v>69.87</v>
      </c>
      <c r="H20" s="59">
        <v>19.559999999999999</v>
      </c>
      <c r="I20" s="59">
        <v>10.56</v>
      </c>
      <c r="J20" s="60">
        <v>59.31</v>
      </c>
    </row>
    <row r="21" spans="2:10" s="123" customFormat="1" ht="18.95" customHeight="1" x14ac:dyDescent="0.2">
      <c r="B21" s="57">
        <v>46082</v>
      </c>
      <c r="C21" s="58">
        <v>52.06</v>
      </c>
      <c r="D21" s="59">
        <v>30.39</v>
      </c>
      <c r="E21" s="59">
        <v>17.55</v>
      </c>
      <c r="F21" s="60">
        <v>34.510000000000005</v>
      </c>
      <c r="G21" s="61">
        <v>71.17</v>
      </c>
      <c r="H21" s="59">
        <v>17.149999999999999</v>
      </c>
      <c r="I21" s="59">
        <v>11.68</v>
      </c>
      <c r="J21" s="60">
        <v>59.49</v>
      </c>
    </row>
    <row r="22" spans="2:10" s="123" customFormat="1" ht="18.95" customHeight="1" x14ac:dyDescent="0.2">
      <c r="B22" s="57">
        <v>46143</v>
      </c>
      <c r="C22" s="58">
        <v>51.1</v>
      </c>
      <c r="D22" s="59">
        <v>28</v>
      </c>
      <c r="E22" s="59">
        <v>21</v>
      </c>
      <c r="F22" s="60">
        <v>30.1</v>
      </c>
      <c r="G22" s="61">
        <v>58.1</v>
      </c>
      <c r="H22" s="59">
        <v>26.4</v>
      </c>
      <c r="I22" s="59">
        <v>15.5</v>
      </c>
      <c r="J22" s="60">
        <v>42.6</v>
      </c>
    </row>
    <row r="23" spans="2:10" s="123" customFormat="1" ht="18.95" customHeight="1" x14ac:dyDescent="0.2">
      <c r="B23" s="57">
        <v>46204</v>
      </c>
      <c r="C23" s="58">
        <v>52.02</v>
      </c>
      <c r="D23" s="59">
        <v>28.36</v>
      </c>
      <c r="E23" s="59">
        <v>19.61</v>
      </c>
      <c r="F23" s="60">
        <v>32.410000000000004</v>
      </c>
      <c r="G23" s="61">
        <v>58.43</v>
      </c>
      <c r="H23" s="59">
        <v>25.59</v>
      </c>
      <c r="I23" s="59">
        <v>15.98</v>
      </c>
      <c r="J23" s="60">
        <v>42.45</v>
      </c>
    </row>
    <row r="24" spans="2:10" s="123" customFormat="1" ht="18.95" customHeight="1" x14ac:dyDescent="0.2">
      <c r="B24" s="57">
        <v>46266</v>
      </c>
      <c r="C24" s="58">
        <v>56.01</v>
      </c>
      <c r="D24" s="59">
        <v>27.3</v>
      </c>
      <c r="E24" s="59">
        <v>16.7</v>
      </c>
      <c r="F24" s="60">
        <v>39.31</v>
      </c>
      <c r="G24" s="61">
        <v>60.37</v>
      </c>
      <c r="H24" s="59">
        <v>24.55</v>
      </c>
      <c r="I24" s="59">
        <v>15.08</v>
      </c>
      <c r="J24" s="60">
        <f t="shared" ref="J24" si="0">G24-I24</f>
        <v>45.29</v>
      </c>
    </row>
    <row r="25" spans="2:10" ht="18.95" customHeight="1" thickBot="1" x14ac:dyDescent="0.25">
      <c r="B25" s="75"/>
      <c r="C25" s="66"/>
      <c r="D25" s="64"/>
      <c r="E25" s="64"/>
      <c r="F25" s="65"/>
      <c r="G25" s="66"/>
      <c r="H25" s="64"/>
      <c r="I25" s="64"/>
      <c r="J25" s="65"/>
    </row>
    <row r="26" spans="2:10" ht="77.25" customHeight="1" thickBot="1" x14ac:dyDescent="0.25">
      <c r="B26" s="149" t="s">
        <v>98</v>
      </c>
      <c r="C26" s="150"/>
      <c r="D26" s="150"/>
      <c r="E26" s="150"/>
      <c r="F26" s="150"/>
      <c r="G26" s="150"/>
      <c r="H26" s="150"/>
      <c r="I26" s="150"/>
      <c r="J26" s="151"/>
    </row>
  </sheetData>
  <mergeCells count="5">
    <mergeCell ref="B26:J26"/>
    <mergeCell ref="B2:J2"/>
    <mergeCell ref="B4:B5"/>
    <mergeCell ref="C4:F4"/>
    <mergeCell ref="G4:J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9C7B-0D89-4194-9EDF-C9291593801A}">
  <dimension ref="A1:AT31"/>
  <sheetViews>
    <sheetView workbookViewId="0">
      <selection activeCell="D5" sqref="D5"/>
    </sheetView>
  </sheetViews>
  <sheetFormatPr defaultRowHeight="15" x14ac:dyDescent="0.25"/>
  <sheetData>
    <row r="1" spans="1:46" ht="15.75" thickBot="1" x14ac:dyDescent="0.3">
      <c r="A1" s="2"/>
      <c r="C1" s="42">
        <v>44805</v>
      </c>
      <c r="D1" s="43"/>
      <c r="E1" s="43"/>
      <c r="F1" s="43"/>
      <c r="G1" s="46">
        <v>44866</v>
      </c>
      <c r="H1" s="47"/>
      <c r="I1" s="47"/>
      <c r="J1" s="47"/>
      <c r="K1" s="42">
        <v>44927</v>
      </c>
      <c r="L1" s="43"/>
      <c r="M1" s="43"/>
      <c r="N1" s="43"/>
      <c r="O1" s="46">
        <v>44986</v>
      </c>
      <c r="P1" s="47"/>
      <c r="Q1" s="47"/>
      <c r="R1" s="47"/>
      <c r="S1" s="42">
        <v>45047</v>
      </c>
      <c r="T1" s="43"/>
      <c r="U1" s="43"/>
      <c r="V1" s="43"/>
      <c r="W1" s="44">
        <v>45108</v>
      </c>
      <c r="X1" s="45"/>
      <c r="Y1" s="45"/>
      <c r="Z1" s="45"/>
      <c r="AA1" s="39" t="s">
        <v>6</v>
      </c>
      <c r="AB1" s="40"/>
      <c r="AC1" s="40"/>
      <c r="AD1" s="40"/>
      <c r="AE1" s="39" t="s">
        <v>7</v>
      </c>
      <c r="AF1" s="40"/>
      <c r="AG1" s="40"/>
      <c r="AH1" s="40"/>
      <c r="AI1" s="39">
        <v>45292</v>
      </c>
      <c r="AJ1" s="40"/>
      <c r="AK1" s="40"/>
      <c r="AL1" s="40"/>
      <c r="AM1" s="39">
        <v>45352</v>
      </c>
      <c r="AN1" s="40"/>
      <c r="AO1" s="40"/>
      <c r="AP1" s="40"/>
      <c r="AQ1" s="39">
        <v>45413</v>
      </c>
      <c r="AR1" s="40"/>
      <c r="AS1" s="40"/>
      <c r="AT1" s="41"/>
    </row>
    <row r="2" spans="1:46" s="5" customFormat="1" ht="16.5" customHeight="1" thickBot="1" x14ac:dyDescent="0.25">
      <c r="A2" s="3"/>
      <c r="B2" s="4"/>
      <c r="C2" s="37" t="s">
        <v>34</v>
      </c>
      <c r="D2" s="38"/>
      <c r="E2" s="34" t="s">
        <v>35</v>
      </c>
      <c r="F2" s="35"/>
      <c r="G2" s="37" t="s">
        <v>34</v>
      </c>
      <c r="H2" s="38"/>
      <c r="I2" s="34" t="s">
        <v>35</v>
      </c>
      <c r="J2" s="35"/>
      <c r="K2" s="37" t="s">
        <v>34</v>
      </c>
      <c r="L2" s="38"/>
      <c r="M2" s="34" t="s">
        <v>35</v>
      </c>
      <c r="N2" s="35"/>
      <c r="O2" s="37" t="s">
        <v>34</v>
      </c>
      <c r="P2" s="38"/>
      <c r="Q2" s="34" t="s">
        <v>35</v>
      </c>
      <c r="R2" s="35"/>
      <c r="S2" s="37" t="s">
        <v>34</v>
      </c>
      <c r="T2" s="38"/>
      <c r="U2" s="34" t="s">
        <v>35</v>
      </c>
      <c r="V2" s="35"/>
      <c r="W2" s="37" t="s">
        <v>34</v>
      </c>
      <c r="X2" s="38"/>
      <c r="Y2" s="34" t="s">
        <v>35</v>
      </c>
      <c r="Z2" s="35"/>
      <c r="AA2" s="37" t="s">
        <v>34</v>
      </c>
      <c r="AB2" s="38"/>
      <c r="AC2" s="34" t="s">
        <v>35</v>
      </c>
      <c r="AD2" s="35"/>
      <c r="AE2" s="37" t="s">
        <v>34</v>
      </c>
      <c r="AF2" s="38"/>
      <c r="AG2" s="34" t="s">
        <v>35</v>
      </c>
      <c r="AH2" s="35"/>
      <c r="AI2" s="37" t="s">
        <v>34</v>
      </c>
      <c r="AJ2" s="38"/>
      <c r="AK2" s="34" t="s">
        <v>35</v>
      </c>
      <c r="AL2" s="35"/>
      <c r="AM2" s="37" t="s">
        <v>34</v>
      </c>
      <c r="AN2" s="38"/>
      <c r="AO2" s="34" t="s">
        <v>35</v>
      </c>
      <c r="AP2" s="35"/>
      <c r="AQ2" s="37" t="s">
        <v>34</v>
      </c>
      <c r="AR2" s="38"/>
      <c r="AS2" s="34" t="s">
        <v>35</v>
      </c>
      <c r="AT2" s="36"/>
    </row>
    <row r="3" spans="1:46" ht="15.75" thickBot="1" x14ac:dyDescent="0.3">
      <c r="A3" s="6"/>
      <c r="B3" s="7"/>
      <c r="C3" s="32" t="s">
        <v>36</v>
      </c>
      <c r="D3" s="33"/>
      <c r="E3" s="32" t="s">
        <v>36</v>
      </c>
      <c r="F3" s="33"/>
      <c r="G3" s="32" t="s">
        <v>36</v>
      </c>
      <c r="H3" s="33"/>
      <c r="I3" s="32" t="s">
        <v>36</v>
      </c>
      <c r="J3" s="33"/>
      <c r="K3" s="32" t="s">
        <v>36</v>
      </c>
      <c r="L3" s="33"/>
      <c r="M3" s="32" t="s">
        <v>36</v>
      </c>
      <c r="N3" s="33"/>
      <c r="O3" s="32" t="s">
        <v>36</v>
      </c>
      <c r="P3" s="33"/>
      <c r="Q3" s="32" t="s">
        <v>36</v>
      </c>
      <c r="R3" s="33"/>
      <c r="S3" s="32" t="s">
        <v>36</v>
      </c>
      <c r="T3" s="33"/>
      <c r="U3" s="32" t="s">
        <v>36</v>
      </c>
      <c r="V3" s="33"/>
      <c r="W3" s="32" t="s">
        <v>36</v>
      </c>
      <c r="X3" s="33"/>
      <c r="Y3" s="32" t="s">
        <v>36</v>
      </c>
      <c r="Z3" s="33"/>
      <c r="AA3" s="32" t="s">
        <v>36</v>
      </c>
      <c r="AB3" s="33"/>
      <c r="AC3" s="32" t="s">
        <v>36</v>
      </c>
      <c r="AD3" s="33"/>
      <c r="AE3" s="32" t="s">
        <v>36</v>
      </c>
      <c r="AF3" s="33"/>
      <c r="AG3" s="32" t="s">
        <v>36</v>
      </c>
      <c r="AH3" s="33"/>
      <c r="AI3" s="32" t="s">
        <v>36</v>
      </c>
      <c r="AJ3" s="33"/>
      <c r="AK3" s="32" t="s">
        <v>36</v>
      </c>
      <c r="AL3" s="33"/>
      <c r="AM3" s="32" t="s">
        <v>36</v>
      </c>
      <c r="AN3" s="33"/>
      <c r="AO3" s="32" t="s">
        <v>36</v>
      </c>
      <c r="AP3" s="33"/>
      <c r="AQ3" s="32" t="s">
        <v>36</v>
      </c>
      <c r="AR3" s="33"/>
      <c r="AS3" s="32" t="s">
        <v>36</v>
      </c>
      <c r="AT3" s="33"/>
    </row>
    <row r="4" spans="1:46" ht="26.25" thickBot="1" x14ac:dyDescent="0.3">
      <c r="A4" s="6"/>
      <c r="B4" s="7"/>
      <c r="C4" s="8" t="s">
        <v>37</v>
      </c>
      <c r="D4" s="9" t="s">
        <v>16</v>
      </c>
      <c r="E4" s="8" t="s">
        <v>37</v>
      </c>
      <c r="F4" s="9" t="s">
        <v>16</v>
      </c>
      <c r="G4" s="8" t="s">
        <v>37</v>
      </c>
      <c r="H4" s="9" t="s">
        <v>16</v>
      </c>
      <c r="I4" s="8" t="s">
        <v>37</v>
      </c>
      <c r="J4" s="9" t="s">
        <v>16</v>
      </c>
      <c r="K4" s="8" t="s">
        <v>37</v>
      </c>
      <c r="L4" s="9" t="s">
        <v>16</v>
      </c>
      <c r="M4" s="8" t="s">
        <v>37</v>
      </c>
      <c r="N4" s="9" t="s">
        <v>16</v>
      </c>
      <c r="O4" s="8" t="s">
        <v>37</v>
      </c>
      <c r="P4" s="9" t="s">
        <v>16</v>
      </c>
      <c r="Q4" s="8" t="s">
        <v>37</v>
      </c>
      <c r="R4" s="9" t="s">
        <v>16</v>
      </c>
      <c r="S4" s="8" t="s">
        <v>37</v>
      </c>
      <c r="T4" s="9" t="s">
        <v>16</v>
      </c>
      <c r="U4" s="8" t="s">
        <v>37</v>
      </c>
      <c r="V4" s="9" t="s">
        <v>16</v>
      </c>
      <c r="W4" s="8" t="s">
        <v>37</v>
      </c>
      <c r="X4" s="9" t="s">
        <v>16</v>
      </c>
      <c r="Y4" s="8" t="s">
        <v>37</v>
      </c>
      <c r="Z4" s="9" t="s">
        <v>16</v>
      </c>
      <c r="AA4" s="8" t="s">
        <v>37</v>
      </c>
      <c r="AB4" s="9" t="s">
        <v>16</v>
      </c>
      <c r="AC4" s="8" t="s">
        <v>37</v>
      </c>
      <c r="AD4" s="9" t="s">
        <v>16</v>
      </c>
      <c r="AE4" s="8" t="s">
        <v>37</v>
      </c>
      <c r="AF4" s="9" t="s">
        <v>16</v>
      </c>
      <c r="AG4" s="8" t="s">
        <v>37</v>
      </c>
      <c r="AH4" s="9" t="s">
        <v>16</v>
      </c>
      <c r="AI4" s="8" t="s">
        <v>37</v>
      </c>
      <c r="AJ4" s="9" t="s">
        <v>16</v>
      </c>
      <c r="AK4" s="8" t="s">
        <v>37</v>
      </c>
      <c r="AL4" s="9" t="s">
        <v>16</v>
      </c>
      <c r="AM4" s="8" t="s">
        <v>37</v>
      </c>
      <c r="AN4" s="9" t="s">
        <v>16</v>
      </c>
      <c r="AO4" s="8" t="s">
        <v>37</v>
      </c>
      <c r="AP4" s="9" t="s">
        <v>16</v>
      </c>
      <c r="AQ4" s="8" t="s">
        <v>37</v>
      </c>
      <c r="AR4" s="9" t="s">
        <v>16</v>
      </c>
      <c r="AS4" s="8" t="s">
        <v>37</v>
      </c>
      <c r="AT4" s="9" t="s">
        <v>16</v>
      </c>
    </row>
    <row r="5" spans="1:46" ht="15.75" thickBot="1" x14ac:dyDescent="0.3">
      <c r="A5" s="10"/>
      <c r="B5" s="11" t="s">
        <v>17</v>
      </c>
      <c r="C5" s="12">
        <v>8.6835047808932408</v>
      </c>
      <c r="D5" s="13">
        <v>0.26957669801831702</v>
      </c>
      <c r="E5" s="12">
        <v>10.456059449712701</v>
      </c>
      <c r="F5" s="13">
        <v>0.107432745860391</v>
      </c>
      <c r="G5" s="12">
        <v>8.1831935666484803</v>
      </c>
      <c r="H5" s="13">
        <v>0.23869822705100299</v>
      </c>
      <c r="I5" s="12">
        <v>10.2971367938098</v>
      </c>
      <c r="J5" s="13">
        <v>0.161385223973815</v>
      </c>
      <c r="K5" s="12">
        <v>8.2694904239801001</v>
      </c>
      <c r="L5" s="13">
        <v>0.34510571490987701</v>
      </c>
      <c r="M5" s="12">
        <v>10.440037081679099</v>
      </c>
      <c r="N5" s="13">
        <v>0.10899511739327</v>
      </c>
      <c r="O5" s="12">
        <v>7.6338128986643996</v>
      </c>
      <c r="P5" s="13">
        <v>0.43334471892602799</v>
      </c>
      <c r="Q5" s="12">
        <v>10.0644417858274</v>
      </c>
      <c r="R5" s="13">
        <v>0.34543657572615</v>
      </c>
      <c r="S5" s="12">
        <v>7.4936395872331802</v>
      </c>
      <c r="T5" s="13">
        <v>0.42511414815910997</v>
      </c>
      <c r="U5" s="12">
        <v>9.8284734362284105</v>
      </c>
      <c r="V5" s="13">
        <v>0.39269023950627302</v>
      </c>
      <c r="W5" s="12">
        <v>7.46021921365372</v>
      </c>
      <c r="X5" s="13">
        <v>0.33442187894929598</v>
      </c>
      <c r="Y5" s="12">
        <v>9.1529380004172793</v>
      </c>
      <c r="Z5" s="13">
        <v>0.469122074749174</v>
      </c>
      <c r="AA5" s="12">
        <v>7.0566691180000003</v>
      </c>
      <c r="AB5" s="13">
        <v>0.28520517099999998</v>
      </c>
      <c r="AC5" s="12">
        <v>9.0241802700000004</v>
      </c>
      <c r="AD5" s="13">
        <v>0.25461355899999999</v>
      </c>
      <c r="AE5" s="12">
        <v>7.0202389772528004</v>
      </c>
      <c r="AF5" s="13">
        <v>0.30232198254289899</v>
      </c>
      <c r="AG5" s="12">
        <v>10.062947251132901</v>
      </c>
      <c r="AH5" s="13">
        <v>0.239186114593264</v>
      </c>
      <c r="AI5" s="12">
        <v>6.7223021384993098</v>
      </c>
      <c r="AJ5" s="13">
        <v>0.18202440368738501</v>
      </c>
      <c r="AK5" s="12">
        <v>9.5026539676548492</v>
      </c>
      <c r="AL5" s="13">
        <v>0.36604893099702701</v>
      </c>
      <c r="AM5" s="12">
        <v>6.5457309910136301</v>
      </c>
      <c r="AN5" s="13">
        <v>0.20664551656401101</v>
      </c>
      <c r="AO5" s="12">
        <v>9.4123312013653599</v>
      </c>
      <c r="AP5" s="13">
        <v>0.19503345727792201</v>
      </c>
      <c r="AQ5" s="12">
        <v>6.3560201090000001</v>
      </c>
      <c r="AR5" s="13">
        <v>0.214421898</v>
      </c>
      <c r="AS5" s="12">
        <v>9.6100696570000004</v>
      </c>
      <c r="AT5" s="13">
        <v>0.23033911900000001</v>
      </c>
    </row>
    <row r="6" spans="1:46" x14ac:dyDescent="0.25">
      <c r="A6" s="29" t="s">
        <v>38</v>
      </c>
      <c r="B6" s="14" t="s">
        <v>19</v>
      </c>
      <c r="C6" s="15">
        <v>9.0322321807864405</v>
      </c>
      <c r="D6" s="16">
        <v>0.35278774721345402</v>
      </c>
      <c r="E6" s="15">
        <v>10.5666751897623</v>
      </c>
      <c r="F6" s="16">
        <v>0.133642511703366</v>
      </c>
      <c r="G6" s="15">
        <v>8.5339124597651796</v>
      </c>
      <c r="H6" s="16">
        <v>0.41583317859390001</v>
      </c>
      <c r="I6" s="15">
        <v>10.3856071101041</v>
      </c>
      <c r="J6" s="16">
        <v>0.23304808447424</v>
      </c>
      <c r="K6" s="15">
        <v>8.4782214715992694</v>
      </c>
      <c r="L6" s="16">
        <v>0.56745906252473899</v>
      </c>
      <c r="M6" s="15">
        <v>10.481607728540499</v>
      </c>
      <c r="N6" s="16">
        <v>0.171363043705303</v>
      </c>
      <c r="O6" s="15">
        <v>7.8550406604342999</v>
      </c>
      <c r="P6" s="16">
        <v>0.46921519188588601</v>
      </c>
      <c r="Q6" s="15">
        <v>10.087858069191901</v>
      </c>
      <c r="R6" s="16">
        <v>0.35395688098936801</v>
      </c>
      <c r="S6" s="15">
        <v>7.4539774823140403</v>
      </c>
      <c r="T6" s="16">
        <v>0.41111173439745502</v>
      </c>
      <c r="U6" s="15">
        <v>9.9658050102959592</v>
      </c>
      <c r="V6" s="16">
        <v>0.356643567321001</v>
      </c>
      <c r="W6" s="15">
        <v>7.6434901143054796</v>
      </c>
      <c r="X6" s="16">
        <v>0.364064801002768</v>
      </c>
      <c r="Y6" s="15">
        <v>9.3725573274859606</v>
      </c>
      <c r="Z6" s="16">
        <v>0.53199970795720397</v>
      </c>
      <c r="AA6" s="15">
        <v>7.1777375829999999</v>
      </c>
      <c r="AB6" s="16">
        <v>0.27808909199999998</v>
      </c>
      <c r="AC6" s="15">
        <v>9.0148978329999991</v>
      </c>
      <c r="AD6" s="16">
        <v>0.31272352599999997</v>
      </c>
      <c r="AE6" s="15">
        <v>7.0673120102338398</v>
      </c>
      <c r="AF6" s="16">
        <v>0.29494067002265001</v>
      </c>
      <c r="AG6" s="15">
        <v>10.0989349001263</v>
      </c>
      <c r="AH6" s="16">
        <v>0.21910561546165799</v>
      </c>
      <c r="AI6" s="15">
        <v>7.0886721012437102</v>
      </c>
      <c r="AJ6" s="16">
        <v>0.225329899389445</v>
      </c>
      <c r="AK6" s="15">
        <v>9.8384636184029794</v>
      </c>
      <c r="AL6" s="16">
        <v>0.35302306894760299</v>
      </c>
      <c r="AM6" s="15">
        <v>6.5117499846837701</v>
      </c>
      <c r="AN6" s="16">
        <v>0.26958028161538899</v>
      </c>
      <c r="AO6" s="15">
        <v>9.6088705753660104</v>
      </c>
      <c r="AP6" s="16">
        <v>0.264920832633676</v>
      </c>
      <c r="AQ6" s="15">
        <v>6.4300597650000002</v>
      </c>
      <c r="AR6" s="16">
        <v>0.26167291799999998</v>
      </c>
      <c r="AS6" s="15">
        <v>9.6259075749999994</v>
      </c>
      <c r="AT6" s="16">
        <v>0.285085596</v>
      </c>
    </row>
    <row r="7" spans="1:46" ht="15.75" thickBot="1" x14ac:dyDescent="0.3">
      <c r="A7" s="29"/>
      <c r="B7" s="14" t="s">
        <v>20</v>
      </c>
      <c r="C7" s="17">
        <v>8.0051665594751604</v>
      </c>
      <c r="D7" s="18">
        <v>0.33685101452167698</v>
      </c>
      <c r="E7" s="17">
        <v>10.1034734474065</v>
      </c>
      <c r="F7" s="18">
        <v>0.23184440830228301</v>
      </c>
      <c r="G7" s="17">
        <v>7.9381105354459001</v>
      </c>
      <c r="H7" s="18">
        <v>0.26612089636702302</v>
      </c>
      <c r="I7" s="17">
        <v>10.2525590099221</v>
      </c>
      <c r="J7" s="18">
        <v>0.16949842980875601</v>
      </c>
      <c r="K7" s="17">
        <v>7.6785069873856804</v>
      </c>
      <c r="L7" s="18">
        <v>0.53390482955048701</v>
      </c>
      <c r="M7" s="17">
        <v>10.271248918417699</v>
      </c>
      <c r="N7" s="18">
        <v>0.16343193656903099</v>
      </c>
      <c r="O7" s="17">
        <v>7.0751947735208596</v>
      </c>
      <c r="P7" s="18">
        <v>0.56388231734374505</v>
      </c>
      <c r="Q7" s="17">
        <v>9.8940275737482803</v>
      </c>
      <c r="R7" s="18">
        <v>0.536201816145913</v>
      </c>
      <c r="S7" s="17">
        <v>7.2639861029660002</v>
      </c>
      <c r="T7" s="18">
        <v>0.64611803247430599</v>
      </c>
      <c r="U7" s="17">
        <v>9.4907654808709001</v>
      </c>
      <c r="V7" s="18">
        <v>0.58773604311893302</v>
      </c>
      <c r="W7" s="17">
        <v>7.0858093967737199</v>
      </c>
      <c r="X7" s="18">
        <v>0.43790530788246301</v>
      </c>
      <c r="Y7" s="17">
        <v>9.4353103949722108</v>
      </c>
      <c r="Z7" s="18">
        <v>0.52241615689934295</v>
      </c>
      <c r="AA7" s="17">
        <v>6.9961149819999999</v>
      </c>
      <c r="AB7" s="18">
        <v>0.44471684299999997</v>
      </c>
      <c r="AC7" s="17">
        <v>8.906589297</v>
      </c>
      <c r="AD7" s="18">
        <v>0.30763698499999997</v>
      </c>
      <c r="AE7" s="17">
        <v>7.0256122069445803</v>
      </c>
      <c r="AF7" s="18">
        <v>0.56189828403307995</v>
      </c>
      <c r="AG7" s="17">
        <v>9.7801778032126592</v>
      </c>
      <c r="AH7" s="18">
        <v>0.47965052268109098</v>
      </c>
      <c r="AI7" s="17">
        <v>6.3993758511912704</v>
      </c>
      <c r="AJ7" s="18">
        <v>0.25722507425075403</v>
      </c>
      <c r="AK7" s="17">
        <v>8.9163616048122503</v>
      </c>
      <c r="AL7" s="18">
        <v>0.34209957119459</v>
      </c>
      <c r="AM7" s="17">
        <v>6.6572455743243202</v>
      </c>
      <c r="AN7" s="18">
        <v>0.32213283084155497</v>
      </c>
      <c r="AO7" s="17">
        <v>9.3998884583090199</v>
      </c>
      <c r="AP7" s="18">
        <v>0.296449242846273</v>
      </c>
      <c r="AQ7" s="17">
        <v>6.2573148219999997</v>
      </c>
      <c r="AR7" s="18">
        <v>0.234798231</v>
      </c>
      <c r="AS7" s="17">
        <v>9.7741765449999995</v>
      </c>
      <c r="AT7" s="18">
        <v>0.24994329600000001</v>
      </c>
    </row>
    <row r="8" spans="1:46" x14ac:dyDescent="0.25">
      <c r="A8" s="30" t="s">
        <v>39</v>
      </c>
      <c r="B8" s="19" t="s">
        <v>40</v>
      </c>
      <c r="C8" s="15">
        <v>8.7413111599806008</v>
      </c>
      <c r="D8" s="16">
        <v>0.411300915396978</v>
      </c>
      <c r="E8" s="15">
        <v>10.5477270037594</v>
      </c>
      <c r="F8" s="16">
        <v>0.14991494647721301</v>
      </c>
      <c r="G8" s="15">
        <v>7.8372387666433401</v>
      </c>
      <c r="H8" s="16">
        <v>0.20100374823390799</v>
      </c>
      <c r="I8" s="15">
        <v>10.141690596638901</v>
      </c>
      <c r="J8" s="16">
        <v>0.21820564626279401</v>
      </c>
      <c r="K8" s="15">
        <v>7.8565751211934698</v>
      </c>
      <c r="L8" s="16">
        <v>0.40733579111035101</v>
      </c>
      <c r="M8" s="15">
        <v>10.4385199647067</v>
      </c>
      <c r="N8" s="16">
        <v>0.20811740596434999</v>
      </c>
      <c r="O8" s="15">
        <v>6.9312962142634902</v>
      </c>
      <c r="P8" s="16">
        <v>0.46897614433697998</v>
      </c>
      <c r="Q8" s="15">
        <v>9.6892287483921908</v>
      </c>
      <c r="R8" s="16">
        <v>0.52939679959116703</v>
      </c>
      <c r="S8" s="15">
        <v>7.3043287838925304</v>
      </c>
      <c r="T8" s="16">
        <v>0.45081884737511002</v>
      </c>
      <c r="U8" s="15">
        <v>9.6125987354889499</v>
      </c>
      <c r="V8" s="16">
        <v>0.52253719639802398</v>
      </c>
      <c r="W8" s="15">
        <v>7.3430148970716402</v>
      </c>
      <c r="X8" s="16">
        <v>0.25491769197762798</v>
      </c>
      <c r="Y8" s="15">
        <v>10.017893234886101</v>
      </c>
      <c r="Z8" s="16">
        <v>0.35861668510645001</v>
      </c>
      <c r="AA8" s="15">
        <v>6.8648868680000001</v>
      </c>
      <c r="AB8" s="16">
        <v>0.305089467</v>
      </c>
      <c r="AC8" s="15">
        <v>8.9466635229999998</v>
      </c>
      <c r="AD8" s="16">
        <v>0.264256671</v>
      </c>
      <c r="AE8" s="15">
        <v>6.7456136866856502</v>
      </c>
      <c r="AF8" s="16">
        <v>0.32071908674340299</v>
      </c>
      <c r="AG8" s="15">
        <v>9.7201664846926903</v>
      </c>
      <c r="AH8" s="16">
        <v>0.38959751965317202</v>
      </c>
      <c r="AI8" s="15">
        <v>6.3760900503885702</v>
      </c>
      <c r="AJ8" s="16">
        <v>0.27382151568722801</v>
      </c>
      <c r="AK8" s="15">
        <v>9.2445570535174895</v>
      </c>
      <c r="AL8" s="16">
        <v>0.413642782846732</v>
      </c>
      <c r="AM8" s="15">
        <v>6.4100450972745504</v>
      </c>
      <c r="AN8" s="16">
        <v>0.24380836213408399</v>
      </c>
      <c r="AO8" s="15">
        <v>9.29172181832039</v>
      </c>
      <c r="AP8" s="16">
        <v>0.24170443966060301</v>
      </c>
      <c r="AQ8" s="15">
        <v>6.4935135620000004</v>
      </c>
      <c r="AR8" s="16">
        <v>0.29226826299999997</v>
      </c>
      <c r="AS8" s="15">
        <v>9.6207447879999997</v>
      </c>
      <c r="AT8" s="16">
        <v>0.29383678000000002</v>
      </c>
    </row>
    <row r="9" spans="1:46" x14ac:dyDescent="0.25">
      <c r="A9" s="29"/>
      <c r="B9" s="20" t="s">
        <v>41</v>
      </c>
      <c r="C9" s="21">
        <v>8.8485236512901206</v>
      </c>
      <c r="D9" s="22">
        <v>0.43802594344779999</v>
      </c>
      <c r="E9" s="21">
        <v>10.3463456010752</v>
      </c>
      <c r="F9" s="22">
        <v>0.213670688676318</v>
      </c>
      <c r="G9" s="21">
        <v>8.2378606893499509</v>
      </c>
      <c r="H9" s="22">
        <v>0.50083214381919605</v>
      </c>
      <c r="I9" s="21">
        <v>10.3883687161458</v>
      </c>
      <c r="J9" s="22">
        <v>0.27097298581214802</v>
      </c>
      <c r="K9" s="21">
        <v>7.9973376029593801</v>
      </c>
      <c r="L9" s="22">
        <v>0.46162399393916798</v>
      </c>
      <c r="M9" s="21">
        <v>10.253727112449701</v>
      </c>
      <c r="N9" s="22">
        <v>0.228429710054391</v>
      </c>
      <c r="O9" s="21">
        <v>7.6986889073075</v>
      </c>
      <c r="P9" s="22">
        <v>0.52427905494769</v>
      </c>
      <c r="Q9" s="21">
        <v>10.302775353600699</v>
      </c>
      <c r="R9" s="22">
        <v>0.31957451760294098</v>
      </c>
      <c r="S9" s="21">
        <v>7.4668568491545901</v>
      </c>
      <c r="T9" s="22">
        <v>0.55211162990080398</v>
      </c>
      <c r="U9" s="21">
        <v>9.1418761471708105</v>
      </c>
      <c r="V9" s="22">
        <v>0.56740941346496099</v>
      </c>
      <c r="W9" s="21">
        <v>7.5497367425492303</v>
      </c>
      <c r="X9" s="22">
        <v>0.37039215845214202</v>
      </c>
      <c r="Y9" s="21">
        <v>9.4564434778886408</v>
      </c>
      <c r="Z9" s="22">
        <v>0.54033241407736499</v>
      </c>
      <c r="AA9" s="21">
        <v>7.2476785069999998</v>
      </c>
      <c r="AB9" s="22">
        <v>0.45234128400000001</v>
      </c>
      <c r="AC9" s="21">
        <v>9.5030244830000008</v>
      </c>
      <c r="AD9" s="22">
        <v>0.48184613799999998</v>
      </c>
      <c r="AE9" s="21">
        <v>7.3207751590889298</v>
      </c>
      <c r="AF9" s="22">
        <v>0.40233808040850499</v>
      </c>
      <c r="AG9" s="21">
        <v>10.2119704571711</v>
      </c>
      <c r="AH9" s="22">
        <v>0.20315760365114099</v>
      </c>
      <c r="AI9" s="21">
        <v>6.7787549047414197</v>
      </c>
      <c r="AJ9" s="22">
        <v>0.27982707565245302</v>
      </c>
      <c r="AK9" s="21">
        <v>9.2267799873650294</v>
      </c>
      <c r="AL9" s="22">
        <v>0.469874949913756</v>
      </c>
      <c r="AM9" s="21">
        <v>6.97638459742479</v>
      </c>
      <c r="AN9" s="22">
        <v>0.45711127948361702</v>
      </c>
      <c r="AO9" s="21">
        <v>9.5221305672517502</v>
      </c>
      <c r="AP9" s="22">
        <v>0.437508240743401</v>
      </c>
      <c r="AQ9" s="21">
        <v>6.4249674089999997</v>
      </c>
      <c r="AR9" s="22">
        <v>0.32442443900000001</v>
      </c>
      <c r="AS9" s="21">
        <v>10.00616262</v>
      </c>
      <c r="AT9" s="22">
        <v>0.237966556</v>
      </c>
    </row>
    <row r="10" spans="1:46" x14ac:dyDescent="0.25">
      <c r="A10" s="29"/>
      <c r="B10" s="20" t="s">
        <v>42</v>
      </c>
      <c r="C10" s="21">
        <v>8.5857273239582401</v>
      </c>
      <c r="D10" s="22">
        <v>0.44311147375683702</v>
      </c>
      <c r="E10" s="21">
        <v>10.249013043071001</v>
      </c>
      <c r="F10" s="22">
        <v>0.21787362954126599</v>
      </c>
      <c r="G10" s="21">
        <v>8.9246848257607905</v>
      </c>
      <c r="H10" s="22">
        <v>0.45746280982055498</v>
      </c>
      <c r="I10" s="21">
        <v>10.614063385936401</v>
      </c>
      <c r="J10" s="22">
        <v>0.26101957542300203</v>
      </c>
      <c r="K10" s="21">
        <v>8.6323666786875304</v>
      </c>
      <c r="L10" s="22">
        <v>0.634104257474574</v>
      </c>
      <c r="M10" s="21">
        <v>10.4775872667157</v>
      </c>
      <c r="N10" s="22">
        <v>0.19789547914868799</v>
      </c>
      <c r="O10" s="21">
        <v>8.0555545906711696</v>
      </c>
      <c r="P10" s="22">
        <v>0.68407972320753196</v>
      </c>
      <c r="Q10" s="21">
        <v>9.9282161693410895</v>
      </c>
      <c r="R10" s="22">
        <v>0.60044051876496796</v>
      </c>
      <c r="S10" s="21">
        <v>7.4304721199097603</v>
      </c>
      <c r="T10" s="22">
        <v>0.70891798601053901</v>
      </c>
      <c r="U10" s="21">
        <v>10.2333290459078</v>
      </c>
      <c r="V10" s="22">
        <v>0.35193240452227298</v>
      </c>
      <c r="W10" s="21">
        <v>7.2829409111017203</v>
      </c>
      <c r="X10" s="22">
        <v>0.59836447267370996</v>
      </c>
      <c r="Y10" s="21">
        <v>8.7140985429027307</v>
      </c>
      <c r="Z10" s="22">
        <v>0.481505325205005</v>
      </c>
      <c r="AA10" s="21">
        <v>7.0105577889999999</v>
      </c>
      <c r="AB10" s="22">
        <v>0.43567920300000001</v>
      </c>
      <c r="AC10" s="21">
        <v>8.6584232310000004</v>
      </c>
      <c r="AD10" s="22">
        <v>0.32461665000000001</v>
      </c>
      <c r="AE10" s="21">
        <v>6.9232145648150096</v>
      </c>
      <c r="AF10" s="22">
        <v>0.58588133347524096</v>
      </c>
      <c r="AG10" s="21">
        <v>10.0086349637177</v>
      </c>
      <c r="AH10" s="22">
        <v>0.458049006663375</v>
      </c>
      <c r="AI10" s="21">
        <v>6.68390230883369</v>
      </c>
      <c r="AJ10" s="22">
        <v>0.33959333949820503</v>
      </c>
      <c r="AK10" s="21">
        <v>9.3933796917943209</v>
      </c>
      <c r="AL10" s="22">
        <v>0.400470413989508</v>
      </c>
      <c r="AM10" s="21">
        <v>6.4657176413727298</v>
      </c>
      <c r="AN10" s="22">
        <v>0.32993581893538099</v>
      </c>
      <c r="AO10" s="21">
        <v>9.3245978325255106</v>
      </c>
      <c r="AP10" s="22">
        <v>0.32285229794852399</v>
      </c>
      <c r="AQ10" s="21">
        <v>6.4254623249999998</v>
      </c>
      <c r="AR10" s="22">
        <v>0.34532093800000002</v>
      </c>
      <c r="AS10" s="21">
        <v>9.6221887559999999</v>
      </c>
      <c r="AT10" s="22">
        <v>0.31460987099999999</v>
      </c>
    </row>
    <row r="11" spans="1:46" ht="15.75" thickBot="1" x14ac:dyDescent="0.3">
      <c r="A11" s="31"/>
      <c r="B11" s="23" t="s">
        <v>43</v>
      </c>
      <c r="C11" s="21">
        <v>9.2070376460283399</v>
      </c>
      <c r="D11" s="22">
        <v>0.60587641079975596</v>
      </c>
      <c r="E11" s="21">
        <v>10.623865019725599</v>
      </c>
      <c r="F11" s="22">
        <v>0.32710400262768102</v>
      </c>
      <c r="G11" s="21">
        <v>7.8252413755449899</v>
      </c>
      <c r="H11" s="22">
        <v>0.37105473919110799</v>
      </c>
      <c r="I11" s="21">
        <v>9.7886087347785296</v>
      </c>
      <c r="J11" s="22">
        <v>0.33433491121480302</v>
      </c>
      <c r="K11" s="21">
        <v>9.9052503458780308</v>
      </c>
      <c r="L11" s="22">
        <v>0.58993994860120802</v>
      </c>
      <c r="M11" s="21">
        <v>11.198364107977101</v>
      </c>
      <c r="N11" s="22">
        <v>0.87971409468213901</v>
      </c>
      <c r="O11" s="21">
        <v>8.2974504659855093</v>
      </c>
      <c r="P11" s="22">
        <v>0.55461524213983704</v>
      </c>
      <c r="Q11" s="21">
        <v>10.0874669204873</v>
      </c>
      <c r="R11" s="22">
        <v>0.48971152656078998</v>
      </c>
      <c r="S11" s="21">
        <v>8.4365926442056907</v>
      </c>
      <c r="T11" s="22">
        <v>0.92238918975337003</v>
      </c>
      <c r="U11" s="21">
        <v>10.1224463899957</v>
      </c>
      <c r="V11" s="22">
        <v>0.49446928073277102</v>
      </c>
      <c r="W11" s="21">
        <v>6.7217016886319101</v>
      </c>
      <c r="X11" s="22">
        <v>0.65467434030151594</v>
      </c>
      <c r="Y11" s="21">
        <v>8.6367362460151007</v>
      </c>
      <c r="Z11" s="22">
        <v>0.71825643612983703</v>
      </c>
      <c r="AA11" s="21">
        <v>6.9610159830000002</v>
      </c>
      <c r="AB11" s="22">
        <v>0.539982038</v>
      </c>
      <c r="AC11" s="21">
        <v>9.9343436589999996</v>
      </c>
      <c r="AD11" s="22">
        <v>0.488636444</v>
      </c>
      <c r="AE11" s="21">
        <v>6.6032098460798299</v>
      </c>
      <c r="AF11" s="22">
        <v>0.35282384833931701</v>
      </c>
      <c r="AG11" s="21">
        <v>9.6290919980462899</v>
      </c>
      <c r="AH11" s="22">
        <v>0.64070046256407698</v>
      </c>
      <c r="AI11" s="21">
        <v>7.7040591616600098</v>
      </c>
      <c r="AJ11" s="22">
        <v>0.59426340711946302</v>
      </c>
      <c r="AK11" s="21">
        <v>10.297621900297001</v>
      </c>
      <c r="AL11" s="22">
        <v>0.37459261888374201</v>
      </c>
      <c r="AM11" s="21">
        <v>6.2385431752049101</v>
      </c>
      <c r="AN11" s="22">
        <v>0.55158238831117901</v>
      </c>
      <c r="AO11" s="21">
        <v>9.8452758964005902</v>
      </c>
      <c r="AP11" s="22">
        <v>0.43669808943357502</v>
      </c>
      <c r="AQ11" s="21">
        <v>7.5829042380000002</v>
      </c>
      <c r="AR11" s="22">
        <v>0.73918935299999999</v>
      </c>
      <c r="AS11" s="21">
        <v>9.6132544949999996</v>
      </c>
      <c r="AT11" s="22">
        <v>0.52084842200000003</v>
      </c>
    </row>
    <row r="12" spans="1:46" ht="15" customHeight="1" x14ac:dyDescent="0.25">
      <c r="A12" s="30" t="s">
        <v>44</v>
      </c>
      <c r="B12" s="24" t="s">
        <v>45</v>
      </c>
      <c r="C12" s="15">
        <v>10.014815121803499</v>
      </c>
      <c r="D12" s="16">
        <v>0.58606327908460798</v>
      </c>
      <c r="E12" s="15">
        <v>11.4319000790251</v>
      </c>
      <c r="F12" s="16">
        <v>1.04548150603951</v>
      </c>
      <c r="G12" s="15">
        <v>9.2298226979999995</v>
      </c>
      <c r="H12" s="16">
        <v>0.69561667599999999</v>
      </c>
      <c r="I12" s="15">
        <v>10.857876040000001</v>
      </c>
      <c r="J12" s="16">
        <v>0.54705311000000001</v>
      </c>
      <c r="K12" s="15">
        <v>8.7956301833793002</v>
      </c>
      <c r="L12" s="16">
        <v>0.72422780106991103</v>
      </c>
      <c r="M12" s="15">
        <v>10.683349629437499</v>
      </c>
      <c r="N12" s="16">
        <v>0.321275032109478</v>
      </c>
      <c r="O12" s="15">
        <v>8.4534322079284792</v>
      </c>
      <c r="P12" s="16">
        <v>0.86701959134655904</v>
      </c>
      <c r="Q12" s="15">
        <v>10.7470161042665</v>
      </c>
      <c r="R12" s="16">
        <v>0.72841324090579196</v>
      </c>
      <c r="S12" s="15"/>
      <c r="T12" s="16"/>
      <c r="U12" s="25"/>
      <c r="V12" s="16"/>
      <c r="W12" s="15"/>
      <c r="X12" s="16"/>
      <c r="Y12" s="15"/>
      <c r="Z12" s="16"/>
      <c r="AA12" s="15"/>
      <c r="AB12" s="16"/>
      <c r="AC12" s="15"/>
      <c r="AD12" s="16"/>
      <c r="AE12" s="15"/>
      <c r="AF12" s="16"/>
      <c r="AG12" s="15"/>
      <c r="AH12" s="16"/>
      <c r="AI12" s="15"/>
      <c r="AJ12" s="16"/>
      <c r="AK12" s="15"/>
      <c r="AL12" s="16"/>
      <c r="AM12" s="15"/>
      <c r="AN12" s="16"/>
      <c r="AO12" s="15"/>
      <c r="AP12" s="16"/>
      <c r="AQ12" s="15"/>
      <c r="AR12" s="16"/>
      <c r="AS12" s="15"/>
      <c r="AT12" s="16"/>
    </row>
    <row r="13" spans="1:46" x14ac:dyDescent="0.25">
      <c r="A13" s="29"/>
      <c r="B13" s="14" t="s">
        <v>46</v>
      </c>
      <c r="C13" s="21">
        <v>8.0551974525604297</v>
      </c>
      <c r="D13" s="22">
        <v>0.37278218496736998</v>
      </c>
      <c r="E13" s="21">
        <v>9.9956955744375708</v>
      </c>
      <c r="F13" s="22">
        <v>0.31959286192590403</v>
      </c>
      <c r="G13" s="21">
        <v>8.2155789216000201</v>
      </c>
      <c r="H13" s="22">
        <v>0.28972504796861898</v>
      </c>
      <c r="I13" s="21">
        <v>10.0740448260033</v>
      </c>
      <c r="J13" s="22">
        <v>0.26175163172388799</v>
      </c>
      <c r="K13" s="21">
        <v>7.6303907819523697</v>
      </c>
      <c r="L13" s="22">
        <v>0.48769201622833003</v>
      </c>
      <c r="M13" s="21">
        <v>10.2147176495351</v>
      </c>
      <c r="N13" s="22">
        <v>0.18911792432500199</v>
      </c>
      <c r="O13" s="21">
        <v>7.3397179327648701</v>
      </c>
      <c r="P13" s="22">
        <v>0.69995186464973502</v>
      </c>
      <c r="Q13" s="21">
        <v>9.9134290623658092</v>
      </c>
      <c r="R13" s="22">
        <v>0.583542398313177</v>
      </c>
      <c r="S13" s="21">
        <v>7.5094352416416204</v>
      </c>
      <c r="T13" s="22">
        <v>0.80858035584662202</v>
      </c>
      <c r="U13" s="21">
        <v>9.8318981430198509</v>
      </c>
      <c r="V13" s="22">
        <v>0.648268263503885</v>
      </c>
      <c r="W13" s="21">
        <v>7.0325860528082602</v>
      </c>
      <c r="X13" s="22">
        <v>0.53023006990561405</v>
      </c>
      <c r="Y13" s="21">
        <v>9.3053691422151203</v>
      </c>
      <c r="Z13" s="22">
        <v>0.53169143437258903</v>
      </c>
      <c r="AA13" s="21">
        <v>6.8775168039999999</v>
      </c>
      <c r="AB13" s="22">
        <v>0.50661919700000002</v>
      </c>
      <c r="AC13" s="21">
        <v>9.3299206570000006</v>
      </c>
      <c r="AD13" s="22">
        <v>0.53944465600000002</v>
      </c>
      <c r="AE13" s="21">
        <v>7.1969853225612397</v>
      </c>
      <c r="AF13" s="22">
        <v>0.54291248492583799</v>
      </c>
      <c r="AG13" s="21">
        <v>10.476753056997699</v>
      </c>
      <c r="AH13" s="22">
        <v>0.347817409534036</v>
      </c>
      <c r="AI13" s="21">
        <v>6.73512928872535</v>
      </c>
      <c r="AJ13" s="22">
        <v>0.31597672363776302</v>
      </c>
      <c r="AK13" s="21">
        <v>9.3252610131107296</v>
      </c>
      <c r="AL13" s="22">
        <v>0.53856432563368895</v>
      </c>
      <c r="AM13" s="21">
        <v>6.3874877244750401</v>
      </c>
      <c r="AN13" s="22">
        <v>0.34547153479892301</v>
      </c>
      <c r="AO13" s="21">
        <v>9.7622568489484198</v>
      </c>
      <c r="AP13" s="22">
        <v>0.273532042473975</v>
      </c>
      <c r="AQ13" s="21">
        <v>6.3644209539999999</v>
      </c>
      <c r="AR13" s="22">
        <v>0.30941679</v>
      </c>
      <c r="AS13" s="21">
        <v>9.5387646640000003</v>
      </c>
      <c r="AT13" s="22">
        <v>0.39424315300000001</v>
      </c>
    </row>
    <row r="14" spans="1:46" x14ac:dyDescent="0.25">
      <c r="A14" s="29"/>
      <c r="B14" s="14" t="s">
        <v>22</v>
      </c>
      <c r="C14" s="21">
        <v>8.7526242744041198</v>
      </c>
      <c r="D14" s="22">
        <v>0.52693253990390998</v>
      </c>
      <c r="E14" s="21">
        <v>10.0916293169923</v>
      </c>
      <c r="F14" s="22">
        <v>0.35846706206180201</v>
      </c>
      <c r="G14" s="21">
        <v>8.7091844524708097</v>
      </c>
      <c r="H14" s="22">
        <v>0.66006050790568005</v>
      </c>
      <c r="I14" s="21">
        <v>11.084035140295899</v>
      </c>
      <c r="J14" s="22">
        <v>0.55437558949654697</v>
      </c>
      <c r="K14" s="21">
        <v>8.0160589246858294</v>
      </c>
      <c r="L14" s="22">
        <v>0.77468053026824202</v>
      </c>
      <c r="M14" s="21">
        <v>9.8629672483352895</v>
      </c>
      <c r="N14" s="22">
        <v>0.58047878703102096</v>
      </c>
      <c r="O14" s="21">
        <v>8.7531242291453797</v>
      </c>
      <c r="P14" s="22">
        <v>1.00448500099217</v>
      </c>
      <c r="Q14" s="21">
        <v>10.047597088636801</v>
      </c>
      <c r="R14" s="22">
        <v>0.74077957566922603</v>
      </c>
      <c r="S14" s="21">
        <v>7.3064240989236104</v>
      </c>
      <c r="T14" s="22">
        <v>0.63626504420929397</v>
      </c>
      <c r="U14" s="21">
        <v>9.64155217294838</v>
      </c>
      <c r="V14" s="22">
        <v>0.52046374822077701</v>
      </c>
      <c r="W14" s="21">
        <v>7.4381713332726704</v>
      </c>
      <c r="X14" s="22">
        <v>0.450826017175807</v>
      </c>
      <c r="Y14" s="21">
        <v>9.34098281873543</v>
      </c>
      <c r="Z14" s="22">
        <v>0.65370913180111301</v>
      </c>
      <c r="AA14" s="21">
        <v>6.8975753600000003</v>
      </c>
      <c r="AB14" s="22">
        <v>0.41017210599999998</v>
      </c>
      <c r="AC14" s="21">
        <v>8.6302722939999992</v>
      </c>
      <c r="AD14" s="22">
        <v>0.33650649300000002</v>
      </c>
      <c r="AE14" s="21">
        <v>6.9490267062739299</v>
      </c>
      <c r="AF14" s="22">
        <v>0.51954197118041501</v>
      </c>
      <c r="AG14" s="21">
        <v>10.1048769305929</v>
      </c>
      <c r="AH14" s="22">
        <v>0.24675410870970199</v>
      </c>
      <c r="AI14" s="21">
        <v>7.4530390883989801</v>
      </c>
      <c r="AJ14" s="22">
        <v>0.40801330910898898</v>
      </c>
      <c r="AK14" s="21">
        <v>9.9377551085948106</v>
      </c>
      <c r="AL14" s="22">
        <v>0.37589676710956299</v>
      </c>
      <c r="AM14" s="21">
        <v>6.3037900663560196</v>
      </c>
      <c r="AN14" s="22">
        <v>0.28401710348568998</v>
      </c>
      <c r="AO14" s="21">
        <v>9.4889907052443903</v>
      </c>
      <c r="AP14" s="22">
        <v>0.32241340310153699</v>
      </c>
      <c r="AQ14" s="21">
        <v>6.3655129019999999</v>
      </c>
      <c r="AR14" s="22">
        <v>0.37535942900000002</v>
      </c>
      <c r="AS14" s="21">
        <v>9.4644232699999993</v>
      </c>
      <c r="AT14" s="22">
        <v>0.410832945</v>
      </c>
    </row>
    <row r="15" spans="1:46" x14ac:dyDescent="0.25">
      <c r="A15" s="29"/>
      <c r="B15" s="14" t="s">
        <v>47</v>
      </c>
      <c r="C15" s="21">
        <v>9.5729260675832997</v>
      </c>
      <c r="D15" s="22">
        <v>0.78452801944823702</v>
      </c>
      <c r="E15" s="21">
        <v>10.7749393051149</v>
      </c>
      <c r="F15" s="22">
        <v>0.60397691401578002</v>
      </c>
      <c r="G15" s="21">
        <v>9.1467834171935003</v>
      </c>
      <c r="H15" s="22">
        <v>0.70499973557135598</v>
      </c>
      <c r="I15" s="21">
        <v>10.8647326502056</v>
      </c>
      <c r="J15" s="22">
        <v>0.67049477232964605</v>
      </c>
      <c r="K15" s="21">
        <v>8.9238463564755399</v>
      </c>
      <c r="L15" s="22">
        <v>0.85289081274525103</v>
      </c>
      <c r="M15" s="21">
        <v>10.7574624309743</v>
      </c>
      <c r="N15" s="22">
        <v>0.44297213435622401</v>
      </c>
      <c r="O15" s="21">
        <v>9.5669905327353497</v>
      </c>
      <c r="P15" s="22">
        <v>0.86571915704136904</v>
      </c>
      <c r="Q15" s="21">
        <v>10.5645167888472</v>
      </c>
      <c r="R15" s="22">
        <v>1.0810082770757401</v>
      </c>
      <c r="S15" s="21">
        <v>8.2843998176852303</v>
      </c>
      <c r="T15" s="22">
        <v>0.60248706216541903</v>
      </c>
      <c r="U15" s="21">
        <v>10.357413793508901</v>
      </c>
      <c r="V15" s="22">
        <v>0.238607354932762</v>
      </c>
      <c r="W15" s="21">
        <v>8.1836603795806404</v>
      </c>
      <c r="X15" s="22">
        <v>0.53742857950641099</v>
      </c>
      <c r="Y15" s="21">
        <v>10.527865339214699</v>
      </c>
      <c r="Z15" s="22">
        <v>0.46070940545259698</v>
      </c>
      <c r="AA15" s="21">
        <v>7.4651432529999999</v>
      </c>
      <c r="AB15" s="22">
        <v>0.40664831400000001</v>
      </c>
      <c r="AC15" s="21">
        <v>9.0378935259999995</v>
      </c>
      <c r="AD15" s="22">
        <v>0.33947999699999998</v>
      </c>
      <c r="AE15" s="21">
        <v>6.9755578132808704</v>
      </c>
      <c r="AF15" s="22">
        <v>0.35635127872607297</v>
      </c>
      <c r="AG15" s="21">
        <v>9.4449734068724602</v>
      </c>
      <c r="AH15" s="22">
        <v>0.44371952927432501</v>
      </c>
      <c r="AI15" s="21">
        <v>6.6617404955394903</v>
      </c>
      <c r="AJ15" s="22">
        <v>0.43153925946820398</v>
      </c>
      <c r="AK15" s="21">
        <v>9.2519720931192904</v>
      </c>
      <c r="AL15" s="22">
        <v>0.598004128419245</v>
      </c>
      <c r="AM15" s="21">
        <v>6.7702812090492301</v>
      </c>
      <c r="AN15" s="22">
        <v>0.39161485322261003</v>
      </c>
      <c r="AO15" s="21">
        <v>9.9378764478962101</v>
      </c>
      <c r="AP15" s="22">
        <v>0.25269726260687603</v>
      </c>
      <c r="AQ15" s="21">
        <v>6.3974253900000004</v>
      </c>
      <c r="AR15" s="22">
        <v>0.40838194900000002</v>
      </c>
      <c r="AS15" s="21">
        <v>9.7608104919999992</v>
      </c>
      <c r="AT15" s="22">
        <v>0.447487525</v>
      </c>
    </row>
    <row r="16" spans="1:46" x14ac:dyDescent="0.25">
      <c r="A16" s="29"/>
      <c r="B16" s="14" t="s">
        <v>48</v>
      </c>
      <c r="C16" s="21">
        <v>9.3802432360066597</v>
      </c>
      <c r="D16" s="22">
        <v>0.44394092697498599</v>
      </c>
      <c r="E16" s="21">
        <v>10.715973799587299</v>
      </c>
      <c r="F16" s="22">
        <v>0.28498280204132498</v>
      </c>
      <c r="G16" s="21">
        <v>8.4627645346902707</v>
      </c>
      <c r="H16" s="22">
        <v>0.42881914561666601</v>
      </c>
      <c r="I16" s="21">
        <v>10.3631468148953</v>
      </c>
      <c r="J16" s="22">
        <v>0.39529833383634999</v>
      </c>
      <c r="K16" s="21">
        <v>7.73831794239464</v>
      </c>
      <c r="L16" s="22">
        <v>0.50798544557618397</v>
      </c>
      <c r="M16" s="21">
        <v>10.410775832451201</v>
      </c>
      <c r="N16" s="22">
        <v>0.229030321755536</v>
      </c>
      <c r="O16" s="21">
        <v>6.5696748584780398</v>
      </c>
      <c r="P16" s="22">
        <v>0.50617106406886603</v>
      </c>
      <c r="Q16" s="21">
        <v>9.2716380348384497</v>
      </c>
      <c r="R16" s="22">
        <v>0.56952310677102003</v>
      </c>
      <c r="S16" s="21">
        <v>6.98289474010768</v>
      </c>
      <c r="T16" s="22">
        <v>0.75966350099165902</v>
      </c>
      <c r="U16" s="21">
        <v>9.4805327938675692</v>
      </c>
      <c r="V16" s="22">
        <v>0.69634870496567103</v>
      </c>
      <c r="W16" s="21">
        <v>6.9084368671954399</v>
      </c>
      <c r="X16" s="22">
        <v>0.46762162825343401</v>
      </c>
      <c r="Y16" s="21">
        <v>9.0023938847974492</v>
      </c>
      <c r="Z16" s="22">
        <v>0.60343444373925503</v>
      </c>
      <c r="AA16" s="21">
        <v>7.3013284909999996</v>
      </c>
      <c r="AB16" s="22">
        <v>0.47745079899999998</v>
      </c>
      <c r="AC16" s="21">
        <v>9.3234727599999996</v>
      </c>
      <c r="AD16" s="22">
        <v>0.46949300900000002</v>
      </c>
      <c r="AE16" s="21">
        <v>7.0116324981132196</v>
      </c>
      <c r="AF16" s="22">
        <v>0.60815004439073095</v>
      </c>
      <c r="AG16" s="21">
        <v>9.5635246245576209</v>
      </c>
      <c r="AH16" s="22">
        <v>0.52869756157342995</v>
      </c>
      <c r="AI16" s="21">
        <v>6.1709248274128896</v>
      </c>
      <c r="AJ16" s="22">
        <v>0.24153202216622099</v>
      </c>
      <c r="AK16" s="21">
        <v>8.8208374722829195</v>
      </c>
      <c r="AL16" s="22">
        <v>0.34407361943881298</v>
      </c>
      <c r="AM16" s="21">
        <v>6.79473719895873</v>
      </c>
      <c r="AN16" s="22">
        <v>0.33631168884922202</v>
      </c>
      <c r="AO16" s="21">
        <v>9.7207257644346097</v>
      </c>
      <c r="AP16" s="22">
        <v>0.316955666791151</v>
      </c>
      <c r="AQ16" s="21">
        <v>6.2298905790000001</v>
      </c>
      <c r="AR16" s="22">
        <v>0.23703775799999999</v>
      </c>
      <c r="AS16" s="21">
        <v>9.7796565480000002</v>
      </c>
      <c r="AT16" s="22">
        <v>0.29713691800000003</v>
      </c>
    </row>
    <row r="17" spans="1:46" x14ac:dyDescent="0.25">
      <c r="A17" s="29"/>
      <c r="B17" s="14" t="s">
        <v>49</v>
      </c>
      <c r="C17" s="21">
        <v>8.7356862536756701</v>
      </c>
      <c r="D17" s="22">
        <v>0.57217744713753005</v>
      </c>
      <c r="E17" s="21">
        <v>10.586764416780399</v>
      </c>
      <c r="F17" s="22">
        <v>0.27739337677026199</v>
      </c>
      <c r="G17" s="21">
        <v>8.2555816360954495</v>
      </c>
      <c r="H17" s="22">
        <v>0.60641548942875201</v>
      </c>
      <c r="I17" s="21">
        <v>10.159551942509101</v>
      </c>
      <c r="J17" s="22">
        <v>0.29610916206530802</v>
      </c>
      <c r="K17" s="21">
        <v>9.4353449387259207</v>
      </c>
      <c r="L17" s="22">
        <v>0.77559629902511495</v>
      </c>
      <c r="M17" s="21">
        <v>11.200705740724899</v>
      </c>
      <c r="N17" s="22">
        <v>0.80242279552571605</v>
      </c>
      <c r="O17" s="21">
        <v>7.5232206486532602</v>
      </c>
      <c r="P17" s="22">
        <v>0.85522204063454998</v>
      </c>
      <c r="Q17" s="21">
        <v>10.037209264883</v>
      </c>
      <c r="R17" s="22">
        <v>0.52750335662341696</v>
      </c>
      <c r="S17" s="21">
        <v>6.9153155280474596</v>
      </c>
      <c r="T17" s="22">
        <v>0.65174576564138698</v>
      </c>
      <c r="U17" s="21">
        <v>9.2912871695397996</v>
      </c>
      <c r="V17" s="22">
        <v>0.75419739206218805</v>
      </c>
      <c r="W17" s="21">
        <v>6.9362029008895796</v>
      </c>
      <c r="X17" s="22">
        <v>0.92909295723616303</v>
      </c>
      <c r="Y17" s="21">
        <v>9.2704986405384702</v>
      </c>
      <c r="Z17" s="22">
        <v>1.0055716103003101</v>
      </c>
      <c r="AA17" s="21">
        <v>5.85512371</v>
      </c>
      <c r="AB17" s="22">
        <v>0.17403563899999999</v>
      </c>
      <c r="AC17" s="21">
        <v>8.2460496279999997</v>
      </c>
      <c r="AD17" s="22">
        <v>0.24548644999999999</v>
      </c>
      <c r="AE17" s="21">
        <v>6.8049736616783099</v>
      </c>
      <c r="AF17" s="22">
        <v>0.55425658966052704</v>
      </c>
      <c r="AG17" s="21">
        <v>10.1142515152537</v>
      </c>
      <c r="AH17" s="22">
        <v>0.33393386766863897</v>
      </c>
      <c r="AI17" s="21">
        <v>7.6116312715759697</v>
      </c>
      <c r="AJ17" s="22">
        <v>0.553456663025509</v>
      </c>
      <c r="AK17" s="21">
        <v>10.2283352130083</v>
      </c>
      <c r="AL17" s="22">
        <v>0.53970096168282999</v>
      </c>
      <c r="AM17" s="21">
        <v>6.4353324731047898</v>
      </c>
      <c r="AN17" s="22">
        <v>0.50086335389852299</v>
      </c>
      <c r="AO17" s="21">
        <v>9.5587881723169392</v>
      </c>
      <c r="AP17" s="22">
        <v>0.493666112503725</v>
      </c>
      <c r="AQ17" s="21">
        <v>6.6546456650000003</v>
      </c>
      <c r="AR17" s="22">
        <v>0.67904550900000005</v>
      </c>
      <c r="AS17" s="21">
        <v>9.1129950789999992</v>
      </c>
      <c r="AT17" s="22">
        <v>1.0077966119999999</v>
      </c>
    </row>
    <row r="18" spans="1:46" ht="15.75" thickBot="1" x14ac:dyDescent="0.3">
      <c r="A18" s="31"/>
      <c r="B18" s="26" t="s">
        <v>50</v>
      </c>
      <c r="C18" s="21">
        <v>9.0358587585750598</v>
      </c>
      <c r="D18" s="22">
        <v>0.69952297320893797</v>
      </c>
      <c r="E18" s="21">
        <v>12.001201642151401</v>
      </c>
      <c r="F18" s="22">
        <v>1.3732009671898699</v>
      </c>
      <c r="G18" s="21">
        <v>7.2673620552131997</v>
      </c>
      <c r="H18" s="22">
        <v>0.416622404561791</v>
      </c>
      <c r="I18" s="21">
        <v>9.2507420054913894</v>
      </c>
      <c r="J18" s="22">
        <v>0.50030325490109095</v>
      </c>
      <c r="K18" s="21">
        <v>8.4531368801858893</v>
      </c>
      <c r="L18" s="22">
        <v>0.854621071425817</v>
      </c>
      <c r="M18" s="21">
        <v>10.4712465165307</v>
      </c>
      <c r="N18" s="22">
        <v>0.53446024058701003</v>
      </c>
      <c r="O18" s="21">
        <v>8.54904367742642</v>
      </c>
      <c r="P18" s="22">
        <v>0.96063978496538305</v>
      </c>
      <c r="Q18" s="21">
        <v>9.9759388987439692</v>
      </c>
      <c r="R18" s="22">
        <v>0.96357599309988495</v>
      </c>
      <c r="S18" s="21">
        <v>7.1681815874022403</v>
      </c>
      <c r="T18" s="22">
        <v>0.39674453001857302</v>
      </c>
      <c r="U18" s="21">
        <v>9.5526489282318394</v>
      </c>
      <c r="V18" s="22">
        <v>0.60035721265256003</v>
      </c>
      <c r="W18" s="21">
        <v>7.7834420505174799</v>
      </c>
      <c r="X18" s="22">
        <v>0.40848651025999599</v>
      </c>
      <c r="Y18" s="21">
        <v>9.7956688801438005</v>
      </c>
      <c r="Z18" s="22">
        <v>0.43370760164283001</v>
      </c>
      <c r="AA18" s="21">
        <v>6.7295506710000002</v>
      </c>
      <c r="AB18" s="22">
        <v>0.34713999600000001</v>
      </c>
      <c r="AC18" s="21">
        <v>8.8429890600000007</v>
      </c>
      <c r="AD18" s="22">
        <v>0.32486799799999999</v>
      </c>
      <c r="AE18" s="21">
        <v>6.4553706479095201</v>
      </c>
      <c r="AF18" s="22">
        <v>0.43306506345594298</v>
      </c>
      <c r="AG18" s="21">
        <v>9.7999392401282108</v>
      </c>
      <c r="AH18" s="22">
        <v>0.48548522273223899</v>
      </c>
      <c r="AI18" s="21">
        <v>6.6422152476553302</v>
      </c>
      <c r="AJ18" s="22">
        <v>0.40032692245337098</v>
      </c>
      <c r="AK18" s="21">
        <v>9.4749586837777695</v>
      </c>
      <c r="AL18" s="22">
        <v>0.48105585936138701</v>
      </c>
      <c r="AM18" s="21">
        <v>6.38052283401003</v>
      </c>
      <c r="AN18" s="22">
        <v>0.34150168124464902</v>
      </c>
      <c r="AO18" s="21">
        <v>9.0238529269509495</v>
      </c>
      <c r="AP18" s="22">
        <v>0.42057461909340299</v>
      </c>
      <c r="AQ18" s="21">
        <v>6.2111476970000004</v>
      </c>
      <c r="AR18" s="22">
        <v>0.366311624</v>
      </c>
      <c r="AS18" s="21">
        <v>9.8800406949999999</v>
      </c>
      <c r="AT18" s="22">
        <v>0.30776197900000002</v>
      </c>
    </row>
    <row r="19" spans="1:46" ht="15" customHeight="1" x14ac:dyDescent="0.25">
      <c r="A19" s="30" t="s">
        <v>51</v>
      </c>
      <c r="B19" s="27" t="s">
        <v>52</v>
      </c>
      <c r="C19" s="15">
        <v>8.9814216494808594</v>
      </c>
      <c r="D19" s="16">
        <v>0.67706069908797895</v>
      </c>
      <c r="E19" s="15">
        <v>10.4224966139546</v>
      </c>
      <c r="F19" s="16">
        <v>0.28055450908406698</v>
      </c>
      <c r="G19" s="15">
        <v>9.0419570757641292</v>
      </c>
      <c r="H19" s="16">
        <v>0.654861631139801</v>
      </c>
      <c r="I19" s="15">
        <v>10.4899192240514</v>
      </c>
      <c r="J19" s="16">
        <v>0.30856020270955697</v>
      </c>
      <c r="K19" s="15">
        <v>8.0378132450396294</v>
      </c>
      <c r="L19" s="16">
        <v>0.84645011983755003</v>
      </c>
      <c r="M19" s="15">
        <v>9.8923595468624708</v>
      </c>
      <c r="N19" s="16">
        <v>0.68467796254232605</v>
      </c>
      <c r="O19" s="15">
        <v>8.9178114165127802</v>
      </c>
      <c r="P19" s="16">
        <v>1.0318893040369299</v>
      </c>
      <c r="Q19" s="15">
        <v>10.2429726825237</v>
      </c>
      <c r="R19" s="16">
        <v>0.69395544324028402</v>
      </c>
      <c r="S19" s="15">
        <v>6.7454465346883401</v>
      </c>
      <c r="T19" s="16">
        <v>0.79962800302105397</v>
      </c>
      <c r="U19" s="15">
        <v>6.7454465346883401</v>
      </c>
      <c r="V19" s="16">
        <v>0.79962800302105397</v>
      </c>
      <c r="W19" s="15">
        <v>6.3826279739484901</v>
      </c>
      <c r="X19" s="16">
        <v>0.50695722067124604</v>
      </c>
      <c r="Y19" s="15">
        <v>8.3092234016102395</v>
      </c>
      <c r="Z19" s="16">
        <v>0.50867035799654303</v>
      </c>
      <c r="AA19" s="15">
        <v>6.2631455679999997</v>
      </c>
      <c r="AB19" s="16">
        <v>0.36133930199999997</v>
      </c>
      <c r="AC19" s="15">
        <v>8.6273031769999999</v>
      </c>
      <c r="AD19" s="16">
        <v>0.315207289</v>
      </c>
      <c r="AE19" s="15">
        <v>6.3330595131989798</v>
      </c>
      <c r="AF19" s="16">
        <v>0.54596563790309605</v>
      </c>
      <c r="AG19" s="15">
        <v>10.166665428994801</v>
      </c>
      <c r="AH19" s="16">
        <v>0.51898642675445905</v>
      </c>
      <c r="AI19" s="15">
        <v>6.7252210778260801</v>
      </c>
      <c r="AJ19" s="16">
        <v>0.34513167455652699</v>
      </c>
      <c r="AK19" s="15">
        <v>8.82128093998403</v>
      </c>
      <c r="AL19" s="16">
        <v>0.38849069448979301</v>
      </c>
      <c r="AM19" s="15">
        <v>6.7488953181576701</v>
      </c>
      <c r="AN19" s="16">
        <v>0.51244699568367702</v>
      </c>
      <c r="AO19" s="15">
        <v>9.7156479242900105</v>
      </c>
      <c r="AP19" s="16">
        <v>0.409760034506154</v>
      </c>
      <c r="AQ19" s="15">
        <v>6.3975872540000003</v>
      </c>
      <c r="AR19" s="16">
        <v>0.50899723200000002</v>
      </c>
      <c r="AS19" s="15">
        <v>10.07236573</v>
      </c>
      <c r="AT19" s="16">
        <v>0.297188116</v>
      </c>
    </row>
    <row r="20" spans="1:46" x14ac:dyDescent="0.25">
      <c r="A20" s="29"/>
      <c r="B20" s="28" t="s">
        <v>53</v>
      </c>
      <c r="C20" s="21">
        <v>8.6366983667465593</v>
      </c>
      <c r="D20" s="22">
        <v>0.38972782585661297</v>
      </c>
      <c r="E20" s="21">
        <v>10.3633435239744</v>
      </c>
      <c r="F20" s="22">
        <v>0.145228400753148</v>
      </c>
      <c r="G20" s="21">
        <v>8.0064608423549508</v>
      </c>
      <c r="H20" s="22">
        <v>0.29568620407722301</v>
      </c>
      <c r="I20" s="21">
        <v>10.3274436394861</v>
      </c>
      <c r="J20" s="22">
        <v>0.20211603795202901</v>
      </c>
      <c r="K20" s="21">
        <v>8.1622983769973008</v>
      </c>
      <c r="L20" s="22">
        <v>0.52368650966984098</v>
      </c>
      <c r="M20" s="21">
        <v>10.3745530393001</v>
      </c>
      <c r="N20" s="22">
        <v>0.19317130952773601</v>
      </c>
      <c r="O20" s="21">
        <v>7.1838276957707299</v>
      </c>
      <c r="P20" s="22">
        <v>0.48554389141634302</v>
      </c>
      <c r="Q20" s="21">
        <v>10.0768186554526</v>
      </c>
      <c r="R20" s="22">
        <v>0.39930994809156301</v>
      </c>
      <c r="S20" s="21">
        <v>7.0625393993865702</v>
      </c>
      <c r="T20" s="22">
        <v>0.54918234136840005</v>
      </c>
      <c r="U20" s="21">
        <v>7.0625393993865702</v>
      </c>
      <c r="V20" s="22">
        <v>0.54918234136840005</v>
      </c>
      <c r="W20" s="21">
        <v>7.7659368602841203</v>
      </c>
      <c r="X20" s="22">
        <v>0.38173232271538099</v>
      </c>
      <c r="Y20" s="21">
        <v>9.6208328234191391</v>
      </c>
      <c r="Z20" s="22">
        <v>0.475981917488769</v>
      </c>
      <c r="AA20" s="21">
        <v>7.4941685859999998</v>
      </c>
      <c r="AB20" s="22">
        <v>0.37607805399999999</v>
      </c>
      <c r="AC20" s="21">
        <v>9.5199636299999995</v>
      </c>
      <c r="AD20" s="22">
        <v>0.44311331100000001</v>
      </c>
      <c r="AE20" s="21">
        <v>6.9457865837206096</v>
      </c>
      <c r="AF20" s="22">
        <v>0.36542926350564198</v>
      </c>
      <c r="AG20" s="21">
        <v>9.9983111842257202</v>
      </c>
      <c r="AH20" s="22">
        <v>0.32982247399392001</v>
      </c>
      <c r="AI20" s="21">
        <v>6.5148863429679302</v>
      </c>
      <c r="AJ20" s="22">
        <v>0.275397097500236</v>
      </c>
      <c r="AK20" s="21">
        <v>9.1872541002313604</v>
      </c>
      <c r="AL20" s="22">
        <v>0.369017856726228</v>
      </c>
      <c r="AM20" s="21">
        <v>6.29428471126689</v>
      </c>
      <c r="AN20" s="22">
        <v>0.24807106533186499</v>
      </c>
      <c r="AO20" s="21">
        <v>9.4595025170985405</v>
      </c>
      <c r="AP20" s="22">
        <v>0.280606759948823</v>
      </c>
      <c r="AQ20" s="21">
        <v>6.670227068</v>
      </c>
      <c r="AR20" s="22">
        <v>0.390390342</v>
      </c>
      <c r="AS20" s="21">
        <v>9.7847349389999998</v>
      </c>
      <c r="AT20" s="22">
        <v>0.25884472200000003</v>
      </c>
    </row>
    <row r="21" spans="1:46" x14ac:dyDescent="0.25">
      <c r="A21" s="29"/>
      <c r="B21" s="28" t="s">
        <v>54</v>
      </c>
      <c r="C21" s="21">
        <v>9.1623149758832607</v>
      </c>
      <c r="D21" s="22">
        <v>0.44481877550134502</v>
      </c>
      <c r="E21" s="21">
        <v>10.706140898803</v>
      </c>
      <c r="F21" s="22">
        <v>0.19535445933151399</v>
      </c>
      <c r="G21" s="21">
        <v>8.25472342377385</v>
      </c>
      <c r="H21" s="22">
        <v>0.37001342924637998</v>
      </c>
      <c r="I21" s="21">
        <v>10.3666060468321</v>
      </c>
      <c r="J21" s="22">
        <v>0.172886833624186</v>
      </c>
      <c r="K21" s="21">
        <v>8.3353851261814391</v>
      </c>
      <c r="L21" s="22">
        <v>0.40738861159173001</v>
      </c>
      <c r="M21" s="21">
        <v>10.5637078270607</v>
      </c>
      <c r="N21" s="22">
        <v>0.15260895088497101</v>
      </c>
      <c r="O21" s="21">
        <v>7.5636227007113304</v>
      </c>
      <c r="P21" s="22">
        <v>0.55516946895952801</v>
      </c>
      <c r="Q21" s="21">
        <v>9.8101329762201299</v>
      </c>
      <c r="R21" s="22">
        <v>0.44055616702088202</v>
      </c>
      <c r="S21" s="21">
        <v>7.7065500665831896</v>
      </c>
      <c r="T21" s="22">
        <v>0.63179906934333196</v>
      </c>
      <c r="U21" s="21">
        <v>7.7065500665831896</v>
      </c>
      <c r="V21" s="22">
        <v>0.63179906934333196</v>
      </c>
      <c r="W21" s="21">
        <v>7.6751738215333498</v>
      </c>
      <c r="X21" s="22">
        <v>0.38599648645539802</v>
      </c>
      <c r="Y21" s="21">
        <v>9.6854300067671399</v>
      </c>
      <c r="Z21" s="22">
        <v>0.56545869856069597</v>
      </c>
      <c r="AA21" s="21">
        <v>6.7826938630000004</v>
      </c>
      <c r="AB21" s="22">
        <v>0.48466063599999998</v>
      </c>
      <c r="AC21" s="21">
        <v>8.8727563709999995</v>
      </c>
      <c r="AD21" s="22">
        <v>0.333361776</v>
      </c>
      <c r="AE21" s="21">
        <v>7.2866962434994296</v>
      </c>
      <c r="AF21" s="22">
        <v>0.28506482707637898</v>
      </c>
      <c r="AG21" s="21">
        <v>10.0202488940233</v>
      </c>
      <c r="AH21" s="22">
        <v>0.27719418979676502</v>
      </c>
      <c r="AI21" s="21">
        <v>6.8606665025975202</v>
      </c>
      <c r="AJ21" s="22">
        <v>0.341086749475497</v>
      </c>
      <c r="AK21" s="21">
        <v>9.8356467121022</v>
      </c>
      <c r="AL21" s="22">
        <v>0.41068486279784</v>
      </c>
      <c r="AM21" s="21">
        <v>6.4160327272313404</v>
      </c>
      <c r="AN21" s="22">
        <v>0.258714548805485</v>
      </c>
      <c r="AO21" s="21">
        <v>9.7061671724025498</v>
      </c>
      <c r="AP21" s="22">
        <v>0.27566245027041503</v>
      </c>
      <c r="AQ21" s="21">
        <v>6.3581960510000002</v>
      </c>
      <c r="AR21" s="22">
        <v>0.21144339700000001</v>
      </c>
      <c r="AS21" s="21">
        <v>9.576225526</v>
      </c>
      <c r="AT21" s="22">
        <v>0.381626982</v>
      </c>
    </row>
    <row r="22" spans="1:46" x14ac:dyDescent="0.25">
      <c r="A22" s="29"/>
      <c r="B22" s="28" t="s">
        <v>55</v>
      </c>
      <c r="C22" s="21">
        <v>9.0277486317249593</v>
      </c>
      <c r="D22" s="22">
        <v>0.58110104797409201</v>
      </c>
      <c r="E22" s="21">
        <v>10.840078831442399</v>
      </c>
      <c r="F22" s="22">
        <v>0.50464785500327902</v>
      </c>
      <c r="G22" s="21">
        <v>8.3742981100174596</v>
      </c>
      <c r="H22" s="22">
        <v>0.56409363878502505</v>
      </c>
      <c r="I22" s="21">
        <v>10.037002341045101</v>
      </c>
      <c r="J22" s="22">
        <v>0.51130788234467395</v>
      </c>
      <c r="K22" s="21">
        <v>7.8736450351039098</v>
      </c>
      <c r="L22" s="22">
        <v>0.93585541086359803</v>
      </c>
      <c r="M22" s="21">
        <v>10.281538618411201</v>
      </c>
      <c r="N22" s="22">
        <v>0.39720864637599701</v>
      </c>
      <c r="O22" s="21">
        <v>7.4825669536699504</v>
      </c>
      <c r="P22" s="22">
        <v>0.88452216657886096</v>
      </c>
      <c r="Q22" s="21">
        <v>9.9195706197105693</v>
      </c>
      <c r="R22" s="22">
        <v>0.66909657555189594</v>
      </c>
      <c r="S22" s="21">
        <v>7.9535169469653502</v>
      </c>
      <c r="T22" s="22">
        <v>0.70878718527363505</v>
      </c>
      <c r="U22" s="21">
        <v>7.9535169469653502</v>
      </c>
      <c r="V22" s="22">
        <v>0.70878718527363505</v>
      </c>
      <c r="W22" s="21">
        <v>7.4983413089483903</v>
      </c>
      <c r="X22" s="22">
        <v>0.52890728971365197</v>
      </c>
      <c r="Y22" s="21">
        <v>9.7406436043867703</v>
      </c>
      <c r="Z22" s="22">
        <v>0.51275024019487503</v>
      </c>
      <c r="AA22" s="21">
        <v>7.7399813660000003</v>
      </c>
      <c r="AB22" s="22">
        <v>0.60382904000000004</v>
      </c>
      <c r="AC22" s="21">
        <v>9.1671840400000004</v>
      </c>
      <c r="AD22" s="22">
        <v>0.49351210699999998</v>
      </c>
      <c r="AE22" s="21">
        <v>7.5558216456893197</v>
      </c>
      <c r="AF22" s="22">
        <v>0.94340054868351497</v>
      </c>
      <c r="AG22" s="21">
        <v>10.0905525580855</v>
      </c>
      <c r="AH22" s="22">
        <v>0.49935082364407801</v>
      </c>
      <c r="AI22" s="21">
        <v>7.5856879115350697</v>
      </c>
      <c r="AJ22" s="22">
        <v>0.56490044571319797</v>
      </c>
      <c r="AK22" s="21">
        <v>10.310117457341899</v>
      </c>
      <c r="AL22" s="22">
        <v>0.315978314004978</v>
      </c>
      <c r="AM22" s="21">
        <v>6.9481545527459199</v>
      </c>
      <c r="AN22" s="22">
        <v>0.54165018804811804</v>
      </c>
      <c r="AO22" s="21">
        <v>9.5892726876100198</v>
      </c>
      <c r="AP22" s="22">
        <v>0.42347634693529401</v>
      </c>
      <c r="AQ22" s="21">
        <v>6.2294097600000002</v>
      </c>
      <c r="AR22" s="22">
        <v>0.44069470999999999</v>
      </c>
      <c r="AS22" s="21">
        <v>9.3933320439999992</v>
      </c>
      <c r="AT22" s="22">
        <v>0.65269811600000005</v>
      </c>
    </row>
    <row r="23" spans="1:46" x14ac:dyDescent="0.25">
      <c r="A23" s="29"/>
      <c r="B23" s="28" t="s">
        <v>56</v>
      </c>
      <c r="C23" s="21">
        <v>9.6586652571351195</v>
      </c>
      <c r="D23" s="22">
        <v>0.92324102978516198</v>
      </c>
      <c r="E23" s="21">
        <v>11.544726415075999</v>
      </c>
      <c r="F23" s="22">
        <v>1.3556892538692</v>
      </c>
      <c r="G23" s="21">
        <v>8.9542729243272703</v>
      </c>
      <c r="H23" s="22">
        <v>0.856470479737653</v>
      </c>
      <c r="I23" s="21">
        <v>9.7182994750832901</v>
      </c>
      <c r="J23" s="22">
        <v>1.1994333621051301</v>
      </c>
      <c r="K23" s="21">
        <v>7.7762308687886801</v>
      </c>
      <c r="L23" s="22">
        <v>0.93466568851717202</v>
      </c>
      <c r="M23" s="21">
        <v>10.0443013142922</v>
      </c>
      <c r="N23" s="22">
        <v>0.56885818824466905</v>
      </c>
      <c r="O23" s="21">
        <v>8.3893848891529501</v>
      </c>
      <c r="P23" s="22">
        <v>0.73345641917910098</v>
      </c>
      <c r="Q23" s="21">
        <v>11.2210502320602</v>
      </c>
      <c r="R23" s="22">
        <v>1.0694010063500199</v>
      </c>
      <c r="S23" s="21">
        <v>9.1076753429597304</v>
      </c>
      <c r="T23" s="22">
        <v>0.93821195402466795</v>
      </c>
      <c r="U23" s="21">
        <v>9.1076753429597304</v>
      </c>
      <c r="V23" s="22">
        <v>0.93821195402466795</v>
      </c>
      <c r="W23" s="21">
        <v>5.8969484896308897</v>
      </c>
      <c r="X23" s="22">
        <v>0.233326204184272</v>
      </c>
      <c r="Y23" s="21">
        <v>9.4510743349740807</v>
      </c>
      <c r="Z23" s="22">
        <v>1.0783278758933501</v>
      </c>
      <c r="AA23" s="21">
        <v>8.2010405930000001</v>
      </c>
      <c r="AB23" s="22">
        <v>0.91547262900000004</v>
      </c>
      <c r="AC23" s="21">
        <v>8.9594387009999998</v>
      </c>
      <c r="AD23" s="22">
        <v>0.65509959799999995</v>
      </c>
      <c r="AE23" s="21">
        <v>6.8031359006196404</v>
      </c>
      <c r="AF23" s="22">
        <v>0.69257044218143105</v>
      </c>
      <c r="AG23" s="21">
        <v>8.5269966344371504</v>
      </c>
      <c r="AH23" s="22">
        <v>0.63977949916673804</v>
      </c>
      <c r="AI23" s="21">
        <v>7.6981703651781199</v>
      </c>
      <c r="AJ23" s="22">
        <v>0.59922687337621905</v>
      </c>
      <c r="AK23" s="21">
        <v>10.3899283538445</v>
      </c>
      <c r="AL23" s="22">
        <v>0.20807943702126799</v>
      </c>
      <c r="AM23" s="21">
        <v>6.5449652626860697</v>
      </c>
      <c r="AN23" s="22">
        <v>0.60600505675799399</v>
      </c>
      <c r="AO23" s="21">
        <v>8.8022309993885806</v>
      </c>
      <c r="AP23" s="22">
        <v>0.837885725519953</v>
      </c>
      <c r="AQ23" s="21">
        <v>6.378869237</v>
      </c>
      <c r="AR23" s="22">
        <v>0.34292266199999999</v>
      </c>
      <c r="AS23" s="21">
        <v>8.9507350859999999</v>
      </c>
      <c r="AT23" s="22">
        <v>0.40259859399999998</v>
      </c>
    </row>
    <row r="24" spans="1:46" ht="15.75" thickBot="1" x14ac:dyDescent="0.3">
      <c r="A24" s="31"/>
      <c r="B24" s="28" t="s">
        <v>57</v>
      </c>
      <c r="C24" s="21">
        <v>8.9362515975722907</v>
      </c>
      <c r="D24" s="22">
        <v>0.53228801739200404</v>
      </c>
      <c r="E24" s="21">
        <v>7.2103266094331602</v>
      </c>
      <c r="F24" s="22">
        <v>1.3915182773427099</v>
      </c>
      <c r="G24" s="21">
        <v>7.2137524172431</v>
      </c>
      <c r="H24" s="22">
        <v>0.98038735582138403</v>
      </c>
      <c r="I24" s="21">
        <v>10.328941311882</v>
      </c>
      <c r="J24" s="22">
        <v>0.50085648862913301</v>
      </c>
      <c r="K24" s="21">
        <v>7.0064640758589896</v>
      </c>
      <c r="L24" s="22">
        <v>0.96640832020918099</v>
      </c>
      <c r="M24" s="21">
        <v>9.4951107416029803</v>
      </c>
      <c r="N24" s="22">
        <v>0.77525556692190301</v>
      </c>
      <c r="O24" s="21">
        <v>9.4149974143478801</v>
      </c>
      <c r="P24" s="22">
        <v>0.82052858916909299</v>
      </c>
      <c r="Q24" s="21">
        <v>11.2865711348367</v>
      </c>
      <c r="R24" s="22">
        <v>0.74493490356042602</v>
      </c>
      <c r="S24" s="21">
        <v>6.6224417940205704</v>
      </c>
      <c r="T24" s="22">
        <v>0.446682513933985</v>
      </c>
      <c r="U24" s="21">
        <v>6.6224417940205704</v>
      </c>
      <c r="V24" s="22">
        <v>0.446682513933985</v>
      </c>
      <c r="W24" s="21">
        <v>9.1473304190383402</v>
      </c>
      <c r="X24" s="22">
        <v>1.4392626860107101</v>
      </c>
      <c r="Y24" s="21">
        <v>9.6738540092628291</v>
      </c>
      <c r="Z24" s="22">
        <v>1.19591776057747</v>
      </c>
      <c r="AA24" s="21">
        <v>6.0310669770000001</v>
      </c>
      <c r="AB24" s="22">
        <v>0.57920597799999995</v>
      </c>
      <c r="AC24" s="21">
        <v>5.728333288</v>
      </c>
      <c r="AD24" s="22">
        <v>0.64763708099999995</v>
      </c>
      <c r="AE24" s="21">
        <v>9.2123785455377192</v>
      </c>
      <c r="AF24" s="22">
        <v>0.242330939914608</v>
      </c>
      <c r="AG24" s="21">
        <v>10.460190409018599</v>
      </c>
      <c r="AH24" s="22">
        <v>0.54236881730792497</v>
      </c>
      <c r="AI24" s="21">
        <v>5.8617443841157497</v>
      </c>
      <c r="AJ24" s="22">
        <v>0.41492553056216003</v>
      </c>
      <c r="AK24" s="21">
        <v>8.83972114982598</v>
      </c>
      <c r="AL24" s="22">
        <v>0.75862886345536495</v>
      </c>
      <c r="AM24" s="21">
        <v>8.7829928511451403</v>
      </c>
      <c r="AN24" s="22">
        <v>0.18653567362971801</v>
      </c>
      <c r="AO24" s="21">
        <v>11.501109934147401</v>
      </c>
      <c r="AP24" s="22">
        <v>1.00653239388636</v>
      </c>
      <c r="AQ24" s="21">
        <v>5.3526368289999997</v>
      </c>
      <c r="AR24" s="22">
        <v>0.29663569699999998</v>
      </c>
      <c r="AS24" s="21">
        <v>9.2877621739999991</v>
      </c>
      <c r="AT24" s="22">
        <v>1.591463268</v>
      </c>
    </row>
    <row r="25" spans="1:46" ht="15" customHeight="1" x14ac:dyDescent="0.25">
      <c r="A25" s="30" t="s">
        <v>58</v>
      </c>
      <c r="B25" s="27" t="s">
        <v>59</v>
      </c>
      <c r="C25" s="15">
        <v>9.13048267484292</v>
      </c>
      <c r="D25" s="16">
        <v>0.68210367911645398</v>
      </c>
      <c r="E25" s="15">
        <v>10.678366351097299</v>
      </c>
      <c r="F25" s="16">
        <v>0.34477266356074499</v>
      </c>
      <c r="G25" s="15">
        <v>7.6328765433096102</v>
      </c>
      <c r="H25" s="16">
        <v>1.0345486349453401</v>
      </c>
      <c r="I25" s="15">
        <v>9.0378457121406406</v>
      </c>
      <c r="J25" s="16">
        <v>1.0110599421895801</v>
      </c>
      <c r="K25" s="15">
        <v>6.3670604689753896</v>
      </c>
      <c r="L25" s="16">
        <v>0.71534368293544004</v>
      </c>
      <c r="M25" s="15">
        <v>10.0901598572332</v>
      </c>
      <c r="N25" s="16">
        <v>0.43111617091142701</v>
      </c>
      <c r="O25" s="15">
        <v>6.4257694653173303</v>
      </c>
      <c r="P25" s="16">
        <v>0.72507765688530401</v>
      </c>
      <c r="Q25" s="15">
        <v>9.9898834626725108</v>
      </c>
      <c r="R25" s="16">
        <v>0.50965737451222304</v>
      </c>
      <c r="S25" s="15">
        <v>6.4858661708879799</v>
      </c>
      <c r="T25" s="16">
        <v>0.84160400103919997</v>
      </c>
      <c r="U25" s="15">
        <v>6.4858661708879799</v>
      </c>
      <c r="V25" s="16">
        <v>0.84160400103919997</v>
      </c>
      <c r="W25" s="15">
        <v>6.5840986706666396</v>
      </c>
      <c r="X25" s="16">
        <v>0.77273229872426996</v>
      </c>
      <c r="Y25" s="15">
        <v>8.6124837950270496</v>
      </c>
      <c r="Z25" s="16">
        <v>1.0368198542723801</v>
      </c>
      <c r="AA25" s="15">
        <v>5.9207668340000001</v>
      </c>
      <c r="AB25" s="16">
        <v>0.306984865</v>
      </c>
      <c r="AC25" s="15">
        <v>8.6290127640000005</v>
      </c>
      <c r="AD25" s="16">
        <v>0.71930069900000004</v>
      </c>
      <c r="AE25" s="15">
        <v>6.1071009621362302</v>
      </c>
      <c r="AF25" s="16">
        <v>0.480666482061749</v>
      </c>
      <c r="AG25" s="15">
        <v>8.9108827766262895</v>
      </c>
      <c r="AH25" s="16">
        <v>0.93690196919408097</v>
      </c>
      <c r="AI25" s="15">
        <v>6.55339394639158</v>
      </c>
      <c r="AJ25" s="16">
        <v>0.51851200920299401</v>
      </c>
      <c r="AK25" s="15">
        <v>8.8743896746710007</v>
      </c>
      <c r="AL25" s="16">
        <v>0.53861599111972003</v>
      </c>
      <c r="AM25" s="15">
        <v>5.7833131222290799</v>
      </c>
      <c r="AN25" s="16">
        <v>0.31428670466025399</v>
      </c>
      <c r="AO25" s="15">
        <v>7.8430211696235901</v>
      </c>
      <c r="AP25" s="16">
        <v>0.530738169118953</v>
      </c>
      <c r="AQ25" s="15">
        <v>5.5956136799999996</v>
      </c>
      <c r="AR25" s="16">
        <v>0.163351306</v>
      </c>
      <c r="AS25" s="15">
        <v>8.812333679</v>
      </c>
      <c r="AT25" s="16">
        <v>0.44230874799999997</v>
      </c>
    </row>
    <row r="26" spans="1:46" x14ac:dyDescent="0.25">
      <c r="A26" s="29"/>
      <c r="B26" s="28" t="s">
        <v>60</v>
      </c>
      <c r="C26" s="21">
        <v>8.6094643539672298</v>
      </c>
      <c r="D26" s="22">
        <v>0.87668576188270597</v>
      </c>
      <c r="E26" s="21">
        <v>10.6019343329141</v>
      </c>
      <c r="F26" s="22">
        <v>0.16985515655292799</v>
      </c>
      <c r="G26" s="21">
        <v>8.0273533881753796</v>
      </c>
      <c r="H26" s="22">
        <v>0.678800456904601</v>
      </c>
      <c r="I26" s="21">
        <v>10.459087479785</v>
      </c>
      <c r="J26" s="22">
        <v>0.294871544162713</v>
      </c>
      <c r="K26" s="21">
        <v>8.6402475473486007</v>
      </c>
      <c r="L26" s="22">
        <v>0.82597129037022698</v>
      </c>
      <c r="M26" s="21">
        <v>10.093322743778099</v>
      </c>
      <c r="N26" s="22">
        <v>0.24910251878318301</v>
      </c>
      <c r="O26" s="21">
        <v>7.57549665243587</v>
      </c>
      <c r="P26" s="22">
        <v>1.14598306976633</v>
      </c>
      <c r="Q26" s="21">
        <v>10.054636079523201</v>
      </c>
      <c r="R26" s="22">
        <v>0.39731452663265898</v>
      </c>
      <c r="S26" s="21">
        <v>8.0178682852041501</v>
      </c>
      <c r="T26" s="22">
        <v>1.3607972341218499</v>
      </c>
      <c r="U26" s="21">
        <v>8.0178682852041501</v>
      </c>
      <c r="V26" s="22">
        <v>1.3607972341218499</v>
      </c>
      <c r="W26" s="21">
        <v>6.4249311781280598</v>
      </c>
      <c r="X26" s="22">
        <v>0.60792743297231799</v>
      </c>
      <c r="Y26" s="21">
        <v>7.9919027503041304</v>
      </c>
      <c r="Z26" s="22">
        <v>0.47755023444051498</v>
      </c>
      <c r="AA26" s="21">
        <v>6.2368108710000003</v>
      </c>
      <c r="AB26" s="22">
        <v>0.50923358799999996</v>
      </c>
      <c r="AC26" s="21">
        <v>9.0514238480000007</v>
      </c>
      <c r="AD26" s="22">
        <v>0.60109146099999999</v>
      </c>
      <c r="AE26" s="21">
        <v>6.6559143012780497</v>
      </c>
      <c r="AF26" s="22">
        <v>0.59591180724209503</v>
      </c>
      <c r="AG26" s="21">
        <v>9.8865244613260401</v>
      </c>
      <c r="AH26" s="22">
        <v>0.69430790387695396</v>
      </c>
      <c r="AI26" s="21">
        <v>5.9547645966718301</v>
      </c>
      <c r="AJ26" s="22">
        <v>0.33621510165246599</v>
      </c>
      <c r="AK26" s="21">
        <v>7.6709088639354697</v>
      </c>
      <c r="AL26" s="22">
        <v>0.60591534230246102</v>
      </c>
      <c r="AM26" s="21">
        <v>5.7805100600596804</v>
      </c>
      <c r="AN26" s="22">
        <v>0.159567366860799</v>
      </c>
      <c r="AO26" s="21">
        <v>8.8318358164260697</v>
      </c>
      <c r="AP26" s="22">
        <v>0.60165530847513105</v>
      </c>
      <c r="AQ26" s="21">
        <v>5.9812774490000002</v>
      </c>
      <c r="AR26" s="22">
        <v>0.46015812699999997</v>
      </c>
      <c r="AS26" s="21">
        <v>9.6205790439999994</v>
      </c>
      <c r="AT26" s="22">
        <v>0.53613825599999998</v>
      </c>
    </row>
    <row r="27" spans="1:46" x14ac:dyDescent="0.25">
      <c r="A27" s="29"/>
      <c r="B27" s="28" t="s">
        <v>61</v>
      </c>
      <c r="C27" s="21">
        <v>8.78620860150866</v>
      </c>
      <c r="D27" s="22">
        <v>0.535415152107379</v>
      </c>
      <c r="E27" s="21">
        <v>10.23281185548</v>
      </c>
      <c r="F27" s="22">
        <v>0.32097864307673502</v>
      </c>
      <c r="G27" s="21">
        <v>8.2675754317741195</v>
      </c>
      <c r="H27" s="22">
        <v>0.26830392401875902</v>
      </c>
      <c r="I27" s="21">
        <v>10.3495885127478</v>
      </c>
      <c r="J27" s="22">
        <v>0.16406173032607699</v>
      </c>
      <c r="K27" s="21">
        <v>8.0332868320472297</v>
      </c>
      <c r="L27" s="22">
        <v>0.60141494256158301</v>
      </c>
      <c r="M27" s="21">
        <v>10.349993175997501</v>
      </c>
      <c r="N27" s="22">
        <v>0.16445278430558</v>
      </c>
      <c r="O27" s="21">
        <v>7.8473713286322599</v>
      </c>
      <c r="P27" s="22">
        <v>0.44905619896871302</v>
      </c>
      <c r="Q27" s="21">
        <v>10.07519560437</v>
      </c>
      <c r="R27" s="22">
        <v>0.49072009411904199</v>
      </c>
      <c r="S27" s="21">
        <v>8.0234553198543495</v>
      </c>
      <c r="T27" s="22">
        <v>0.709751612453003</v>
      </c>
      <c r="U27" s="21">
        <v>8.0234553198543495</v>
      </c>
      <c r="V27" s="22">
        <v>0.709751612453003</v>
      </c>
      <c r="W27" s="21">
        <v>6.6338717857826497</v>
      </c>
      <c r="X27" s="22">
        <v>0.57606337837819899</v>
      </c>
      <c r="Y27" s="21">
        <v>9.1627752444045107</v>
      </c>
      <c r="Z27" s="22">
        <v>0.64586373878334902</v>
      </c>
      <c r="AA27" s="21">
        <v>7.0264894199999999</v>
      </c>
      <c r="AB27" s="22">
        <v>0.35970296200000001</v>
      </c>
      <c r="AC27" s="21">
        <v>9.144641257</v>
      </c>
      <c r="AD27" s="22">
        <v>0.43578024100000001</v>
      </c>
      <c r="AE27" s="21">
        <v>7.3616244965578801</v>
      </c>
      <c r="AF27" s="22">
        <v>0.52186328116603997</v>
      </c>
      <c r="AG27" s="21">
        <v>10.0188398355213</v>
      </c>
      <c r="AH27" s="22">
        <v>0.359862311470937</v>
      </c>
      <c r="AI27" s="21">
        <v>6.8038891786892597</v>
      </c>
      <c r="AJ27" s="22">
        <v>0.29397515728657397</v>
      </c>
      <c r="AK27" s="21">
        <v>8.8076718684230695</v>
      </c>
      <c r="AL27" s="22">
        <v>0.39402510769578197</v>
      </c>
      <c r="AM27" s="21">
        <v>6.2730149536296196</v>
      </c>
      <c r="AN27" s="22">
        <v>0.37020829344519901</v>
      </c>
      <c r="AO27" s="21">
        <v>9.5715946414077298</v>
      </c>
      <c r="AP27" s="22">
        <v>0.325345819280772</v>
      </c>
      <c r="AQ27" s="21">
        <v>6.4522249560000002</v>
      </c>
      <c r="AR27" s="22">
        <v>0.41984676799999998</v>
      </c>
      <c r="AS27" s="21">
        <v>9.5820424719999995</v>
      </c>
      <c r="AT27" s="22">
        <v>0.42710343000000001</v>
      </c>
    </row>
    <row r="28" spans="1:46" x14ac:dyDescent="0.25">
      <c r="A28" s="29"/>
      <c r="B28" s="28" t="s">
        <v>62</v>
      </c>
      <c r="C28" s="21">
        <v>8.3929492812879101</v>
      </c>
      <c r="D28" s="22">
        <v>0.50408270021995905</v>
      </c>
      <c r="E28" s="21">
        <v>10.180078093865401</v>
      </c>
      <c r="F28" s="22">
        <v>0.273687368526076</v>
      </c>
      <c r="G28" s="21">
        <v>8.3369483724529605</v>
      </c>
      <c r="H28" s="22">
        <v>0.31077706258782001</v>
      </c>
      <c r="I28" s="21">
        <v>10.448073864489301</v>
      </c>
      <c r="J28" s="22">
        <v>0.18563176679002</v>
      </c>
      <c r="K28" s="21">
        <v>8.0720818058732196</v>
      </c>
      <c r="L28" s="22">
        <v>0.50360952279986904</v>
      </c>
      <c r="M28" s="21">
        <v>10.3776550014811</v>
      </c>
      <c r="N28" s="22">
        <v>0.16329007874306201</v>
      </c>
      <c r="O28" s="21">
        <v>7.7770165326990002</v>
      </c>
      <c r="P28" s="22">
        <v>0.51013620116577996</v>
      </c>
      <c r="Q28" s="21">
        <v>10.3507006113069</v>
      </c>
      <c r="R28" s="22">
        <v>0.40909533265716003</v>
      </c>
      <c r="S28" s="21">
        <v>7.3818848112586704</v>
      </c>
      <c r="T28" s="22">
        <v>0.45965726579960903</v>
      </c>
      <c r="U28" s="21">
        <v>7.3818848112586704</v>
      </c>
      <c r="V28" s="22">
        <v>0.45965726579960903</v>
      </c>
      <c r="W28" s="21">
        <v>7.5902141679071997</v>
      </c>
      <c r="X28" s="22">
        <v>0.44468282316719099</v>
      </c>
      <c r="Y28" s="21">
        <v>8.9938305516285197</v>
      </c>
      <c r="Z28" s="22">
        <v>0.59046457728346602</v>
      </c>
      <c r="AA28" s="21">
        <v>7.0819965759999999</v>
      </c>
      <c r="AB28" s="22">
        <v>0.48706711400000002</v>
      </c>
      <c r="AC28" s="21">
        <v>9.0602231310000008</v>
      </c>
      <c r="AD28" s="22">
        <v>0.45892413500000001</v>
      </c>
      <c r="AE28" s="21">
        <v>6.29524466356325</v>
      </c>
      <c r="AF28" s="22">
        <v>0.422441122878978</v>
      </c>
      <c r="AG28" s="21">
        <v>8.9602117899209102</v>
      </c>
      <c r="AH28" s="22">
        <v>0.56551875548642605</v>
      </c>
      <c r="AI28" s="21">
        <v>6.4291960427981101</v>
      </c>
      <c r="AJ28" s="22">
        <v>0.30017759281789402</v>
      </c>
      <c r="AK28" s="21">
        <v>9.3854515812214405</v>
      </c>
      <c r="AL28" s="22">
        <v>0.41933506506359303</v>
      </c>
      <c r="AM28" s="21">
        <v>6.6373874974144904</v>
      </c>
      <c r="AN28" s="22">
        <v>0.33386790286255102</v>
      </c>
      <c r="AO28" s="21">
        <v>8.9801746941123497</v>
      </c>
      <c r="AP28" s="22">
        <v>0.37009197660321602</v>
      </c>
      <c r="AQ28" s="21">
        <v>6.3255361069999996</v>
      </c>
      <c r="AR28" s="22">
        <v>0.31861885000000001</v>
      </c>
      <c r="AS28" s="21">
        <v>9.1799866179999992</v>
      </c>
      <c r="AT28" s="22">
        <v>0.42486425799999999</v>
      </c>
    </row>
    <row r="29" spans="1:46" x14ac:dyDescent="0.25">
      <c r="A29" s="29"/>
      <c r="B29" s="28" t="s">
        <v>63</v>
      </c>
      <c r="C29" s="21">
        <v>8.6908377894556601</v>
      </c>
      <c r="D29" s="22">
        <v>0.48997413632742598</v>
      </c>
      <c r="E29" s="21">
        <v>10.598970982495</v>
      </c>
      <c r="F29" s="22">
        <v>0.23185669028945799</v>
      </c>
      <c r="G29" s="21">
        <v>8.2600934466430207</v>
      </c>
      <c r="H29" s="22">
        <v>0.45758357976025499</v>
      </c>
      <c r="I29" s="21">
        <v>10.139471135154601</v>
      </c>
      <c r="J29" s="22">
        <v>0.37269123947846899</v>
      </c>
      <c r="K29" s="21">
        <v>9.0030255667180299</v>
      </c>
      <c r="L29" s="22">
        <v>0.72204676003578305</v>
      </c>
      <c r="M29" s="21">
        <v>10.819948713223599</v>
      </c>
      <c r="N29" s="22">
        <v>0.39195559099043498</v>
      </c>
      <c r="O29" s="21">
        <v>8.1617978288141497</v>
      </c>
      <c r="P29" s="22">
        <v>0.61996248860103298</v>
      </c>
      <c r="Q29" s="21">
        <v>9.8204969181939408</v>
      </c>
      <c r="R29" s="22">
        <v>0.45981228327593798</v>
      </c>
      <c r="S29" s="21">
        <v>6.7808902806909996</v>
      </c>
      <c r="T29" s="22">
        <v>0.489075115620343</v>
      </c>
      <c r="U29" s="21">
        <v>6.7808902806909996</v>
      </c>
      <c r="V29" s="22">
        <v>0.489075115620343</v>
      </c>
      <c r="W29" s="21">
        <v>7.9561339114141596</v>
      </c>
      <c r="X29" s="22">
        <v>0.60936322065089299</v>
      </c>
      <c r="Y29" s="21">
        <v>9.9901722322164304</v>
      </c>
      <c r="Z29" s="22">
        <v>0.44152141470388101</v>
      </c>
      <c r="AA29" s="21">
        <v>7.1457020929999997</v>
      </c>
      <c r="AB29" s="22">
        <v>0.35009458300000001</v>
      </c>
      <c r="AC29" s="21">
        <v>9.7842722700000007</v>
      </c>
      <c r="AD29" s="22">
        <v>0.367571431</v>
      </c>
      <c r="AE29" s="21">
        <v>7.1080920409881703</v>
      </c>
      <c r="AF29" s="22">
        <v>0.45325459750588898</v>
      </c>
      <c r="AG29" s="21">
        <v>9.9908405972092407</v>
      </c>
      <c r="AH29" s="22">
        <v>0.29405050283084899</v>
      </c>
      <c r="AI29" s="21">
        <v>6.8849202181324998</v>
      </c>
      <c r="AJ29" s="22">
        <v>0.35193216850786202</v>
      </c>
      <c r="AK29" s="21">
        <v>9.7655085760933709</v>
      </c>
      <c r="AL29" s="22">
        <v>0.41253563287811701</v>
      </c>
      <c r="AM29" s="21">
        <v>6.8952981180506097</v>
      </c>
      <c r="AN29" s="22">
        <v>0.319457182685846</v>
      </c>
      <c r="AO29" s="21">
        <v>9.6978126781995204</v>
      </c>
      <c r="AP29" s="22">
        <v>0.32520562533717401</v>
      </c>
      <c r="AQ29" s="21">
        <v>6.9516626849999996</v>
      </c>
      <c r="AR29" s="22">
        <v>0.36593597900000002</v>
      </c>
      <c r="AS29" s="21">
        <v>9.7766732600000008</v>
      </c>
      <c r="AT29" s="22">
        <v>0.38077744400000002</v>
      </c>
    </row>
    <row r="30" spans="1:46" x14ac:dyDescent="0.25">
      <c r="A30" s="29"/>
      <c r="B30" s="28" t="s">
        <v>64</v>
      </c>
      <c r="C30" s="21">
        <v>8.7750359746527504</v>
      </c>
      <c r="D30" s="22">
        <v>0.40472694894812999</v>
      </c>
      <c r="E30" s="21">
        <v>10.7544124768469</v>
      </c>
      <c r="F30" s="22">
        <v>0.27500491866714399</v>
      </c>
      <c r="G30" s="21">
        <v>7.8439651346336996</v>
      </c>
      <c r="H30" s="22">
        <v>0.234192305673037</v>
      </c>
      <c r="I30" s="21">
        <v>9.9155881830575101</v>
      </c>
      <c r="J30" s="22">
        <v>0.22584496023063</v>
      </c>
      <c r="K30" s="21">
        <v>8.4465246204347508</v>
      </c>
      <c r="L30" s="22">
        <v>0.47721871368848801</v>
      </c>
      <c r="M30" s="21">
        <v>10.693549654841201</v>
      </c>
      <c r="N30" s="22">
        <v>0.28520349534415701</v>
      </c>
      <c r="O30" s="21">
        <v>7.33182555727715</v>
      </c>
      <c r="P30" s="22">
        <v>0.83112641647140395</v>
      </c>
      <c r="Q30" s="21">
        <v>9.8670878787637193</v>
      </c>
      <c r="R30" s="22">
        <v>0.57737642504857001</v>
      </c>
      <c r="S30" s="21">
        <v>8.0800306627791407</v>
      </c>
      <c r="T30" s="22">
        <v>0.43442302097141999</v>
      </c>
      <c r="U30" s="21">
        <v>8.0800306627791407</v>
      </c>
      <c r="V30" s="22">
        <v>0.43442302097141999</v>
      </c>
      <c r="W30" s="21">
        <v>7.4172193232500403</v>
      </c>
      <c r="X30" s="22">
        <v>0.37835143883531802</v>
      </c>
      <c r="Y30" s="21">
        <v>9.7377959226960602</v>
      </c>
      <c r="Z30" s="22">
        <v>0.34402584178892898</v>
      </c>
      <c r="AA30" s="21">
        <v>7.1366403360000001</v>
      </c>
      <c r="AB30" s="22">
        <v>0.37901811400000002</v>
      </c>
      <c r="AC30" s="21">
        <v>9.0908077760000001</v>
      </c>
      <c r="AD30" s="22">
        <v>0.40714376400000002</v>
      </c>
      <c r="AE30" s="21">
        <v>7.1083003649287901</v>
      </c>
      <c r="AF30" s="22">
        <v>0.30678103327779499</v>
      </c>
      <c r="AG30" s="21">
        <v>9.6879863769271992</v>
      </c>
      <c r="AH30" s="22">
        <v>0.32570859821763998</v>
      </c>
      <c r="AI30" s="21">
        <v>7.1300041643332701</v>
      </c>
      <c r="AJ30" s="22">
        <v>0.403064355697282</v>
      </c>
      <c r="AK30" s="21">
        <v>9.6785925971150508</v>
      </c>
      <c r="AL30" s="22">
        <v>0.51715521721402702</v>
      </c>
      <c r="AM30" s="21">
        <v>6.57431681151711</v>
      </c>
      <c r="AN30" s="22">
        <v>0.36451604716772901</v>
      </c>
      <c r="AO30" s="21">
        <v>9.5712531789666393</v>
      </c>
      <c r="AP30" s="22">
        <v>0.36623923976928002</v>
      </c>
      <c r="AQ30" s="21">
        <v>6.3066358039999999</v>
      </c>
      <c r="AR30" s="22">
        <v>0.32564027499999998</v>
      </c>
      <c r="AS30" s="21">
        <v>9.7281225389999992</v>
      </c>
      <c r="AT30" s="22">
        <v>0.30687033800000002</v>
      </c>
    </row>
    <row r="31" spans="1:46" x14ac:dyDescent="0.25">
      <c r="A31" s="29"/>
      <c r="B31" s="28" t="s">
        <v>65</v>
      </c>
      <c r="C31" s="21">
        <v>9.0266124701348698</v>
      </c>
      <c r="D31" s="22">
        <v>0.81278545823440196</v>
      </c>
      <c r="E31" s="21">
        <v>10.9678686933908</v>
      </c>
      <c r="F31" s="22">
        <v>0.66057525483008805</v>
      </c>
      <c r="G31" s="21">
        <v>8.3113351247721692</v>
      </c>
      <c r="H31" s="22">
        <v>0.69972539822456703</v>
      </c>
      <c r="I31" s="21">
        <v>10.631532570544</v>
      </c>
      <c r="J31" s="22">
        <v>0.60358017916932605</v>
      </c>
      <c r="K31" s="21">
        <v>8.1083848876471301</v>
      </c>
      <c r="L31" s="22">
        <v>0.55146355315312201</v>
      </c>
      <c r="M31" s="21">
        <v>10.2531559821263</v>
      </c>
      <c r="N31" s="22">
        <v>0.358841978524303</v>
      </c>
      <c r="O31" s="21">
        <v>8.1530205374937008</v>
      </c>
      <c r="P31" s="22">
        <v>1.00990251210978</v>
      </c>
      <c r="Q31" s="21">
        <v>10.2811886641523</v>
      </c>
      <c r="R31" s="22">
        <v>0.84937720320566101</v>
      </c>
      <c r="S31" s="21">
        <v>7.3617562790650002</v>
      </c>
      <c r="T31" s="22">
        <v>0.60841106222457597</v>
      </c>
      <c r="U31" s="21">
        <v>7.3617562790650002</v>
      </c>
      <c r="V31" s="22">
        <v>0.60841106222457597</v>
      </c>
      <c r="W31" s="21">
        <v>7.9932123387774796</v>
      </c>
      <c r="X31" s="22">
        <v>0.43163830525386099</v>
      </c>
      <c r="Y31" s="21">
        <v>9.5134870297013698</v>
      </c>
      <c r="Z31" s="22">
        <v>0.71745250065845201</v>
      </c>
      <c r="AA31" s="21">
        <v>7.5437844399999996</v>
      </c>
      <c r="AB31" s="22">
        <v>0.41559174300000001</v>
      </c>
      <c r="AC31" s="21">
        <v>8.8819419310000001</v>
      </c>
      <c r="AD31" s="22">
        <v>0.54878211200000004</v>
      </c>
      <c r="AE31" s="21">
        <v>7.3357444108796397</v>
      </c>
      <c r="AF31" s="22">
        <v>0.40064530758248201</v>
      </c>
      <c r="AG31" s="21">
        <v>9.5424229637289493</v>
      </c>
      <c r="AH31" s="22">
        <v>0.69163966239727104</v>
      </c>
      <c r="AI31" s="21">
        <v>7.4280286882084896</v>
      </c>
      <c r="AJ31" s="22">
        <v>0.62518453823118003</v>
      </c>
      <c r="AK31" s="21">
        <v>9.8736947935522892</v>
      </c>
      <c r="AL31" s="22">
        <v>0.51320039399505402</v>
      </c>
      <c r="AM31" s="21">
        <v>7.1573630861718502</v>
      </c>
      <c r="AN31" s="22">
        <v>0.42088821153960398</v>
      </c>
      <c r="AO31" s="21">
        <v>9.8321537394716891</v>
      </c>
      <c r="AP31" s="22">
        <v>0.24288471721197399</v>
      </c>
      <c r="AQ31" s="21">
        <v>6.5397372059999999</v>
      </c>
      <c r="AR31" s="22">
        <v>0.37854206899999998</v>
      </c>
      <c r="AS31" s="21">
        <v>9.8646765050000003</v>
      </c>
      <c r="AT31" s="22">
        <v>0.507566662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8541-23DC-4B12-84CC-B3F9A6EE02D9}">
  <dimension ref="B1:D28"/>
  <sheetViews>
    <sheetView workbookViewId="0">
      <selection activeCell="J26" sqref="J26"/>
    </sheetView>
  </sheetViews>
  <sheetFormatPr defaultRowHeight="12.75" x14ac:dyDescent="0.2"/>
  <cols>
    <col min="1" max="1" width="1.5703125" style="1" customWidth="1"/>
    <col min="2" max="4" width="24.42578125" style="1" customWidth="1"/>
    <col min="5" max="16384" width="9.140625" style="1"/>
  </cols>
  <sheetData>
    <row r="1" spans="2:4" ht="5.25" customHeight="1" thickBot="1" x14ac:dyDescent="0.25"/>
    <row r="2" spans="2:4" ht="13.5" thickBot="1" x14ac:dyDescent="0.25">
      <c r="B2" s="165" t="s">
        <v>82</v>
      </c>
      <c r="C2" s="166"/>
      <c r="D2" s="167"/>
    </row>
    <row r="3" spans="2:4" ht="13.5" thickBot="1" x14ac:dyDescent="0.25">
      <c r="B3" s="68" t="s">
        <v>2</v>
      </c>
      <c r="C3" s="69" t="s">
        <v>83</v>
      </c>
      <c r="D3" s="70" t="s">
        <v>84</v>
      </c>
    </row>
    <row r="4" spans="2:4" x14ac:dyDescent="0.2">
      <c r="B4" s="71">
        <v>45170</v>
      </c>
      <c r="C4" s="72">
        <v>95.1</v>
      </c>
      <c r="D4" s="73">
        <v>121.6</v>
      </c>
    </row>
    <row r="5" spans="2:4" x14ac:dyDescent="0.2">
      <c r="B5" s="71">
        <v>45231</v>
      </c>
      <c r="C5" s="72">
        <v>94.6</v>
      </c>
      <c r="D5" s="73">
        <v>121.7</v>
      </c>
    </row>
    <row r="6" spans="2:4" x14ac:dyDescent="0.2">
      <c r="B6" s="71">
        <v>45292</v>
      </c>
      <c r="C6" s="72">
        <v>96.5</v>
      </c>
      <c r="D6" s="73">
        <v>124.3</v>
      </c>
    </row>
    <row r="7" spans="2:4" x14ac:dyDescent="0.2">
      <c r="B7" s="71">
        <v>45352</v>
      </c>
      <c r="C7" s="72">
        <v>100.4</v>
      </c>
      <c r="D7" s="73">
        <v>125.9</v>
      </c>
    </row>
    <row r="8" spans="2:4" x14ac:dyDescent="0.2">
      <c r="B8" s="71">
        <v>45413</v>
      </c>
      <c r="C8" s="72">
        <v>98.8</v>
      </c>
      <c r="D8" s="73">
        <v>124.7</v>
      </c>
    </row>
    <row r="9" spans="2:4" x14ac:dyDescent="0.2">
      <c r="B9" s="71">
        <v>45474</v>
      </c>
      <c r="C9" s="72">
        <v>96.117999999999995</v>
      </c>
      <c r="D9" s="73">
        <v>122.384</v>
      </c>
    </row>
    <row r="10" spans="2:4" x14ac:dyDescent="0.2">
      <c r="B10" s="71">
        <v>45536</v>
      </c>
      <c r="C10" s="72">
        <v>96.861999999999995</v>
      </c>
      <c r="D10" s="73">
        <v>123.434</v>
      </c>
    </row>
    <row r="11" spans="2:4" x14ac:dyDescent="0.2">
      <c r="B11" s="71">
        <v>45597</v>
      </c>
      <c r="C11" s="72">
        <v>96.39</v>
      </c>
      <c r="D11" s="73">
        <v>123.93</v>
      </c>
    </row>
    <row r="12" spans="2:4" x14ac:dyDescent="0.2">
      <c r="B12" s="71">
        <v>45658</v>
      </c>
      <c r="C12" s="72">
        <v>97.965999999999994</v>
      </c>
      <c r="D12" s="73">
        <v>124.12</v>
      </c>
    </row>
    <row r="13" spans="2:4" x14ac:dyDescent="0.2">
      <c r="B13" s="71">
        <v>45717</v>
      </c>
      <c r="C13" s="72">
        <v>100.05799999999999</v>
      </c>
      <c r="D13" s="73">
        <v>125.938</v>
      </c>
    </row>
    <row r="14" spans="2:4" s="123" customFormat="1" x14ac:dyDescent="0.2">
      <c r="B14" s="71">
        <v>45778</v>
      </c>
      <c r="C14" s="72">
        <v>100</v>
      </c>
      <c r="D14" s="73">
        <v>126.2</v>
      </c>
    </row>
    <row r="15" spans="2:4" s="123" customFormat="1" x14ac:dyDescent="0.2">
      <c r="B15" s="71">
        <v>45839</v>
      </c>
      <c r="C15" s="72">
        <v>100.61</v>
      </c>
      <c r="D15" s="73">
        <v>127.738</v>
      </c>
    </row>
    <row r="16" spans="2:4" s="123" customFormat="1" x14ac:dyDescent="0.2">
      <c r="B16" s="71">
        <v>45901</v>
      </c>
      <c r="C16" s="72">
        <v>100.922</v>
      </c>
      <c r="D16" s="73">
        <v>127.866</v>
      </c>
    </row>
    <row r="17" spans="2:4" s="123" customFormat="1" x14ac:dyDescent="0.2">
      <c r="B17" s="71">
        <v>45962</v>
      </c>
      <c r="C17" s="72">
        <v>100.786</v>
      </c>
      <c r="D17" s="73">
        <v>128.57</v>
      </c>
    </row>
    <row r="18" spans="2:4" s="123" customFormat="1" x14ac:dyDescent="0.2">
      <c r="B18" s="71">
        <v>46023</v>
      </c>
      <c r="C18" s="72">
        <v>100.48399999999999</v>
      </c>
      <c r="D18" s="73">
        <v>129.298</v>
      </c>
    </row>
    <row r="19" spans="2:4" s="123" customFormat="1" x14ac:dyDescent="0.2">
      <c r="B19" s="71">
        <v>46082</v>
      </c>
      <c r="C19" s="72">
        <v>98.046000000000006</v>
      </c>
      <c r="D19" s="73">
        <v>125.098</v>
      </c>
    </row>
    <row r="20" spans="2:4" s="123" customFormat="1" x14ac:dyDescent="0.2">
      <c r="B20" s="71">
        <v>46143</v>
      </c>
      <c r="C20" s="72">
        <v>95.2</v>
      </c>
      <c r="D20" s="73">
        <v>119.3</v>
      </c>
    </row>
    <row r="21" spans="2:4" s="123" customFormat="1" x14ac:dyDescent="0.2">
      <c r="B21" s="71">
        <v>46204</v>
      </c>
      <c r="C21" s="72">
        <v>91.671999999999997</v>
      </c>
      <c r="D21" s="73">
        <v>113.63</v>
      </c>
    </row>
    <row r="22" spans="2:4" s="123" customFormat="1" x14ac:dyDescent="0.2">
      <c r="B22" s="71">
        <v>46266</v>
      </c>
      <c r="C22" s="72">
        <v>90.561999999999998</v>
      </c>
      <c r="D22" s="73">
        <v>112.836</v>
      </c>
    </row>
    <row r="23" spans="2:4" ht="13.5" thickBot="1" x14ac:dyDescent="0.25">
      <c r="B23" s="71"/>
      <c r="C23" s="72"/>
      <c r="D23" s="73"/>
    </row>
    <row r="24" spans="2:4" x14ac:dyDescent="0.2">
      <c r="B24" s="168" t="s">
        <v>85</v>
      </c>
      <c r="C24" s="169"/>
      <c r="D24" s="170"/>
    </row>
    <row r="25" spans="2:4" ht="35.25" customHeight="1" x14ac:dyDescent="0.2">
      <c r="B25" s="171" t="s">
        <v>86</v>
      </c>
      <c r="C25" s="172"/>
      <c r="D25" s="173"/>
    </row>
    <row r="26" spans="2:4" ht="35.25" customHeight="1" thickBot="1" x14ac:dyDescent="0.25">
      <c r="B26" s="174" t="s">
        <v>96</v>
      </c>
      <c r="C26" s="175"/>
      <c r="D26" s="176"/>
    </row>
    <row r="27" spans="2:4" x14ac:dyDescent="0.2">
      <c r="B27" s="74"/>
    </row>
    <row r="28" spans="2:4" x14ac:dyDescent="0.2">
      <c r="B28" s="74"/>
    </row>
  </sheetData>
  <mergeCells count="4">
    <mergeCell ref="B2:D2"/>
    <mergeCell ref="B24:D24"/>
    <mergeCell ref="B25:D25"/>
    <mergeCell ref="B26:D2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5DDC-E2AD-4DC4-A231-D357C9B26B08}">
  <dimension ref="B1:F26"/>
  <sheetViews>
    <sheetView workbookViewId="0">
      <selection activeCell="T33" sqref="T33"/>
    </sheetView>
  </sheetViews>
  <sheetFormatPr defaultRowHeight="15" x14ac:dyDescent="0.25"/>
  <cols>
    <col min="1" max="1" width="1.5703125" customWidth="1"/>
    <col min="2" max="2" width="9.140625" style="48"/>
    <col min="3" max="6" width="12.85546875" customWidth="1"/>
  </cols>
  <sheetData>
    <row r="1" spans="2:6" ht="6" customHeight="1" thickBot="1" x14ac:dyDescent="0.3"/>
    <row r="2" spans="2:6" ht="35.25" customHeight="1" thickBot="1" x14ac:dyDescent="0.3">
      <c r="B2" s="184" t="s">
        <v>92</v>
      </c>
      <c r="C2" s="185"/>
      <c r="D2" s="185"/>
      <c r="E2" s="185"/>
      <c r="F2" s="186"/>
    </row>
    <row r="3" spans="2:6" ht="33" customHeight="1" x14ac:dyDescent="0.25">
      <c r="B3" s="187" t="s">
        <v>2</v>
      </c>
      <c r="C3" s="182" t="s">
        <v>3</v>
      </c>
      <c r="D3" s="183"/>
      <c r="E3" s="182" t="s">
        <v>13</v>
      </c>
      <c r="F3" s="183"/>
    </row>
    <row r="4" spans="2:6" x14ac:dyDescent="0.25">
      <c r="B4" s="188"/>
      <c r="C4" s="177" t="s">
        <v>14</v>
      </c>
      <c r="D4" s="178"/>
      <c r="E4" s="177" t="s">
        <v>14</v>
      </c>
      <c r="F4" s="178"/>
    </row>
    <row r="5" spans="2:6" ht="15.75" thickBot="1" x14ac:dyDescent="0.3">
      <c r="B5" s="189"/>
      <c r="C5" s="90" t="s">
        <v>15</v>
      </c>
      <c r="D5" s="91" t="s">
        <v>16</v>
      </c>
      <c r="E5" s="90" t="s">
        <v>15</v>
      </c>
      <c r="F5" s="91" t="s">
        <v>16</v>
      </c>
    </row>
    <row r="6" spans="2:6" x14ac:dyDescent="0.25">
      <c r="B6" s="87">
        <v>45170</v>
      </c>
      <c r="C6" s="88">
        <v>7.1</v>
      </c>
      <c r="D6" s="89">
        <v>0.28999999999999998</v>
      </c>
      <c r="E6" s="88">
        <v>9</v>
      </c>
      <c r="F6" s="89">
        <v>0.25</v>
      </c>
    </row>
    <row r="7" spans="2:6" x14ac:dyDescent="0.25">
      <c r="B7" s="87">
        <v>45231</v>
      </c>
      <c r="C7" s="88">
        <v>7</v>
      </c>
      <c r="D7" s="89">
        <v>0.3</v>
      </c>
      <c r="E7" s="88">
        <v>10.1</v>
      </c>
      <c r="F7" s="89">
        <v>0.24</v>
      </c>
    </row>
    <row r="8" spans="2:6" x14ac:dyDescent="0.25">
      <c r="B8" s="87">
        <v>45292</v>
      </c>
      <c r="C8" s="88">
        <v>6.7</v>
      </c>
      <c r="D8" s="89">
        <v>0.18</v>
      </c>
      <c r="E8" s="88">
        <v>9.5</v>
      </c>
      <c r="F8" s="89">
        <v>0.37</v>
      </c>
    </row>
    <row r="9" spans="2:6" x14ac:dyDescent="0.25">
      <c r="B9" s="87">
        <v>45352</v>
      </c>
      <c r="C9" s="88">
        <v>6.5</v>
      </c>
      <c r="D9" s="89">
        <v>0.21</v>
      </c>
      <c r="E9" s="88">
        <v>9.4</v>
      </c>
      <c r="F9" s="89">
        <v>0.2</v>
      </c>
    </row>
    <row r="10" spans="2:6" x14ac:dyDescent="0.25">
      <c r="B10" s="112">
        <v>45413</v>
      </c>
      <c r="C10" s="113">
        <v>6.4</v>
      </c>
      <c r="D10" s="114">
        <v>0.21</v>
      </c>
      <c r="E10" s="113">
        <v>9.6</v>
      </c>
      <c r="F10" s="114">
        <v>0.23</v>
      </c>
    </row>
    <row r="11" spans="2:6" x14ac:dyDescent="0.25">
      <c r="B11" s="87">
        <v>45474</v>
      </c>
      <c r="C11" s="116">
        <v>6.8</v>
      </c>
      <c r="D11" s="117">
        <v>0.22</v>
      </c>
      <c r="E11" s="116">
        <v>9.8000000000000007</v>
      </c>
      <c r="F11" s="115">
        <v>0.22</v>
      </c>
    </row>
    <row r="12" spans="2:6" x14ac:dyDescent="0.25">
      <c r="B12" s="87">
        <v>45536</v>
      </c>
      <c r="C12" s="118">
        <v>6.7</v>
      </c>
      <c r="D12" s="119">
        <v>0.23</v>
      </c>
      <c r="E12" s="118">
        <v>9.6</v>
      </c>
      <c r="F12" s="114">
        <v>0.24</v>
      </c>
    </row>
    <row r="13" spans="2:6" x14ac:dyDescent="0.25">
      <c r="B13" s="112">
        <v>45597</v>
      </c>
      <c r="C13" s="118">
        <v>7.1</v>
      </c>
      <c r="D13" s="119">
        <v>0.19</v>
      </c>
      <c r="E13" s="118">
        <v>9.6999999999999993</v>
      </c>
      <c r="F13" s="114">
        <v>0.23</v>
      </c>
    </row>
    <row r="14" spans="2:6" x14ac:dyDescent="0.25">
      <c r="B14" s="87">
        <v>45658</v>
      </c>
      <c r="C14" s="113">
        <v>7.01984303585522</v>
      </c>
      <c r="D14" s="114">
        <v>0.18632613343167001</v>
      </c>
      <c r="E14" s="113">
        <v>9.5919658167324897</v>
      </c>
      <c r="F14" s="114">
        <v>0.24124310932557499</v>
      </c>
    </row>
    <row r="15" spans="2:6" x14ac:dyDescent="0.25">
      <c r="B15" s="87">
        <v>45717</v>
      </c>
      <c r="C15" s="113">
        <v>6.55990747985713</v>
      </c>
      <c r="D15" s="114">
        <v>0.23229363453870899</v>
      </c>
      <c r="E15" s="113">
        <v>9.30546448638035</v>
      </c>
      <c r="F15" s="114">
        <v>0.228207106967589</v>
      </c>
    </row>
    <row r="16" spans="2:6" s="122" customFormat="1" x14ac:dyDescent="0.25">
      <c r="B16" s="87">
        <v>45778</v>
      </c>
      <c r="C16" s="113">
        <v>6.3</v>
      </c>
      <c r="D16" s="114">
        <v>0.17</v>
      </c>
      <c r="E16" s="113">
        <v>8.9</v>
      </c>
      <c r="F16" s="114">
        <v>0.19</v>
      </c>
    </row>
    <row r="17" spans="2:6" s="125" customFormat="1" x14ac:dyDescent="0.25">
      <c r="B17" s="87">
        <v>45839</v>
      </c>
      <c r="C17" s="113">
        <v>5.7699717340000003</v>
      </c>
      <c r="D17" s="114">
        <v>7.5834594000000005E-2</v>
      </c>
      <c r="E17" s="113">
        <v>7.880367755</v>
      </c>
      <c r="F17" s="114">
        <v>0.25384263400000001</v>
      </c>
    </row>
    <row r="18" spans="2:6" s="125" customFormat="1" x14ac:dyDescent="0.25">
      <c r="B18" s="87">
        <v>45901</v>
      </c>
      <c r="C18" s="113">
        <v>5.8997135370000002</v>
      </c>
      <c r="D18" s="114">
        <v>0.12635908600000001</v>
      </c>
      <c r="E18" s="113">
        <v>7.6305964370000003</v>
      </c>
      <c r="F18" s="114">
        <v>0.234843247</v>
      </c>
    </row>
    <row r="19" spans="2:6" s="125" customFormat="1" x14ac:dyDescent="0.25">
      <c r="B19" s="128">
        <v>45962</v>
      </c>
      <c r="C19" s="113">
        <v>4.5870221204346802</v>
      </c>
      <c r="D19" s="114">
        <v>0.123769593559279</v>
      </c>
      <c r="E19" s="113">
        <v>6.1193015426504802</v>
      </c>
      <c r="F19" s="114">
        <v>0.218990998120734</v>
      </c>
    </row>
    <row r="20" spans="2:6" s="125" customFormat="1" x14ac:dyDescent="0.25">
      <c r="B20" s="128">
        <v>46023</v>
      </c>
      <c r="C20" s="113">
        <v>5.09367573229272</v>
      </c>
      <c r="D20" s="114">
        <v>8.73812854632047E-2</v>
      </c>
      <c r="E20" s="113">
        <v>6.1635436775794101</v>
      </c>
      <c r="F20" s="114">
        <v>0.216877815716602</v>
      </c>
    </row>
    <row r="21" spans="2:6" s="125" customFormat="1" x14ac:dyDescent="0.25">
      <c r="B21" s="128">
        <v>46082</v>
      </c>
      <c r="C21" s="113">
        <v>5.55062868</v>
      </c>
      <c r="D21" s="114">
        <v>9.3569119000000006E-2</v>
      </c>
      <c r="E21" s="113">
        <v>6.7576193260000004</v>
      </c>
      <c r="F21" s="114">
        <v>0.233482148</v>
      </c>
    </row>
    <row r="22" spans="2:6" s="125" customFormat="1" x14ac:dyDescent="0.25">
      <c r="B22" s="128">
        <v>46143</v>
      </c>
      <c r="C22" s="113">
        <v>5.9</v>
      </c>
      <c r="D22" s="114">
        <v>0.1</v>
      </c>
      <c r="E22" s="113">
        <v>7.2</v>
      </c>
      <c r="F22" s="114">
        <v>0.19</v>
      </c>
    </row>
    <row r="23" spans="2:6" s="125" customFormat="1" x14ac:dyDescent="0.25">
      <c r="B23" s="128">
        <v>46204</v>
      </c>
      <c r="C23" s="113">
        <v>6.1186488401939796</v>
      </c>
      <c r="D23" s="114">
        <v>0.19457680182665199</v>
      </c>
      <c r="E23" s="113">
        <v>7.4139230006815202</v>
      </c>
      <c r="F23" s="114">
        <v>0.22453496778935</v>
      </c>
    </row>
    <row r="24" spans="2:6" s="125" customFormat="1" x14ac:dyDescent="0.25">
      <c r="B24" s="128">
        <v>46266</v>
      </c>
      <c r="C24" s="113">
        <v>6.7979795809855998</v>
      </c>
      <c r="D24" s="114">
        <v>0.23021043966593199</v>
      </c>
      <c r="E24" s="113">
        <v>7.9269073007891198</v>
      </c>
      <c r="F24" s="114">
        <v>0.19879086463786499</v>
      </c>
    </row>
    <row r="25" spans="2:6" ht="15.75" thickBot="1" x14ac:dyDescent="0.3">
      <c r="B25" s="112"/>
      <c r="C25" s="113"/>
      <c r="D25" s="114"/>
      <c r="E25" s="113"/>
      <c r="F25" s="114"/>
    </row>
    <row r="26" spans="2:6" ht="63" customHeight="1" thickBot="1" x14ac:dyDescent="0.3">
      <c r="B26" s="179" t="s">
        <v>97</v>
      </c>
      <c r="C26" s="180"/>
      <c r="D26" s="180"/>
      <c r="E26" s="180"/>
      <c r="F26" s="181"/>
    </row>
  </sheetData>
  <mergeCells count="7">
    <mergeCell ref="E4:F4"/>
    <mergeCell ref="B26:F26"/>
    <mergeCell ref="C3:D3"/>
    <mergeCell ref="E3:F3"/>
    <mergeCell ref="B2:F2"/>
    <mergeCell ref="B3:B5"/>
    <mergeCell ref="C4:D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5E60-6AE9-4829-9F36-990212EC549D}">
  <dimension ref="B1:AN30"/>
  <sheetViews>
    <sheetView workbookViewId="0">
      <pane xSplit="2" topLeftCell="AG1" activePane="topRight" state="frozen"/>
      <selection pane="topRight" activeCell="AM6" sqref="AM6:AN21"/>
    </sheetView>
  </sheetViews>
  <sheetFormatPr defaultRowHeight="15" x14ac:dyDescent="0.25"/>
  <cols>
    <col min="1" max="1" width="1.7109375" customWidth="1"/>
    <col min="2" max="2" width="23.42578125" customWidth="1"/>
    <col min="21" max="22" width="9.140625" style="122"/>
    <col min="25" max="28" width="9.140625" style="125"/>
    <col min="37" max="38" width="9.140625" style="125"/>
  </cols>
  <sheetData>
    <row r="1" spans="2:40" ht="6" customHeight="1" thickBot="1" x14ac:dyDescent="0.3"/>
    <row r="2" spans="2:40" x14ac:dyDescent="0.25">
      <c r="B2" s="81" t="s">
        <v>93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3"/>
      <c r="U2" s="92"/>
      <c r="V2" s="92"/>
      <c r="W2" s="92"/>
      <c r="X2" s="93"/>
      <c r="Y2" s="92"/>
      <c r="Z2" s="93"/>
      <c r="AA2" s="92"/>
      <c r="AB2" s="93"/>
      <c r="AC2" s="92"/>
      <c r="AD2" s="93"/>
      <c r="AE2" s="92"/>
      <c r="AF2" s="93"/>
      <c r="AG2" s="92"/>
      <c r="AH2" s="93"/>
      <c r="AI2" s="92"/>
      <c r="AJ2" s="93"/>
      <c r="AK2" s="92"/>
      <c r="AL2" s="93"/>
      <c r="AM2" s="92"/>
      <c r="AN2" s="93"/>
    </row>
    <row r="3" spans="2:40" ht="15.75" customHeight="1" thickBot="1" x14ac:dyDescent="0.3">
      <c r="B3" s="94"/>
      <c r="C3" s="49"/>
      <c r="D3" s="49"/>
      <c r="E3" s="49"/>
      <c r="F3" s="49"/>
      <c r="G3" s="49"/>
      <c r="H3" s="49"/>
      <c r="I3" s="49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1"/>
      <c r="U3" s="120"/>
      <c r="V3" s="120"/>
      <c r="W3" s="120"/>
      <c r="X3" s="121"/>
      <c r="Y3" s="120"/>
      <c r="Z3" s="121"/>
      <c r="AA3" s="120"/>
      <c r="AB3" s="121"/>
      <c r="AC3" s="120"/>
      <c r="AD3" s="121"/>
      <c r="AE3" s="120"/>
      <c r="AF3" s="121"/>
      <c r="AG3" s="120"/>
      <c r="AH3" s="121"/>
      <c r="AI3" s="120"/>
      <c r="AJ3" s="121"/>
      <c r="AK3" s="120"/>
      <c r="AL3" s="121"/>
      <c r="AM3" s="120"/>
      <c r="AN3" s="121"/>
    </row>
    <row r="4" spans="2:40" ht="15.75" customHeight="1" thickBot="1" x14ac:dyDescent="0.3">
      <c r="B4" s="95" t="s">
        <v>90</v>
      </c>
      <c r="C4" s="192">
        <v>45170</v>
      </c>
      <c r="D4" s="193"/>
      <c r="E4" s="192">
        <v>45231</v>
      </c>
      <c r="F4" s="193"/>
      <c r="G4" s="192">
        <v>45292</v>
      </c>
      <c r="H4" s="193"/>
      <c r="I4" s="192">
        <v>45352</v>
      </c>
      <c r="J4" s="191"/>
      <c r="K4" s="190">
        <v>45413</v>
      </c>
      <c r="L4" s="191"/>
      <c r="M4" s="190">
        <v>45474</v>
      </c>
      <c r="N4" s="191"/>
      <c r="O4" s="190">
        <v>45536</v>
      </c>
      <c r="P4" s="191"/>
      <c r="Q4" s="190">
        <v>45597</v>
      </c>
      <c r="R4" s="191"/>
      <c r="S4" s="190">
        <v>45658</v>
      </c>
      <c r="T4" s="191"/>
      <c r="U4" s="190">
        <v>45717</v>
      </c>
      <c r="V4" s="191"/>
      <c r="W4" s="190">
        <v>45778</v>
      </c>
      <c r="X4" s="191"/>
      <c r="Y4" s="190">
        <v>45839</v>
      </c>
      <c r="Z4" s="191"/>
      <c r="AA4" s="190">
        <v>45901</v>
      </c>
      <c r="AB4" s="191"/>
      <c r="AC4" s="190">
        <v>45962</v>
      </c>
      <c r="AD4" s="191"/>
      <c r="AE4" s="190">
        <v>46023</v>
      </c>
      <c r="AF4" s="191"/>
      <c r="AG4" s="190">
        <v>46082</v>
      </c>
      <c r="AH4" s="191"/>
      <c r="AI4" s="190">
        <v>46143</v>
      </c>
      <c r="AJ4" s="191"/>
      <c r="AK4" s="190">
        <v>46204</v>
      </c>
      <c r="AL4" s="191"/>
      <c r="AM4" s="190">
        <v>46266</v>
      </c>
      <c r="AN4" s="191"/>
    </row>
    <row r="5" spans="2:40" ht="15.75" thickBot="1" x14ac:dyDescent="0.3">
      <c r="B5" s="82" t="s">
        <v>91</v>
      </c>
      <c r="C5" s="110" t="s">
        <v>15</v>
      </c>
      <c r="D5" s="96" t="s">
        <v>16</v>
      </c>
      <c r="E5" s="110" t="s">
        <v>15</v>
      </c>
      <c r="F5" s="96" t="s">
        <v>16</v>
      </c>
      <c r="G5" s="110" t="s">
        <v>15</v>
      </c>
      <c r="H5" s="96" t="s">
        <v>16</v>
      </c>
      <c r="I5" s="110" t="s">
        <v>15</v>
      </c>
      <c r="J5" s="96" t="s">
        <v>16</v>
      </c>
      <c r="K5" s="110" t="s">
        <v>15</v>
      </c>
      <c r="L5" s="96" t="s">
        <v>16</v>
      </c>
      <c r="M5" s="110" t="s">
        <v>15</v>
      </c>
      <c r="N5" s="96" t="s">
        <v>16</v>
      </c>
      <c r="O5" s="110" t="s">
        <v>15</v>
      </c>
      <c r="P5" s="96" t="s">
        <v>16</v>
      </c>
      <c r="Q5" s="110" t="s">
        <v>15</v>
      </c>
      <c r="R5" s="96" t="s">
        <v>16</v>
      </c>
      <c r="S5" s="110" t="s">
        <v>15</v>
      </c>
      <c r="T5" s="96" t="s">
        <v>16</v>
      </c>
      <c r="U5" s="110" t="s">
        <v>15</v>
      </c>
      <c r="V5" s="96" t="s">
        <v>16</v>
      </c>
      <c r="W5" s="110" t="s">
        <v>15</v>
      </c>
      <c r="X5" s="96" t="s">
        <v>16</v>
      </c>
      <c r="Y5" s="110" t="s">
        <v>15</v>
      </c>
      <c r="Z5" s="96" t="s">
        <v>16</v>
      </c>
      <c r="AA5" s="110" t="s">
        <v>15</v>
      </c>
      <c r="AB5" s="96" t="s">
        <v>16</v>
      </c>
      <c r="AC5" s="110" t="s">
        <v>15</v>
      </c>
      <c r="AD5" s="96" t="s">
        <v>16</v>
      </c>
      <c r="AE5" s="110" t="s">
        <v>15</v>
      </c>
      <c r="AF5" s="96" t="s">
        <v>16</v>
      </c>
      <c r="AG5" s="110" t="s">
        <v>15</v>
      </c>
      <c r="AH5" s="96" t="s">
        <v>16</v>
      </c>
      <c r="AI5" s="110" t="s">
        <v>15</v>
      </c>
      <c r="AJ5" s="96" t="s">
        <v>16</v>
      </c>
      <c r="AK5" s="131" t="s">
        <v>15</v>
      </c>
      <c r="AL5" s="132" t="s">
        <v>16</v>
      </c>
      <c r="AM5" s="147" t="s">
        <v>15</v>
      </c>
      <c r="AN5" s="148" t="s">
        <v>16</v>
      </c>
    </row>
    <row r="6" spans="2:40" x14ac:dyDescent="0.25">
      <c r="B6" s="106" t="s">
        <v>17</v>
      </c>
      <c r="C6" s="111">
        <v>7.1</v>
      </c>
      <c r="D6" s="97">
        <v>0.28999999999999998</v>
      </c>
      <c r="E6" s="111">
        <v>7</v>
      </c>
      <c r="F6" s="97">
        <v>0.3</v>
      </c>
      <c r="G6" s="111">
        <v>6.7</v>
      </c>
      <c r="H6" s="97">
        <v>0.18</v>
      </c>
      <c r="I6" s="111">
        <v>6.5</v>
      </c>
      <c r="J6" s="97">
        <v>0.21</v>
      </c>
      <c r="K6" s="111">
        <v>6.4</v>
      </c>
      <c r="L6" s="97">
        <v>0.21</v>
      </c>
      <c r="M6" s="111">
        <v>6.8483745612261702</v>
      </c>
      <c r="N6" s="97">
        <v>0.22008931807938101</v>
      </c>
      <c r="O6" s="111">
        <v>6.7286181520000001</v>
      </c>
      <c r="P6" s="97">
        <v>0.22927141200000001</v>
      </c>
      <c r="Q6" s="111">
        <v>7.1323809404715099</v>
      </c>
      <c r="R6" s="97">
        <v>0.188561821207197</v>
      </c>
      <c r="S6" s="111">
        <v>7.01984303585522</v>
      </c>
      <c r="T6" s="97">
        <v>0.18632613343167001</v>
      </c>
      <c r="U6" s="111">
        <v>6.55990747985713</v>
      </c>
      <c r="V6" s="97">
        <v>0.23229363453870899</v>
      </c>
      <c r="W6" s="111">
        <v>6.3</v>
      </c>
      <c r="X6" s="97">
        <v>0.17</v>
      </c>
      <c r="Y6" s="111">
        <v>5.7699717340000003</v>
      </c>
      <c r="Z6" s="97">
        <v>7.5834594000000005E-2</v>
      </c>
      <c r="AA6" s="111">
        <v>5.8997135370000002</v>
      </c>
      <c r="AB6" s="97">
        <v>0.12635908600000001</v>
      </c>
      <c r="AC6" s="111">
        <v>4.5870221204346802</v>
      </c>
      <c r="AD6" s="97">
        <v>0.123769593559279</v>
      </c>
      <c r="AE6" s="111">
        <v>5.09367573229272</v>
      </c>
      <c r="AF6" s="97">
        <v>8.73812854632047E-2</v>
      </c>
      <c r="AG6" s="111">
        <v>5.55062868</v>
      </c>
      <c r="AH6" s="97">
        <v>9.3569119000000006E-2</v>
      </c>
      <c r="AI6" s="111">
        <v>5.9</v>
      </c>
      <c r="AJ6" s="141">
        <v>0.1</v>
      </c>
      <c r="AK6" s="133">
        <v>6.1186488401939796</v>
      </c>
      <c r="AL6" s="134">
        <v>0.19457680182665199</v>
      </c>
      <c r="AM6" s="133">
        <v>6.7979795809855998</v>
      </c>
      <c r="AN6" s="134">
        <v>0.23021043966593199</v>
      </c>
    </row>
    <row r="7" spans="2:40" x14ac:dyDescent="0.25">
      <c r="B7" s="107" t="s">
        <v>18</v>
      </c>
      <c r="C7" s="85"/>
      <c r="D7" s="83"/>
      <c r="E7" s="85"/>
      <c r="F7" s="83"/>
      <c r="G7" s="85"/>
      <c r="H7" s="83"/>
      <c r="I7" s="85"/>
      <c r="J7" s="83"/>
      <c r="K7" s="85"/>
      <c r="L7" s="83"/>
      <c r="M7" s="85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5"/>
      <c r="Z7" s="83"/>
      <c r="AA7" s="85"/>
      <c r="AB7" s="83"/>
      <c r="AC7" s="85"/>
      <c r="AD7" s="83"/>
      <c r="AE7" s="85"/>
      <c r="AF7" s="83"/>
      <c r="AG7" s="85"/>
      <c r="AH7" s="83"/>
      <c r="AI7" s="85"/>
      <c r="AJ7" s="142"/>
      <c r="AK7" s="135"/>
      <c r="AL7" s="136"/>
      <c r="AM7" s="135"/>
      <c r="AN7" s="136"/>
    </row>
    <row r="8" spans="2:40" x14ac:dyDescent="0.25">
      <c r="B8" s="108" t="s">
        <v>19</v>
      </c>
      <c r="C8" s="85">
        <v>7.2</v>
      </c>
      <c r="D8" s="83">
        <v>0.28000000000000003</v>
      </c>
      <c r="E8" s="85">
        <v>7.1</v>
      </c>
      <c r="F8" s="83">
        <v>0.28999999999999998</v>
      </c>
      <c r="G8" s="85">
        <v>7.1</v>
      </c>
      <c r="H8" s="83">
        <v>0.23</v>
      </c>
      <c r="I8" s="85">
        <v>6.5</v>
      </c>
      <c r="J8" s="83">
        <v>0.27</v>
      </c>
      <c r="K8" s="85">
        <v>6.4</v>
      </c>
      <c r="L8" s="83">
        <v>0.26</v>
      </c>
      <c r="M8" s="85">
        <v>7.0783262949492904</v>
      </c>
      <c r="N8" s="83">
        <v>0.23910386275647999</v>
      </c>
      <c r="O8" s="85">
        <v>6.9094502249999996</v>
      </c>
      <c r="P8" s="83">
        <v>0.26190921299999997</v>
      </c>
      <c r="Q8" s="85">
        <v>7.5647813042019001</v>
      </c>
      <c r="R8" s="83">
        <v>0.218537044378456</v>
      </c>
      <c r="S8" s="85">
        <v>7.46177581788948</v>
      </c>
      <c r="T8" s="83">
        <v>0.21016483506087999</v>
      </c>
      <c r="U8" s="85">
        <v>6.6920484433996696</v>
      </c>
      <c r="V8" s="83">
        <v>0.272821778654601</v>
      </c>
      <c r="W8" s="85">
        <v>6.3</v>
      </c>
      <c r="X8" s="83">
        <v>0.17</v>
      </c>
      <c r="Y8" s="85">
        <v>5.848343582</v>
      </c>
      <c r="Z8" s="83">
        <v>0.11407229300000001</v>
      </c>
      <c r="AA8" s="85">
        <v>6.0287270350000002</v>
      </c>
      <c r="AB8" s="83">
        <v>0.18021948900000001</v>
      </c>
      <c r="AC8" s="85">
        <v>4.4468163133090197</v>
      </c>
      <c r="AD8" s="83">
        <v>0.148560374185877</v>
      </c>
      <c r="AE8" s="85">
        <v>5.1446037165942498</v>
      </c>
      <c r="AF8" s="83">
        <v>0.102664534478524</v>
      </c>
      <c r="AG8" s="85">
        <v>5.6050955790000003</v>
      </c>
      <c r="AH8" s="83">
        <v>0.118278073</v>
      </c>
      <c r="AI8" s="85">
        <v>6.1</v>
      </c>
      <c r="AJ8" s="142">
        <v>0.17</v>
      </c>
      <c r="AK8" s="135">
        <v>6.4393781982037703</v>
      </c>
      <c r="AL8" s="136">
        <v>0.25472630362688797</v>
      </c>
      <c r="AM8" s="135">
        <v>7.2706800090904302</v>
      </c>
      <c r="AN8" s="136">
        <v>0.268327932447393</v>
      </c>
    </row>
    <row r="9" spans="2:40" x14ac:dyDescent="0.25">
      <c r="B9" s="108" t="s">
        <v>20</v>
      </c>
      <c r="C9" s="85">
        <v>7</v>
      </c>
      <c r="D9" s="83">
        <v>0.44</v>
      </c>
      <c r="E9" s="85">
        <v>7</v>
      </c>
      <c r="F9" s="83">
        <v>0.56000000000000005</v>
      </c>
      <c r="G9" s="85">
        <v>6.4</v>
      </c>
      <c r="H9" s="83">
        <v>0.26</v>
      </c>
      <c r="I9" s="85">
        <v>6.7</v>
      </c>
      <c r="J9" s="83">
        <v>0.32</v>
      </c>
      <c r="K9" s="85">
        <v>6.3</v>
      </c>
      <c r="L9" s="83">
        <v>0.23</v>
      </c>
      <c r="M9" s="85">
        <v>6.68294717504806</v>
      </c>
      <c r="N9" s="83">
        <v>0.29915075126295898</v>
      </c>
      <c r="O9" s="85">
        <v>6.4537740399999999</v>
      </c>
      <c r="P9" s="83">
        <v>0.28514322199999997</v>
      </c>
      <c r="Q9" s="85">
        <v>6.8391601422667101</v>
      </c>
      <c r="R9" s="83">
        <v>0.28069662569808201</v>
      </c>
      <c r="S9" s="85">
        <v>6.6976016349760297</v>
      </c>
      <c r="T9" s="83">
        <v>0.223593279307432</v>
      </c>
      <c r="U9" s="85">
        <v>6.3662492875101897</v>
      </c>
      <c r="V9" s="83">
        <v>0.26159271263591</v>
      </c>
      <c r="W9" s="85">
        <v>6.4</v>
      </c>
      <c r="X9" s="83">
        <v>0.27</v>
      </c>
      <c r="Y9" s="85">
        <v>5.6666969070000004</v>
      </c>
      <c r="Z9" s="83">
        <v>8.2939348999999996E-2</v>
      </c>
      <c r="AA9" s="85">
        <v>5.8818810920000004</v>
      </c>
      <c r="AB9" s="83">
        <v>0.18657801399999999</v>
      </c>
      <c r="AC9" s="85">
        <v>4.7857433363434998</v>
      </c>
      <c r="AD9" s="83">
        <v>0.15149993387781399</v>
      </c>
      <c r="AE9" s="85">
        <v>4.9981245546009996</v>
      </c>
      <c r="AF9" s="83">
        <v>0.13948341137140099</v>
      </c>
      <c r="AG9" s="85">
        <v>5.4579423480000004</v>
      </c>
      <c r="AH9" s="83">
        <v>0.11843696300000001</v>
      </c>
      <c r="AI9" s="85">
        <v>5.8</v>
      </c>
      <c r="AJ9" s="142">
        <v>0.15</v>
      </c>
      <c r="AK9" s="135">
        <v>5.8510143357212803</v>
      </c>
      <c r="AL9" s="136">
        <v>0.13717771398756601</v>
      </c>
      <c r="AM9" s="135">
        <v>6.2744569170192399</v>
      </c>
      <c r="AN9" s="136">
        <v>0.274978011237002</v>
      </c>
    </row>
    <row r="10" spans="2:40" x14ac:dyDescent="0.25">
      <c r="B10" s="107" t="s">
        <v>21</v>
      </c>
      <c r="C10" s="85"/>
      <c r="D10" s="83"/>
      <c r="E10" s="85"/>
      <c r="F10" s="83"/>
      <c r="G10" s="85"/>
      <c r="H10" s="83"/>
      <c r="I10" s="85"/>
      <c r="J10" s="83"/>
      <c r="K10" s="85"/>
      <c r="L10" s="83"/>
      <c r="M10" s="85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5"/>
      <c r="Z10" s="83"/>
      <c r="AA10" s="85"/>
      <c r="AB10" s="83"/>
      <c r="AC10" s="85"/>
      <c r="AD10" s="83"/>
      <c r="AE10" s="85"/>
      <c r="AF10" s="83"/>
      <c r="AG10" s="85"/>
      <c r="AH10" s="83"/>
      <c r="AI10" s="85"/>
      <c r="AJ10" s="142"/>
      <c r="AK10" s="135"/>
      <c r="AL10" s="136"/>
      <c r="AM10" s="135"/>
      <c r="AN10" s="136"/>
    </row>
    <row r="11" spans="2:40" x14ac:dyDescent="0.25">
      <c r="B11" s="108" t="s">
        <v>47</v>
      </c>
      <c r="C11" s="85">
        <v>7.5</v>
      </c>
      <c r="D11" s="83">
        <v>0.41</v>
      </c>
      <c r="E11" s="85">
        <v>7</v>
      </c>
      <c r="F11" s="83">
        <v>0.36</v>
      </c>
      <c r="G11" s="85">
        <v>6.7</v>
      </c>
      <c r="H11" s="83">
        <v>0.43</v>
      </c>
      <c r="I11" s="85">
        <v>6.8</v>
      </c>
      <c r="J11" s="83">
        <v>0.39</v>
      </c>
      <c r="K11" s="85">
        <v>6.4</v>
      </c>
      <c r="L11" s="83">
        <v>0.41</v>
      </c>
      <c r="M11" s="85">
        <v>6.9064808312425798</v>
      </c>
      <c r="N11" s="83">
        <v>0.48630877465672301</v>
      </c>
      <c r="O11" s="85">
        <v>6.8962799710000002</v>
      </c>
      <c r="P11" s="83">
        <v>0.38678506400000001</v>
      </c>
      <c r="Q11" s="85">
        <v>7.5593562414239797</v>
      </c>
      <c r="R11" s="83">
        <v>0.33045682835087398</v>
      </c>
      <c r="S11" s="85">
        <v>7.5650311280345601</v>
      </c>
      <c r="T11" s="83">
        <v>0.34784363165022197</v>
      </c>
      <c r="U11" s="85">
        <v>6.5046870370079697</v>
      </c>
      <c r="V11" s="83">
        <v>0.34894497327299401</v>
      </c>
      <c r="W11" s="85">
        <v>6.7</v>
      </c>
      <c r="X11" s="83">
        <v>0.35</v>
      </c>
      <c r="Y11" s="85">
        <v>5.8665515450000001</v>
      </c>
      <c r="Z11" s="83">
        <v>0.20363204300000001</v>
      </c>
      <c r="AA11" s="126">
        <v>6.7092071769999997</v>
      </c>
      <c r="AB11" s="127">
        <v>0.42748166900000001</v>
      </c>
      <c r="AC11" s="126">
        <v>4.5057806762115398</v>
      </c>
      <c r="AD11" s="127">
        <v>0.26383041665783502</v>
      </c>
      <c r="AE11" s="126">
        <v>5.24674309965806</v>
      </c>
      <c r="AF11" s="127">
        <v>0.15624739471500501</v>
      </c>
      <c r="AG11" s="126">
        <v>5.5654363279999997</v>
      </c>
      <c r="AH11" s="127">
        <v>0.151632243</v>
      </c>
      <c r="AI11" s="126">
        <v>5.9</v>
      </c>
      <c r="AJ11" s="143">
        <v>0.23</v>
      </c>
      <c r="AK11" s="137">
        <v>6.3915527411662501</v>
      </c>
      <c r="AL11" s="138">
        <v>0.37331216851948401</v>
      </c>
      <c r="AM11" s="137">
        <v>7.0579706590351803</v>
      </c>
      <c r="AN11" s="138">
        <v>0.39076559526202498</v>
      </c>
    </row>
    <row r="12" spans="2:40" x14ac:dyDescent="0.25">
      <c r="B12" s="108" t="s">
        <v>22</v>
      </c>
      <c r="C12" s="85">
        <v>6.9</v>
      </c>
      <c r="D12" s="83">
        <v>0.41</v>
      </c>
      <c r="E12" s="85">
        <v>6.9</v>
      </c>
      <c r="F12" s="83">
        <v>0.52</v>
      </c>
      <c r="G12" s="85">
        <v>7.5</v>
      </c>
      <c r="H12" s="83">
        <v>0.41</v>
      </c>
      <c r="I12" s="85">
        <v>6.3</v>
      </c>
      <c r="J12" s="83">
        <v>0.28000000000000003</v>
      </c>
      <c r="K12" s="85">
        <v>6.4</v>
      </c>
      <c r="L12" s="83">
        <v>0.38</v>
      </c>
      <c r="M12" s="85">
        <v>7.5099204325046998</v>
      </c>
      <c r="N12" s="83">
        <v>0.33850030124186897</v>
      </c>
      <c r="O12" s="85">
        <v>7.1055809840000004</v>
      </c>
      <c r="P12" s="83">
        <v>0.38732106900000002</v>
      </c>
      <c r="Q12" s="85">
        <v>7.2681200690087202</v>
      </c>
      <c r="R12" s="83">
        <v>0.29326798565616702</v>
      </c>
      <c r="S12" s="85">
        <v>7.0588713498392597</v>
      </c>
      <c r="T12" s="83">
        <v>0.37283134227534898</v>
      </c>
      <c r="U12" s="85">
        <v>6.8509750639510996</v>
      </c>
      <c r="V12" s="83">
        <v>0.38098775976349503</v>
      </c>
      <c r="W12" s="85">
        <v>6.1</v>
      </c>
      <c r="X12" s="83">
        <v>0.22</v>
      </c>
      <c r="Y12" s="85">
        <v>5.936023241</v>
      </c>
      <c r="Z12" s="83">
        <v>0.209610044</v>
      </c>
      <c r="AA12" s="126">
        <v>6.1332508519999998</v>
      </c>
      <c r="AB12" s="127">
        <v>0.26063261199999999</v>
      </c>
      <c r="AC12" s="126">
        <v>4.6395386548800497</v>
      </c>
      <c r="AD12" s="127">
        <v>0.21467959366428299</v>
      </c>
      <c r="AE12" s="126">
        <v>5.0084422198597203</v>
      </c>
      <c r="AF12" s="127">
        <v>0.167142349956173</v>
      </c>
      <c r="AG12" s="126">
        <v>5.774242418</v>
      </c>
      <c r="AH12" s="127">
        <v>0.20087217800000001</v>
      </c>
      <c r="AI12" s="126">
        <v>5.9</v>
      </c>
      <c r="AJ12" s="143">
        <v>0.21</v>
      </c>
      <c r="AK12" s="137">
        <v>6.7354232857676601</v>
      </c>
      <c r="AL12" s="138">
        <v>0.36649685016691902</v>
      </c>
      <c r="AM12" s="137">
        <v>6.8246927586522297</v>
      </c>
      <c r="AN12" s="138">
        <v>0.43152086515159099</v>
      </c>
    </row>
    <row r="13" spans="2:40" x14ac:dyDescent="0.25">
      <c r="B13" s="108" t="s">
        <v>23</v>
      </c>
      <c r="C13" s="85">
        <v>7.3</v>
      </c>
      <c r="D13" s="83">
        <v>0.48</v>
      </c>
      <c r="E13" s="85">
        <v>7</v>
      </c>
      <c r="F13" s="83">
        <v>0.61</v>
      </c>
      <c r="G13" s="85">
        <v>6.2</v>
      </c>
      <c r="H13" s="83">
        <v>0.24</v>
      </c>
      <c r="I13" s="85">
        <v>6.8</v>
      </c>
      <c r="J13" s="83">
        <v>0.34</v>
      </c>
      <c r="K13" s="85">
        <v>6.2</v>
      </c>
      <c r="L13" s="83">
        <v>0.24</v>
      </c>
      <c r="M13" s="85">
        <v>6.4985358551343602</v>
      </c>
      <c r="N13" s="83">
        <v>0.305706969039925</v>
      </c>
      <c r="O13" s="85">
        <v>6.3227299600000002</v>
      </c>
      <c r="P13" s="83">
        <v>0.30412778699999998</v>
      </c>
      <c r="Q13" s="85">
        <v>6.8432817034972304</v>
      </c>
      <c r="R13" s="83">
        <v>0.27001252936500197</v>
      </c>
      <c r="S13" s="85">
        <v>6.6639330392436102</v>
      </c>
      <c r="T13" s="83">
        <v>0.23655128556485899</v>
      </c>
      <c r="U13" s="85">
        <v>6.4466088253387399</v>
      </c>
      <c r="V13" s="83">
        <v>0.29150980400675303</v>
      </c>
      <c r="W13" s="85">
        <v>6.5</v>
      </c>
      <c r="X13" s="83">
        <v>0.28000000000000003</v>
      </c>
      <c r="Y13" s="85">
        <v>5.7583607150000002</v>
      </c>
      <c r="Z13" s="83">
        <v>9.9882469000000002E-2</v>
      </c>
      <c r="AA13" s="126">
        <v>5.9521363730000001</v>
      </c>
      <c r="AB13" s="127">
        <v>0.260351997</v>
      </c>
      <c r="AC13" s="126">
        <v>4.8213390665279796</v>
      </c>
      <c r="AD13" s="127">
        <v>0.17142040880419199</v>
      </c>
      <c r="AE13" s="126">
        <v>4.9378800167856696</v>
      </c>
      <c r="AF13" s="127">
        <v>0.154721752541988</v>
      </c>
      <c r="AG13" s="126">
        <v>5.5184950720000003</v>
      </c>
      <c r="AH13" s="127">
        <v>0.12605861199999999</v>
      </c>
      <c r="AI13" s="126">
        <v>5.9</v>
      </c>
      <c r="AJ13" s="143">
        <v>0.19</v>
      </c>
      <c r="AK13" s="137">
        <v>5.8464752239261797</v>
      </c>
      <c r="AL13" s="138">
        <v>0.14030833657619399</v>
      </c>
      <c r="AM13" s="137">
        <v>6.3848301312924098</v>
      </c>
      <c r="AN13" s="138">
        <v>0.327448515327325</v>
      </c>
    </row>
    <row r="14" spans="2:40" x14ac:dyDescent="0.25">
      <c r="B14" s="108" t="s">
        <v>24</v>
      </c>
      <c r="C14" s="85">
        <v>5.9</v>
      </c>
      <c r="D14" s="83">
        <v>0.17</v>
      </c>
      <c r="E14" s="85">
        <v>6.8</v>
      </c>
      <c r="F14" s="83">
        <v>0.55000000000000004</v>
      </c>
      <c r="G14" s="85">
        <v>7.6</v>
      </c>
      <c r="H14" s="83">
        <v>0.55000000000000004</v>
      </c>
      <c r="I14" s="85">
        <v>6.4</v>
      </c>
      <c r="J14" s="83">
        <v>0.5</v>
      </c>
      <c r="K14" s="85">
        <v>6.7</v>
      </c>
      <c r="L14" s="83">
        <v>0.68</v>
      </c>
      <c r="M14" s="85">
        <v>6.8090204480526504</v>
      </c>
      <c r="N14" s="83">
        <v>0.65493726231733596</v>
      </c>
      <c r="O14" s="85">
        <v>7.6242283369999999</v>
      </c>
      <c r="P14" s="83">
        <v>0.60191335700000004</v>
      </c>
      <c r="Q14" s="85">
        <v>8.6541077042727697</v>
      </c>
      <c r="R14" s="83">
        <v>0.97073447808226498</v>
      </c>
      <c r="S14" s="85">
        <v>9.3437098482410192</v>
      </c>
      <c r="T14" s="83">
        <v>0.61357712037339895</v>
      </c>
      <c r="U14" s="85">
        <v>7.5639785230916097</v>
      </c>
      <c r="V14" s="83">
        <v>0.83406953346367196</v>
      </c>
      <c r="W14" s="85">
        <v>6.2</v>
      </c>
      <c r="X14" s="83">
        <v>0.5</v>
      </c>
      <c r="Y14" s="85">
        <v>6.7176117470000003</v>
      </c>
      <c r="Z14" s="83">
        <v>0.93240881499999995</v>
      </c>
      <c r="AA14" s="126">
        <v>6.042816202</v>
      </c>
      <c r="AB14" s="127">
        <v>0.64847460800000001</v>
      </c>
      <c r="AC14" s="126">
        <v>4.8598210789991096</v>
      </c>
      <c r="AD14" s="127">
        <v>0.36569968952014598</v>
      </c>
      <c r="AE14" s="126">
        <v>6.3403217912010499</v>
      </c>
      <c r="AF14" s="127">
        <v>0.52166086271821699</v>
      </c>
      <c r="AG14" s="126">
        <v>5.6493274700000002</v>
      </c>
      <c r="AH14" s="127">
        <v>0.59274308200000003</v>
      </c>
      <c r="AI14" s="126">
        <v>7</v>
      </c>
      <c r="AJ14" s="143">
        <v>0.48</v>
      </c>
      <c r="AK14" s="137">
        <v>5.9169170295016498</v>
      </c>
      <c r="AL14" s="138">
        <v>0.41218697614316102</v>
      </c>
      <c r="AM14" s="137">
        <v>7.6499260453772502</v>
      </c>
      <c r="AN14" s="138">
        <v>1.0153869131469799</v>
      </c>
    </row>
    <row r="15" spans="2:40" x14ac:dyDescent="0.25">
      <c r="B15" s="108" t="s">
        <v>25</v>
      </c>
      <c r="C15" s="85">
        <v>6.9</v>
      </c>
      <c r="D15" s="83">
        <v>0.51</v>
      </c>
      <c r="E15" s="85">
        <v>7.2</v>
      </c>
      <c r="F15" s="83">
        <v>0.54</v>
      </c>
      <c r="G15" s="85">
        <v>6.7</v>
      </c>
      <c r="H15" s="83">
        <v>0.32</v>
      </c>
      <c r="I15" s="85">
        <v>6.4</v>
      </c>
      <c r="J15" s="83">
        <v>0.35</v>
      </c>
      <c r="K15" s="85">
        <v>6.4</v>
      </c>
      <c r="L15" s="83">
        <v>0.31</v>
      </c>
      <c r="M15" s="85">
        <v>6.7941774601337404</v>
      </c>
      <c r="N15" s="83">
        <v>0.32934418965606399</v>
      </c>
      <c r="O15" s="85">
        <v>6.5572635180000001</v>
      </c>
      <c r="P15" s="83">
        <v>0.3623651</v>
      </c>
      <c r="Q15" s="85">
        <v>7.41238052539265</v>
      </c>
      <c r="R15" s="83">
        <v>0.342472629075394</v>
      </c>
      <c r="S15" s="85">
        <v>6.9894447264368802</v>
      </c>
      <c r="T15" s="83">
        <v>0.43240237514528301</v>
      </c>
      <c r="U15" s="85">
        <v>6.6042095169295996</v>
      </c>
      <c r="V15" s="83">
        <v>0.387950355005729</v>
      </c>
      <c r="W15" s="85">
        <v>6.1</v>
      </c>
      <c r="X15" s="83">
        <v>0.18</v>
      </c>
      <c r="Y15" s="85">
        <v>5.5918579529999999</v>
      </c>
      <c r="Z15" s="83">
        <v>9.5063309999999998E-2</v>
      </c>
      <c r="AA15" s="126">
        <v>5.855049599</v>
      </c>
      <c r="AB15" s="127">
        <v>0.22066249900000001</v>
      </c>
      <c r="AC15" s="126">
        <v>4.5473261006636303</v>
      </c>
      <c r="AD15" s="127">
        <v>0.26114229454010501</v>
      </c>
      <c r="AE15" s="126">
        <v>5.1811896076448702</v>
      </c>
      <c r="AF15" s="127">
        <v>0.14509056883816099</v>
      </c>
      <c r="AG15" s="126">
        <v>5.4319652539999996</v>
      </c>
      <c r="AH15" s="127">
        <v>0.16281430999999999</v>
      </c>
      <c r="AI15" s="126">
        <v>5.9</v>
      </c>
      <c r="AJ15" s="143">
        <v>0.17</v>
      </c>
      <c r="AK15" s="137">
        <v>5.9251177974821596</v>
      </c>
      <c r="AL15" s="138">
        <v>0.206208662815418</v>
      </c>
      <c r="AM15" s="137">
        <v>6.9952953154052002</v>
      </c>
      <c r="AN15" s="138">
        <v>0.50346059905193397</v>
      </c>
    </row>
    <row r="16" spans="2:40" x14ac:dyDescent="0.25">
      <c r="B16" s="108" t="s">
        <v>26</v>
      </c>
      <c r="C16" s="85">
        <v>6.7</v>
      </c>
      <c r="D16" s="83">
        <v>0.35</v>
      </c>
      <c r="E16" s="85">
        <v>6.5</v>
      </c>
      <c r="F16" s="83">
        <v>0.43</v>
      </c>
      <c r="G16" s="85">
        <v>6.6</v>
      </c>
      <c r="H16" s="83">
        <v>0.4</v>
      </c>
      <c r="I16" s="85">
        <v>6.4</v>
      </c>
      <c r="J16" s="83">
        <v>0.34</v>
      </c>
      <c r="K16" s="85">
        <v>6.2</v>
      </c>
      <c r="L16" s="83">
        <v>0.37</v>
      </c>
      <c r="M16" s="85">
        <v>7.0817166548880603</v>
      </c>
      <c r="N16" s="83">
        <v>0.36148738202365399</v>
      </c>
      <c r="O16" s="85">
        <v>7.0364986299999996</v>
      </c>
      <c r="P16" s="83">
        <v>0.32971967299999999</v>
      </c>
      <c r="Q16" s="85">
        <v>7.0605223845485696</v>
      </c>
      <c r="R16" s="83">
        <v>0.355211267814736</v>
      </c>
      <c r="S16" s="85">
        <v>7.2238360653762497</v>
      </c>
      <c r="T16" s="83">
        <v>0.24687638524783501</v>
      </c>
      <c r="U16" s="85">
        <v>6.1487406943320497</v>
      </c>
      <c r="V16" s="83">
        <v>0.24873986913958801</v>
      </c>
      <c r="W16" s="85">
        <v>6.4</v>
      </c>
      <c r="X16" s="83">
        <v>0.23</v>
      </c>
      <c r="Y16" s="85">
        <v>5.6932543789999999</v>
      </c>
      <c r="Z16" s="83">
        <v>0.109082945</v>
      </c>
      <c r="AA16" s="126">
        <v>5.6719922289999998</v>
      </c>
      <c r="AB16" s="127">
        <v>0.19681268399999999</v>
      </c>
      <c r="AC16" s="126">
        <v>4.5826292097205297</v>
      </c>
      <c r="AD16" s="127">
        <v>0.23951240437213001</v>
      </c>
      <c r="AE16" s="126">
        <v>5.2880300061114198</v>
      </c>
      <c r="AF16" s="127">
        <v>0.180964083662908</v>
      </c>
      <c r="AG16" s="126">
        <v>5.3286502159999998</v>
      </c>
      <c r="AH16" s="127">
        <v>0.29182519400000001</v>
      </c>
      <c r="AI16" s="126">
        <v>6.3</v>
      </c>
      <c r="AJ16" s="143">
        <v>0.47</v>
      </c>
      <c r="AK16" s="137">
        <v>6.2684581919974702</v>
      </c>
      <c r="AL16" s="138">
        <v>0.414631456323864</v>
      </c>
      <c r="AM16" s="137">
        <v>6.8102152996360603</v>
      </c>
      <c r="AN16" s="138">
        <v>0.41672345907223701</v>
      </c>
    </row>
    <row r="17" spans="2:40" x14ac:dyDescent="0.25">
      <c r="B17" s="107" t="s">
        <v>27</v>
      </c>
      <c r="C17" s="85"/>
      <c r="D17" s="83"/>
      <c r="E17" s="85"/>
      <c r="F17" s="83"/>
      <c r="G17" s="85"/>
      <c r="H17" s="83"/>
      <c r="I17" s="85"/>
      <c r="J17" s="83"/>
      <c r="K17" s="85"/>
      <c r="L17" s="83"/>
      <c r="M17" s="85"/>
      <c r="N17" s="83"/>
      <c r="O17" s="85"/>
      <c r="P17" s="83"/>
      <c r="Q17" s="85"/>
      <c r="R17" s="83"/>
      <c r="S17" s="85"/>
      <c r="T17" s="83"/>
      <c r="U17" s="85"/>
      <c r="V17" s="83"/>
      <c r="W17" s="85"/>
      <c r="X17" s="83"/>
      <c r="Y17" s="85"/>
      <c r="Z17" s="83"/>
      <c r="AA17" s="85"/>
      <c r="AB17" s="83"/>
      <c r="AC17" s="85"/>
      <c r="AD17" s="83"/>
      <c r="AE17" s="85"/>
      <c r="AF17" s="83"/>
      <c r="AG17" s="85"/>
      <c r="AH17" s="83"/>
      <c r="AI17" s="85"/>
      <c r="AJ17" s="142"/>
      <c r="AK17" s="135"/>
      <c r="AL17" s="136"/>
      <c r="AM17" s="135"/>
      <c r="AN17" s="136"/>
    </row>
    <row r="18" spans="2:40" x14ac:dyDescent="0.25">
      <c r="B18" s="108" t="s">
        <v>66</v>
      </c>
      <c r="C18" s="85">
        <v>6.9</v>
      </c>
      <c r="D18" s="83">
        <v>0.31</v>
      </c>
      <c r="E18" s="85">
        <v>6.7</v>
      </c>
      <c r="F18" s="83">
        <v>0.32</v>
      </c>
      <c r="G18" s="85">
        <v>6.4</v>
      </c>
      <c r="H18" s="83">
        <v>0.27</v>
      </c>
      <c r="I18" s="85">
        <v>6.4</v>
      </c>
      <c r="J18" s="83">
        <v>0.24</v>
      </c>
      <c r="K18" s="85">
        <v>6.5</v>
      </c>
      <c r="L18" s="83">
        <v>0.28999999999999998</v>
      </c>
      <c r="M18" s="85">
        <v>6.5997595475140303</v>
      </c>
      <c r="N18" s="83">
        <v>0.253633243772794</v>
      </c>
      <c r="O18" s="85">
        <v>6.9474262060000003</v>
      </c>
      <c r="P18" s="83">
        <v>0.268801603</v>
      </c>
      <c r="Q18" s="85">
        <v>6.4332643340026001</v>
      </c>
      <c r="R18" s="83">
        <v>0.22201342660373999</v>
      </c>
      <c r="S18" s="85">
        <v>6.6723592005984704</v>
      </c>
      <c r="T18" s="83">
        <v>0.21641914157030401</v>
      </c>
      <c r="U18" s="85">
        <v>6.4778876223901403</v>
      </c>
      <c r="V18" s="83">
        <v>0.23519268991742601</v>
      </c>
      <c r="W18" s="85">
        <v>6.3</v>
      </c>
      <c r="X18" s="83">
        <v>0.2</v>
      </c>
      <c r="Y18" s="85">
        <v>5.6678347240000004</v>
      </c>
      <c r="Z18" s="83">
        <v>7.9607883000000004E-2</v>
      </c>
      <c r="AA18" s="85">
        <v>5.6486812129999997</v>
      </c>
      <c r="AB18" s="83">
        <v>0.15332373299999999</v>
      </c>
      <c r="AC18" s="85">
        <v>4.6600775964189101</v>
      </c>
      <c r="AD18" s="83">
        <v>0.18689233457624399</v>
      </c>
      <c r="AE18" s="85">
        <v>5.0087644871670998</v>
      </c>
      <c r="AF18" s="83">
        <v>0.17432802491430999</v>
      </c>
      <c r="AG18" s="85">
        <v>5.2646012720000002</v>
      </c>
      <c r="AH18" s="83">
        <v>0.15643589999999999</v>
      </c>
      <c r="AI18" s="85">
        <v>5.9</v>
      </c>
      <c r="AJ18" s="142">
        <v>0.17</v>
      </c>
      <c r="AK18" s="135">
        <v>6.0867118095062898</v>
      </c>
      <c r="AL18" s="136">
        <v>0.27090136219959998</v>
      </c>
      <c r="AM18" s="135">
        <v>6.3959048968513601</v>
      </c>
      <c r="AN18" s="136">
        <v>0.32793432274377698</v>
      </c>
    </row>
    <row r="19" spans="2:40" x14ac:dyDescent="0.25">
      <c r="B19" s="108" t="s">
        <v>67</v>
      </c>
      <c r="C19" s="85">
        <v>7.2</v>
      </c>
      <c r="D19" s="83">
        <v>0.45</v>
      </c>
      <c r="E19" s="85">
        <v>7.3</v>
      </c>
      <c r="F19" s="83">
        <v>0.4</v>
      </c>
      <c r="G19" s="85">
        <v>6.8</v>
      </c>
      <c r="H19" s="83">
        <v>0.28000000000000003</v>
      </c>
      <c r="I19" s="85">
        <v>7</v>
      </c>
      <c r="J19" s="83">
        <v>0.46</v>
      </c>
      <c r="K19" s="85">
        <v>6.4</v>
      </c>
      <c r="L19" s="83">
        <v>0.32</v>
      </c>
      <c r="M19" s="85">
        <v>6.9669031219856299</v>
      </c>
      <c r="N19" s="83">
        <v>0.32291337995494801</v>
      </c>
      <c r="O19" s="85">
        <v>6.4691789670000004</v>
      </c>
      <c r="P19" s="83">
        <v>0.290973704</v>
      </c>
      <c r="Q19" s="85">
        <v>7.1847492624653304</v>
      </c>
      <c r="R19" s="83">
        <v>0.24628440710524799</v>
      </c>
      <c r="S19" s="85">
        <v>6.9223582927278997</v>
      </c>
      <c r="T19" s="83">
        <v>0.30681750642657102</v>
      </c>
      <c r="U19" s="85">
        <v>6.7772313608410899</v>
      </c>
      <c r="V19" s="83">
        <v>0.29112070412309499</v>
      </c>
      <c r="W19" s="85">
        <v>6.3</v>
      </c>
      <c r="X19" s="83">
        <v>0.28000000000000003</v>
      </c>
      <c r="Y19" s="85">
        <v>5.7217202450000002</v>
      </c>
      <c r="Z19" s="83">
        <v>9.4294046000000006E-2</v>
      </c>
      <c r="AA19" s="85">
        <v>6.0657030619999999</v>
      </c>
      <c r="AB19" s="83">
        <v>0.26302156700000001</v>
      </c>
      <c r="AC19" s="85">
        <v>4.6692830898867799</v>
      </c>
      <c r="AD19" s="83">
        <v>0.16403198359243301</v>
      </c>
      <c r="AE19" s="85">
        <v>4.9810377771823902</v>
      </c>
      <c r="AF19" s="83">
        <v>0.14392190607824701</v>
      </c>
      <c r="AG19" s="85">
        <v>5.6751669170000003</v>
      </c>
      <c r="AH19" s="83">
        <v>0.159482871</v>
      </c>
      <c r="AI19" s="85">
        <v>6.1</v>
      </c>
      <c r="AJ19" s="142">
        <v>0.25</v>
      </c>
      <c r="AK19" s="135">
        <v>6.1114310922578401</v>
      </c>
      <c r="AL19" s="136">
        <v>0.31722773962585499</v>
      </c>
      <c r="AM19" s="135">
        <v>6.9312910015380602</v>
      </c>
      <c r="AN19" s="136">
        <v>0.36130597148632099</v>
      </c>
    </row>
    <row r="20" spans="2:40" x14ac:dyDescent="0.25">
      <c r="B20" s="108" t="s">
        <v>68</v>
      </c>
      <c r="C20" s="85">
        <v>7</v>
      </c>
      <c r="D20" s="83">
        <v>0.44</v>
      </c>
      <c r="E20" s="85">
        <v>6.9</v>
      </c>
      <c r="F20" s="83">
        <v>0.59</v>
      </c>
      <c r="G20" s="85">
        <v>6.7</v>
      </c>
      <c r="H20" s="83">
        <v>0.34</v>
      </c>
      <c r="I20" s="85">
        <v>6.5</v>
      </c>
      <c r="J20" s="83">
        <v>0.33</v>
      </c>
      <c r="K20" s="85">
        <v>6.4</v>
      </c>
      <c r="L20" s="83">
        <v>0.35</v>
      </c>
      <c r="M20" s="85">
        <v>6.8857966134686697</v>
      </c>
      <c r="N20" s="83">
        <v>0.336695976332202</v>
      </c>
      <c r="O20" s="85">
        <v>6.8060774950000003</v>
      </c>
      <c r="P20" s="83">
        <v>0.32897579199999999</v>
      </c>
      <c r="Q20" s="85">
        <v>7.6411228514728302</v>
      </c>
      <c r="R20" s="83">
        <v>0.30657825716124798</v>
      </c>
      <c r="S20" s="85">
        <v>7.0636826259227696</v>
      </c>
      <c r="T20" s="83">
        <v>0.291097122669217</v>
      </c>
      <c r="U20" s="85">
        <v>6.4004394513028302</v>
      </c>
      <c r="V20" s="83">
        <v>0.30471013215091303</v>
      </c>
      <c r="W20" s="85">
        <v>6.2</v>
      </c>
      <c r="X20" s="83">
        <v>0.22</v>
      </c>
      <c r="Y20" s="85">
        <v>5.896792145</v>
      </c>
      <c r="Z20" s="83">
        <v>0.15002691400000001</v>
      </c>
      <c r="AA20" s="85">
        <v>6.0276197590000002</v>
      </c>
      <c r="AB20" s="83">
        <v>0.217885249</v>
      </c>
      <c r="AC20" s="85">
        <v>4.5230180103185997</v>
      </c>
      <c r="AD20" s="83">
        <v>0.18713307349795</v>
      </c>
      <c r="AE20" s="85">
        <v>5.0261017983068097</v>
      </c>
      <c r="AF20" s="83">
        <v>0.136105361095644</v>
      </c>
      <c r="AG20" s="85">
        <v>5.6084145599999999</v>
      </c>
      <c r="AH20" s="83">
        <v>0.116528775</v>
      </c>
      <c r="AI20" s="85">
        <v>6.1</v>
      </c>
      <c r="AJ20" s="142">
        <v>0.21</v>
      </c>
      <c r="AK20" s="135">
        <v>6.2179420714364904</v>
      </c>
      <c r="AL20" s="136">
        <v>0.26859722813108</v>
      </c>
      <c r="AM20" s="135">
        <v>6.66864238849538</v>
      </c>
      <c r="AN20" s="136">
        <v>0.35035467392106501</v>
      </c>
    </row>
    <row r="21" spans="2:40" ht="15.75" thickBot="1" x14ac:dyDescent="0.3">
      <c r="B21" s="109" t="s">
        <v>28</v>
      </c>
      <c r="C21" s="86">
        <v>7</v>
      </c>
      <c r="D21" s="84">
        <v>0.54</v>
      </c>
      <c r="E21" s="86">
        <v>6.6</v>
      </c>
      <c r="F21" s="84">
        <v>0.35</v>
      </c>
      <c r="G21" s="86">
        <v>7.7</v>
      </c>
      <c r="H21" s="84">
        <v>0.59</v>
      </c>
      <c r="I21" s="86">
        <v>6.2</v>
      </c>
      <c r="J21" s="84">
        <v>0.55000000000000004</v>
      </c>
      <c r="K21" s="86">
        <v>7.6</v>
      </c>
      <c r="L21" s="84">
        <v>0.74</v>
      </c>
      <c r="M21" s="86">
        <v>7.0896257337757298</v>
      </c>
      <c r="N21" s="84">
        <v>0.45391399650873199</v>
      </c>
      <c r="O21" s="86">
        <v>6.7970134130000002</v>
      </c>
      <c r="P21" s="84">
        <v>0.41371735300000001</v>
      </c>
      <c r="Q21" s="86">
        <v>8.00928027488197</v>
      </c>
      <c r="R21" s="84">
        <v>0.55715905268019394</v>
      </c>
      <c r="S21" s="86">
        <v>8.7056455770211194</v>
      </c>
      <c r="T21" s="84">
        <v>0.56118806457860904</v>
      </c>
      <c r="U21" s="86">
        <v>7.23445668336264</v>
      </c>
      <c r="V21" s="84">
        <v>0.58796078489468095</v>
      </c>
      <c r="W21" s="86">
        <v>6.1</v>
      </c>
      <c r="X21" s="84">
        <v>0.19</v>
      </c>
      <c r="Y21" s="86">
        <v>6.00363968</v>
      </c>
      <c r="Z21" s="84">
        <v>0.274147319</v>
      </c>
      <c r="AA21" s="86">
        <v>6.0470566139999997</v>
      </c>
      <c r="AB21" s="84">
        <v>0.36588910099999999</v>
      </c>
      <c r="AC21" s="86">
        <v>4.4669518660515202</v>
      </c>
      <c r="AD21" s="84">
        <v>0.30615086794513502</v>
      </c>
      <c r="AE21" s="86">
        <v>5.3220462817771601</v>
      </c>
      <c r="AF21" s="84">
        <v>0.21881385855048899</v>
      </c>
      <c r="AG21" s="86">
        <v>5.7199297790000001</v>
      </c>
      <c r="AH21" s="84">
        <v>0.23689903600000001</v>
      </c>
      <c r="AI21" s="86">
        <v>5.9</v>
      </c>
      <c r="AJ21" s="144">
        <v>0.3</v>
      </c>
      <c r="AK21" s="139">
        <v>6.7034843681076497</v>
      </c>
      <c r="AL21" s="140">
        <v>0.489447140927872</v>
      </c>
      <c r="AM21" s="139">
        <v>7.0809921487477299</v>
      </c>
      <c r="AN21" s="140">
        <v>0.55850264935233995</v>
      </c>
    </row>
    <row r="22" spans="2:40" s="98" customFormat="1" ht="17.25" customHeight="1" x14ac:dyDescent="0.25">
      <c r="B22" s="99" t="s">
        <v>94</v>
      </c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45"/>
      <c r="AL22" s="146"/>
      <c r="AM22" s="145"/>
      <c r="AN22" s="146"/>
    </row>
    <row r="23" spans="2:40" s="102" customFormat="1" ht="18" customHeight="1" thickBot="1" x14ac:dyDescent="0.3">
      <c r="B23" s="103" t="s">
        <v>96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5"/>
      <c r="AM23" s="104"/>
      <c r="AN23" s="105"/>
    </row>
    <row r="25" spans="2:40" x14ac:dyDescent="0.25">
      <c r="AB25" s="129"/>
      <c r="AC25" s="130"/>
    </row>
    <row r="26" spans="2:40" x14ac:dyDescent="0.25">
      <c r="AB26" s="129"/>
      <c r="AC26" s="130"/>
    </row>
    <row r="27" spans="2:40" x14ac:dyDescent="0.25">
      <c r="AB27" s="129"/>
      <c r="AC27" s="130"/>
    </row>
    <row r="28" spans="2:40" x14ac:dyDescent="0.25">
      <c r="AB28" s="129"/>
      <c r="AC28" s="130"/>
    </row>
    <row r="29" spans="2:40" x14ac:dyDescent="0.25">
      <c r="AB29" s="129"/>
      <c r="AC29" s="130"/>
    </row>
    <row r="30" spans="2:40" x14ac:dyDescent="0.25">
      <c r="AB30" s="129"/>
      <c r="AC30" s="130"/>
    </row>
  </sheetData>
  <mergeCells count="19">
    <mergeCell ref="C4:D4"/>
    <mergeCell ref="E4:F4"/>
    <mergeCell ref="G4:H4"/>
    <mergeCell ref="I4:J4"/>
    <mergeCell ref="K4:L4"/>
    <mergeCell ref="AM4:AN4"/>
    <mergeCell ref="AK4:AL4"/>
    <mergeCell ref="AI4:AJ4"/>
    <mergeCell ref="W4:X4"/>
    <mergeCell ref="M4:N4"/>
    <mergeCell ref="O4:P4"/>
    <mergeCell ref="Q4:R4"/>
    <mergeCell ref="S4:T4"/>
    <mergeCell ref="U4:V4"/>
    <mergeCell ref="AG4:AH4"/>
    <mergeCell ref="AE4:AF4"/>
    <mergeCell ref="AC4:AD4"/>
    <mergeCell ref="AA4:AB4"/>
    <mergeCell ref="Y4:Z4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9B96-DED3-4C76-8154-74DC421DF850}">
  <dimension ref="B1:AN30"/>
  <sheetViews>
    <sheetView workbookViewId="0">
      <pane xSplit="2" topLeftCell="AF1" activePane="topRight" state="frozen"/>
      <selection pane="topRight" activeCell="AK11" sqref="AK11"/>
    </sheetView>
  </sheetViews>
  <sheetFormatPr defaultRowHeight="15" x14ac:dyDescent="0.25"/>
  <cols>
    <col min="1" max="1" width="1.7109375" customWidth="1"/>
    <col min="2" max="2" width="23.42578125" customWidth="1"/>
    <col min="21" max="22" width="9.140625" style="125"/>
    <col min="25" max="28" width="9.140625" style="125"/>
  </cols>
  <sheetData>
    <row r="1" spans="2:40" ht="6" customHeight="1" thickBot="1" x14ac:dyDescent="0.3"/>
    <row r="2" spans="2:40" x14ac:dyDescent="0.25">
      <c r="B2" s="81" t="s">
        <v>95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3"/>
      <c r="U2" s="92"/>
      <c r="V2" s="92"/>
      <c r="W2" s="92"/>
      <c r="X2" s="93"/>
      <c r="Y2" s="92"/>
      <c r="Z2" s="93"/>
      <c r="AA2" s="92"/>
      <c r="AB2" s="93"/>
      <c r="AC2" s="92"/>
      <c r="AD2" s="93"/>
      <c r="AE2" s="92"/>
      <c r="AF2" s="93"/>
      <c r="AG2" s="92"/>
      <c r="AH2" s="93"/>
      <c r="AI2" s="92"/>
      <c r="AJ2" s="93"/>
      <c r="AK2" s="92"/>
      <c r="AL2" s="93"/>
      <c r="AM2" s="92"/>
      <c r="AN2" s="93"/>
    </row>
    <row r="3" spans="2:40" ht="15.75" customHeight="1" thickBot="1" x14ac:dyDescent="0.3">
      <c r="B3" s="94"/>
      <c r="C3" s="49"/>
      <c r="D3" s="49"/>
      <c r="E3" s="49"/>
      <c r="F3" s="49"/>
      <c r="G3" s="49"/>
      <c r="H3" s="49"/>
      <c r="I3" s="49"/>
      <c r="J3" s="49"/>
      <c r="K3" s="120"/>
      <c r="L3" s="120"/>
      <c r="M3" s="120"/>
      <c r="N3" s="120"/>
      <c r="O3" s="120"/>
      <c r="P3" s="120"/>
      <c r="Q3" s="120"/>
      <c r="R3" s="120"/>
      <c r="S3" s="120"/>
      <c r="T3" s="121"/>
      <c r="U3" s="120"/>
      <c r="V3" s="120"/>
      <c r="W3" s="120"/>
      <c r="X3" s="121"/>
      <c r="Y3" s="120"/>
      <c r="Z3" s="121"/>
      <c r="AA3" s="120"/>
      <c r="AB3" s="121"/>
      <c r="AC3" s="120"/>
      <c r="AD3" s="121"/>
      <c r="AE3" s="120"/>
      <c r="AF3" s="121"/>
      <c r="AG3" s="120"/>
      <c r="AH3" s="121"/>
      <c r="AI3" s="120"/>
      <c r="AJ3" s="121"/>
      <c r="AK3" s="120"/>
      <c r="AL3" s="121"/>
      <c r="AM3" s="120"/>
      <c r="AN3" s="121"/>
    </row>
    <row r="4" spans="2:40" ht="15.75" customHeight="1" thickBot="1" x14ac:dyDescent="0.3">
      <c r="B4" s="95" t="s">
        <v>90</v>
      </c>
      <c r="C4" s="192">
        <v>45170</v>
      </c>
      <c r="D4" s="193"/>
      <c r="E4" s="192">
        <v>45231</v>
      </c>
      <c r="F4" s="193"/>
      <c r="G4" s="192">
        <v>45292</v>
      </c>
      <c r="H4" s="193"/>
      <c r="I4" s="192">
        <v>45352</v>
      </c>
      <c r="J4" s="193"/>
      <c r="K4" s="190">
        <v>45413</v>
      </c>
      <c r="L4" s="191"/>
      <c r="M4" s="190">
        <v>45474</v>
      </c>
      <c r="N4" s="191"/>
      <c r="O4" s="190">
        <v>45536</v>
      </c>
      <c r="P4" s="191"/>
      <c r="Q4" s="190">
        <v>45597</v>
      </c>
      <c r="R4" s="191"/>
      <c r="S4" s="190">
        <v>45658</v>
      </c>
      <c r="T4" s="191"/>
      <c r="U4" s="190">
        <v>45717</v>
      </c>
      <c r="V4" s="191"/>
      <c r="W4" s="190">
        <v>45778</v>
      </c>
      <c r="X4" s="191"/>
      <c r="Y4" s="190">
        <v>45839</v>
      </c>
      <c r="Z4" s="191"/>
      <c r="AA4" s="190">
        <v>45901</v>
      </c>
      <c r="AB4" s="191"/>
      <c r="AC4" s="190">
        <v>45962</v>
      </c>
      <c r="AD4" s="191"/>
      <c r="AE4" s="190">
        <v>46023</v>
      </c>
      <c r="AF4" s="191"/>
      <c r="AG4" s="190">
        <v>46082</v>
      </c>
      <c r="AH4" s="191"/>
      <c r="AI4" s="190">
        <v>46143</v>
      </c>
      <c r="AJ4" s="191"/>
      <c r="AK4" s="190">
        <v>46204</v>
      </c>
      <c r="AL4" s="191"/>
      <c r="AM4" s="190">
        <v>46266</v>
      </c>
      <c r="AN4" s="191"/>
    </row>
    <row r="5" spans="2:40" ht="15.75" thickBot="1" x14ac:dyDescent="0.3">
      <c r="B5" s="82" t="s">
        <v>91</v>
      </c>
      <c r="C5" s="110" t="s">
        <v>15</v>
      </c>
      <c r="D5" s="96" t="s">
        <v>16</v>
      </c>
      <c r="E5" s="110" t="s">
        <v>15</v>
      </c>
      <c r="F5" s="96" t="s">
        <v>16</v>
      </c>
      <c r="G5" s="110" t="s">
        <v>15</v>
      </c>
      <c r="H5" s="96" t="s">
        <v>16</v>
      </c>
      <c r="I5" s="110" t="s">
        <v>15</v>
      </c>
      <c r="J5" s="96" t="s">
        <v>16</v>
      </c>
      <c r="K5" s="110" t="s">
        <v>15</v>
      </c>
      <c r="L5" s="96" t="s">
        <v>16</v>
      </c>
      <c r="M5" s="110" t="s">
        <v>15</v>
      </c>
      <c r="N5" s="96" t="s">
        <v>16</v>
      </c>
      <c r="O5" s="110" t="s">
        <v>15</v>
      </c>
      <c r="P5" s="96" t="s">
        <v>16</v>
      </c>
      <c r="Q5" s="110" t="s">
        <v>15</v>
      </c>
      <c r="R5" s="96" t="s">
        <v>16</v>
      </c>
      <c r="S5" s="110" t="s">
        <v>15</v>
      </c>
      <c r="T5" s="96" t="s">
        <v>16</v>
      </c>
      <c r="U5" s="110" t="s">
        <v>15</v>
      </c>
      <c r="V5" s="96" t="s">
        <v>16</v>
      </c>
      <c r="W5" s="110" t="s">
        <v>15</v>
      </c>
      <c r="X5" s="96" t="s">
        <v>16</v>
      </c>
      <c r="Y5" s="110" t="s">
        <v>15</v>
      </c>
      <c r="Z5" s="96" t="s">
        <v>16</v>
      </c>
      <c r="AA5" s="110" t="s">
        <v>15</v>
      </c>
      <c r="AB5" s="96" t="s">
        <v>16</v>
      </c>
      <c r="AC5" s="110" t="s">
        <v>15</v>
      </c>
      <c r="AD5" s="96" t="s">
        <v>16</v>
      </c>
      <c r="AE5" s="110" t="s">
        <v>15</v>
      </c>
      <c r="AF5" s="96" t="s">
        <v>16</v>
      </c>
      <c r="AG5" s="110" t="s">
        <v>15</v>
      </c>
      <c r="AH5" s="96" t="s">
        <v>16</v>
      </c>
      <c r="AI5" s="110" t="s">
        <v>15</v>
      </c>
      <c r="AJ5" s="96" t="s">
        <v>16</v>
      </c>
      <c r="AK5" s="110" t="s">
        <v>15</v>
      </c>
      <c r="AL5" s="96" t="s">
        <v>16</v>
      </c>
      <c r="AM5" s="110" t="s">
        <v>15</v>
      </c>
      <c r="AN5" s="96" t="s">
        <v>16</v>
      </c>
    </row>
    <row r="6" spans="2:40" x14ac:dyDescent="0.25">
      <c r="B6" s="106" t="s">
        <v>17</v>
      </c>
      <c r="C6" s="111">
        <v>9</v>
      </c>
      <c r="D6" s="97">
        <v>0.25</v>
      </c>
      <c r="E6" s="111">
        <v>10.1</v>
      </c>
      <c r="F6" s="97">
        <v>0.24</v>
      </c>
      <c r="G6" s="111">
        <v>9.5</v>
      </c>
      <c r="H6" s="97">
        <v>0.37</v>
      </c>
      <c r="I6" s="111">
        <v>9.4</v>
      </c>
      <c r="J6" s="97">
        <v>0.2</v>
      </c>
      <c r="K6" s="111">
        <v>9.6</v>
      </c>
      <c r="L6" s="97">
        <v>0.23</v>
      </c>
      <c r="M6" s="111">
        <v>9.7688325357032202</v>
      </c>
      <c r="N6" s="97">
        <v>0.219743011450829</v>
      </c>
      <c r="O6" s="111">
        <v>9.6437346440000002</v>
      </c>
      <c r="P6" s="97">
        <v>0.24033148300000001</v>
      </c>
      <c r="Q6" s="111">
        <v>9.6658858239549303</v>
      </c>
      <c r="R6" s="97">
        <v>0.229294651161739</v>
      </c>
      <c r="S6" s="111">
        <v>9.5919658167324897</v>
      </c>
      <c r="T6" s="97">
        <v>0.24124310932557499</v>
      </c>
      <c r="U6" s="111">
        <v>9.30546448638035</v>
      </c>
      <c r="V6" s="97">
        <v>0.228207106967589</v>
      </c>
      <c r="W6" s="111">
        <v>8.9</v>
      </c>
      <c r="X6" s="97">
        <v>0.19</v>
      </c>
      <c r="Y6" s="111">
        <v>7.880367755</v>
      </c>
      <c r="Z6" s="97">
        <v>0.25384263400000001</v>
      </c>
      <c r="AA6" s="111">
        <v>7.6305964370000003</v>
      </c>
      <c r="AB6" s="97">
        <v>0.234843247</v>
      </c>
      <c r="AC6" s="111">
        <v>6.1193015426504802</v>
      </c>
      <c r="AD6" s="97">
        <v>0.218990998120734</v>
      </c>
      <c r="AE6" s="111">
        <v>6.1635436775794101</v>
      </c>
      <c r="AF6" s="97">
        <v>0.216877815716602</v>
      </c>
      <c r="AG6" s="111">
        <v>6.7576193260000004</v>
      </c>
      <c r="AH6" s="97">
        <v>0.233482148</v>
      </c>
      <c r="AI6" s="111">
        <v>7.2</v>
      </c>
      <c r="AJ6" s="97">
        <v>0.19</v>
      </c>
      <c r="AK6" s="133">
        <v>7.4139230006815202</v>
      </c>
      <c r="AL6" s="134">
        <v>0.22453496778935</v>
      </c>
      <c r="AM6" s="133">
        <v>7.9269073007891198</v>
      </c>
      <c r="AN6" s="134">
        <v>0.19879086463786499</v>
      </c>
    </row>
    <row r="7" spans="2:40" x14ac:dyDescent="0.25">
      <c r="B7" s="107" t="s">
        <v>18</v>
      </c>
      <c r="C7" s="85"/>
      <c r="D7" s="83"/>
      <c r="E7" s="85"/>
      <c r="F7" s="83"/>
      <c r="G7" s="85"/>
      <c r="H7" s="83"/>
      <c r="I7" s="85"/>
      <c r="J7" s="83"/>
      <c r="K7" s="85"/>
      <c r="L7" s="83"/>
      <c r="M7" s="85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5"/>
      <c r="Z7" s="83"/>
      <c r="AA7" s="85"/>
      <c r="AB7" s="83"/>
      <c r="AC7" s="85"/>
      <c r="AD7" s="83"/>
      <c r="AE7" s="85"/>
      <c r="AF7" s="83"/>
      <c r="AG7" s="85"/>
      <c r="AH7" s="83"/>
      <c r="AI7" s="85"/>
      <c r="AJ7" s="83"/>
      <c r="AK7" s="135"/>
      <c r="AL7" s="136"/>
      <c r="AM7" s="135"/>
      <c r="AN7" s="136"/>
    </row>
    <row r="8" spans="2:40" x14ac:dyDescent="0.25">
      <c r="B8" s="108" t="s">
        <v>19</v>
      </c>
      <c r="C8" s="85">
        <v>9</v>
      </c>
      <c r="D8" s="83">
        <v>0.31</v>
      </c>
      <c r="E8" s="85">
        <v>10.1</v>
      </c>
      <c r="F8" s="83">
        <v>0.22</v>
      </c>
      <c r="G8" s="85">
        <v>9.8000000000000007</v>
      </c>
      <c r="H8" s="83">
        <v>0.35</v>
      </c>
      <c r="I8" s="85">
        <v>9.6</v>
      </c>
      <c r="J8" s="83">
        <v>0.26</v>
      </c>
      <c r="K8" s="85">
        <v>9.6</v>
      </c>
      <c r="L8" s="83">
        <v>0.28999999999999998</v>
      </c>
      <c r="M8" s="85">
        <v>9.8270041352543807</v>
      </c>
      <c r="N8" s="83">
        <v>0.24498781254297</v>
      </c>
      <c r="O8" s="85">
        <v>9.51741101</v>
      </c>
      <c r="P8" s="83">
        <v>0.25866362599999998</v>
      </c>
      <c r="Q8" s="85">
        <v>9.9802748059097901</v>
      </c>
      <c r="R8" s="83">
        <v>0.224016161053299</v>
      </c>
      <c r="S8" s="85">
        <v>9.7209640079459998</v>
      </c>
      <c r="T8" s="83">
        <v>0.29976629293477602</v>
      </c>
      <c r="U8" s="85">
        <v>9.3107128820552703</v>
      </c>
      <c r="V8" s="83">
        <v>0.285409530291584</v>
      </c>
      <c r="W8" s="85">
        <v>8.9</v>
      </c>
      <c r="X8" s="83">
        <v>0.24</v>
      </c>
      <c r="Y8" s="85">
        <v>8.0308023070000001</v>
      </c>
      <c r="Z8" s="83">
        <v>0.36588673300000002</v>
      </c>
      <c r="AA8" s="85">
        <v>7.6995370080000001</v>
      </c>
      <c r="AB8" s="83">
        <v>0.26456093400000003</v>
      </c>
      <c r="AC8" s="85">
        <v>5.9868702809536698</v>
      </c>
      <c r="AD8" s="83">
        <v>0.26152066488868603</v>
      </c>
      <c r="AE8" s="85">
        <v>6.4731363704322096</v>
      </c>
      <c r="AF8" s="83">
        <v>0.25272203550258399</v>
      </c>
      <c r="AG8" s="85">
        <v>6.8443488160000001</v>
      </c>
      <c r="AH8" s="83">
        <v>0.278666833</v>
      </c>
      <c r="AI8" s="85">
        <v>7.5</v>
      </c>
      <c r="AJ8" s="83">
        <v>0.24</v>
      </c>
      <c r="AK8" s="137">
        <v>7.6576977046938604</v>
      </c>
      <c r="AL8" s="138">
        <v>0.259882926613276</v>
      </c>
      <c r="AM8" s="137">
        <v>8.5808908301451901</v>
      </c>
      <c r="AN8" s="138">
        <v>0.36726838354588898</v>
      </c>
    </row>
    <row r="9" spans="2:40" x14ac:dyDescent="0.25">
      <c r="B9" s="108" t="s">
        <v>20</v>
      </c>
      <c r="C9" s="85">
        <v>8.9</v>
      </c>
      <c r="D9" s="83">
        <v>0.31</v>
      </c>
      <c r="E9" s="85">
        <v>9.8000000000000007</v>
      </c>
      <c r="F9" s="83">
        <v>0.48</v>
      </c>
      <c r="G9" s="85">
        <v>8.9</v>
      </c>
      <c r="H9" s="83">
        <v>0.34</v>
      </c>
      <c r="I9" s="85">
        <v>9.4</v>
      </c>
      <c r="J9" s="83">
        <v>0.3</v>
      </c>
      <c r="K9" s="85">
        <v>9.8000000000000007</v>
      </c>
      <c r="L9" s="83">
        <v>0.25</v>
      </c>
      <c r="M9" s="85">
        <v>9.9021043111669904</v>
      </c>
      <c r="N9" s="83">
        <v>0.213121924163479</v>
      </c>
      <c r="O9" s="85">
        <v>9.6853923559999995</v>
      </c>
      <c r="P9" s="83">
        <v>0.28300663300000001</v>
      </c>
      <c r="Q9" s="85">
        <v>9.4725152174630995</v>
      </c>
      <c r="R9" s="83">
        <v>0.324380110599786</v>
      </c>
      <c r="S9" s="85">
        <v>9.5898099634621392</v>
      </c>
      <c r="T9" s="83">
        <v>0.29047527802430601</v>
      </c>
      <c r="U9" s="85">
        <v>9.2208768904532601</v>
      </c>
      <c r="V9" s="83">
        <v>0.27794669072727002</v>
      </c>
      <c r="W9" s="85">
        <v>9.1</v>
      </c>
      <c r="X9" s="83">
        <v>0.3</v>
      </c>
      <c r="Y9" s="85">
        <v>7.5876727219999998</v>
      </c>
      <c r="Z9" s="83">
        <v>0.26284435699999997</v>
      </c>
      <c r="AA9" s="85">
        <v>7.7035737270000002</v>
      </c>
      <c r="AB9" s="83">
        <v>0.37182079499999998</v>
      </c>
      <c r="AC9" s="85">
        <v>6.2264972764755804</v>
      </c>
      <c r="AD9" s="83">
        <v>0.26595388490911298</v>
      </c>
      <c r="AE9" s="85">
        <v>6.0564202631211401</v>
      </c>
      <c r="AF9" s="83">
        <v>0.29034120683314402</v>
      </c>
      <c r="AG9" s="85">
        <v>6.6244648919999998</v>
      </c>
      <c r="AH9" s="83">
        <v>0.30466170399999998</v>
      </c>
      <c r="AI9" s="85">
        <v>6.6</v>
      </c>
      <c r="AJ9" s="83">
        <v>0.33</v>
      </c>
      <c r="AK9" s="137">
        <v>6.8978580143189197</v>
      </c>
      <c r="AL9" s="138">
        <v>0.332221162119192</v>
      </c>
      <c r="AM9" s="137">
        <v>7.2324322525013196</v>
      </c>
      <c r="AN9" s="138">
        <v>0.233272159882045</v>
      </c>
    </row>
    <row r="10" spans="2:40" x14ac:dyDescent="0.25">
      <c r="B10" s="107" t="s">
        <v>21</v>
      </c>
      <c r="C10" s="85"/>
      <c r="D10" s="83"/>
      <c r="E10" s="85"/>
      <c r="F10" s="83"/>
      <c r="G10" s="85"/>
      <c r="H10" s="83"/>
      <c r="I10" s="85"/>
      <c r="J10" s="83"/>
      <c r="K10" s="85"/>
      <c r="L10" s="83"/>
      <c r="M10" s="85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5"/>
      <c r="Z10" s="83"/>
      <c r="AA10" s="85"/>
      <c r="AB10" s="83"/>
      <c r="AC10" s="85"/>
      <c r="AD10" s="83"/>
      <c r="AE10" s="85"/>
      <c r="AF10" s="83"/>
      <c r="AG10" s="85"/>
      <c r="AH10" s="83"/>
      <c r="AI10" s="85"/>
      <c r="AJ10" s="83"/>
      <c r="AK10" s="135"/>
      <c r="AL10" s="136"/>
      <c r="AM10" s="135"/>
      <c r="AN10" s="136"/>
    </row>
    <row r="11" spans="2:40" x14ac:dyDescent="0.25">
      <c r="B11" s="108" t="s">
        <v>47</v>
      </c>
      <c r="C11" s="85">
        <v>9</v>
      </c>
      <c r="D11" s="83">
        <v>0.34</v>
      </c>
      <c r="E11" s="85">
        <v>9.4</v>
      </c>
      <c r="F11" s="83">
        <v>0.44</v>
      </c>
      <c r="G11" s="85">
        <v>9.3000000000000007</v>
      </c>
      <c r="H11" s="83">
        <v>0.6</v>
      </c>
      <c r="I11" s="85">
        <v>9.9</v>
      </c>
      <c r="J11" s="83">
        <v>0.25</v>
      </c>
      <c r="K11" s="85">
        <v>9.8000000000000007</v>
      </c>
      <c r="L11" s="83">
        <v>0.45</v>
      </c>
      <c r="M11" s="85">
        <v>9.6011847219116895</v>
      </c>
      <c r="N11" s="83">
        <v>0.41113691034683703</v>
      </c>
      <c r="O11" s="85">
        <v>9.779589391</v>
      </c>
      <c r="P11" s="83">
        <v>0.34661293399999998</v>
      </c>
      <c r="Q11" s="85">
        <v>9.3120876837976407</v>
      </c>
      <c r="R11" s="83">
        <v>0.32876224754476402</v>
      </c>
      <c r="S11" s="85">
        <v>9.9643899636275304</v>
      </c>
      <c r="T11" s="83">
        <v>0.30217921203735698</v>
      </c>
      <c r="U11" s="85">
        <v>9.1245248065927704</v>
      </c>
      <c r="V11" s="83">
        <v>0.31898042143417898</v>
      </c>
      <c r="W11" s="85">
        <v>9.4820372340727701</v>
      </c>
      <c r="X11" s="83">
        <v>0.31980179917041701</v>
      </c>
      <c r="Y11" s="85">
        <v>7.5545573499999996</v>
      </c>
      <c r="Z11" s="83">
        <v>0.35257701299999999</v>
      </c>
      <c r="AA11" s="126">
        <v>8.750975639</v>
      </c>
      <c r="AB11" s="127">
        <v>0.403285483</v>
      </c>
      <c r="AC11" s="126">
        <v>6.2888244807243003</v>
      </c>
      <c r="AD11" s="127">
        <v>0.41769008882324699</v>
      </c>
      <c r="AE11" s="126">
        <v>6.6413069648543503</v>
      </c>
      <c r="AF11" s="127">
        <v>0.36995961272204603</v>
      </c>
      <c r="AG11" s="126">
        <v>6.6757778569999999</v>
      </c>
      <c r="AH11" s="127">
        <v>0.39999570400000001</v>
      </c>
      <c r="AI11" s="126">
        <v>7.2</v>
      </c>
      <c r="AJ11" s="127">
        <v>0.28999999999999998</v>
      </c>
      <c r="AK11" s="137">
        <v>7.6757128286003802</v>
      </c>
      <c r="AL11" s="138">
        <v>0.415595489921191</v>
      </c>
      <c r="AM11" s="137">
        <v>8.6123472065722098</v>
      </c>
      <c r="AN11" s="138">
        <v>0.44247361841660598</v>
      </c>
    </row>
    <row r="12" spans="2:40" x14ac:dyDescent="0.25">
      <c r="B12" s="108" t="s">
        <v>22</v>
      </c>
      <c r="C12" s="85">
        <v>8.6</v>
      </c>
      <c r="D12" s="83">
        <v>0.34</v>
      </c>
      <c r="E12" s="85">
        <v>10.1</v>
      </c>
      <c r="F12" s="83">
        <v>0.25</v>
      </c>
      <c r="G12" s="85">
        <v>9.9</v>
      </c>
      <c r="H12" s="83">
        <v>0.38</v>
      </c>
      <c r="I12" s="85">
        <v>9.5</v>
      </c>
      <c r="J12" s="83">
        <v>0.32</v>
      </c>
      <c r="K12" s="85">
        <v>9.5</v>
      </c>
      <c r="L12" s="83">
        <v>0.41</v>
      </c>
      <c r="M12" s="85">
        <v>9.8001785119970108</v>
      </c>
      <c r="N12" s="83">
        <v>0.28625801177510302</v>
      </c>
      <c r="O12" s="85">
        <v>9.2713677170000004</v>
      </c>
      <c r="P12" s="83">
        <v>0.29700180300000001</v>
      </c>
      <c r="Q12" s="85">
        <v>9.7127580193641698</v>
      </c>
      <c r="R12" s="83">
        <v>0.40953015082750199</v>
      </c>
      <c r="S12" s="85">
        <v>9.3067862807453796</v>
      </c>
      <c r="T12" s="83">
        <v>0.32389991366142901</v>
      </c>
      <c r="U12" s="85">
        <v>9.0270668811428791</v>
      </c>
      <c r="V12" s="83">
        <v>0.34280661701317899</v>
      </c>
      <c r="W12" s="85">
        <v>8.5561466162448294</v>
      </c>
      <c r="X12" s="83">
        <v>0.37836076833927101</v>
      </c>
      <c r="Y12" s="85">
        <v>7.8946695619999998</v>
      </c>
      <c r="Z12" s="83">
        <v>0.42083014299999999</v>
      </c>
      <c r="AA12" s="126">
        <v>7.6329269479999997</v>
      </c>
      <c r="AB12" s="127">
        <v>0.41928837800000002</v>
      </c>
      <c r="AC12" s="126">
        <v>5.9375123700902499</v>
      </c>
      <c r="AD12" s="127">
        <v>0.34374731516298501</v>
      </c>
      <c r="AE12" s="126">
        <v>5.9938811103048302</v>
      </c>
      <c r="AF12" s="127">
        <v>0.29146331125927699</v>
      </c>
      <c r="AG12" s="126">
        <v>6.9684272829999996</v>
      </c>
      <c r="AH12" s="127">
        <v>0.470975747</v>
      </c>
      <c r="AI12" s="126">
        <v>7.2</v>
      </c>
      <c r="AJ12" s="127">
        <v>0.32</v>
      </c>
      <c r="AK12" s="137">
        <v>8.0735097570670398</v>
      </c>
      <c r="AL12" s="138">
        <v>0.331003933740809</v>
      </c>
      <c r="AM12" s="137">
        <v>7.9226925014023504</v>
      </c>
      <c r="AN12" s="138">
        <v>0.35564441006278402</v>
      </c>
    </row>
    <row r="13" spans="2:40" x14ac:dyDescent="0.25">
      <c r="B13" s="108" t="s">
        <v>23</v>
      </c>
      <c r="C13" s="85">
        <v>9.3000000000000007</v>
      </c>
      <c r="D13" s="83">
        <v>0.47</v>
      </c>
      <c r="E13" s="85">
        <v>9.6</v>
      </c>
      <c r="F13" s="83">
        <v>0.53</v>
      </c>
      <c r="G13" s="85">
        <v>8.8000000000000007</v>
      </c>
      <c r="H13" s="83">
        <v>0.34</v>
      </c>
      <c r="I13" s="85">
        <v>9.6999999999999993</v>
      </c>
      <c r="J13" s="83">
        <v>0.32</v>
      </c>
      <c r="K13" s="85">
        <v>9.8000000000000007</v>
      </c>
      <c r="L13" s="83">
        <v>0.3</v>
      </c>
      <c r="M13" s="85">
        <v>9.8549282115584091</v>
      </c>
      <c r="N13" s="83">
        <v>0.251198023452954</v>
      </c>
      <c r="O13" s="85">
        <v>9.3544912650000001</v>
      </c>
      <c r="P13" s="83">
        <v>0.34368296999999998</v>
      </c>
      <c r="Q13" s="85">
        <v>9.4621926451750298</v>
      </c>
      <c r="R13" s="83">
        <v>0.31086491756898998</v>
      </c>
      <c r="S13" s="85">
        <v>9.5802751985360892</v>
      </c>
      <c r="T13" s="83">
        <v>0.30823418143443099</v>
      </c>
      <c r="U13" s="85">
        <v>9.4589423431402793</v>
      </c>
      <c r="V13" s="83">
        <v>0.31140601202436102</v>
      </c>
      <c r="W13" s="85">
        <v>8.9926458656888908</v>
      </c>
      <c r="X13" s="83">
        <v>0.30489888331366599</v>
      </c>
      <c r="Y13" s="85">
        <v>7.8779275560000004</v>
      </c>
      <c r="Z13" s="83">
        <v>0.29816229100000002</v>
      </c>
      <c r="AA13" s="126">
        <v>7.7175576169999998</v>
      </c>
      <c r="AB13" s="127">
        <v>0.378523006</v>
      </c>
      <c r="AC13" s="126">
        <v>6.0806805645194002</v>
      </c>
      <c r="AD13" s="127">
        <v>0.27376935335365499</v>
      </c>
      <c r="AE13" s="126">
        <v>6.0224439689166003</v>
      </c>
      <c r="AF13" s="127">
        <v>0.32238180372043801</v>
      </c>
      <c r="AG13" s="126">
        <v>6.8602633580000001</v>
      </c>
      <c r="AH13" s="127">
        <v>0.32965692600000002</v>
      </c>
      <c r="AI13" s="126">
        <v>6.5</v>
      </c>
      <c r="AJ13" s="127">
        <v>0.34</v>
      </c>
      <c r="AK13" s="137">
        <v>6.6535723736254102</v>
      </c>
      <c r="AL13" s="138">
        <v>0.40836395220417598</v>
      </c>
      <c r="AM13" s="137">
        <v>7.1923065734585698</v>
      </c>
      <c r="AN13" s="138">
        <v>0.29479935587922201</v>
      </c>
    </row>
    <row r="14" spans="2:40" x14ac:dyDescent="0.25">
      <c r="B14" s="108" t="s">
        <v>24</v>
      </c>
      <c r="C14" s="85">
        <v>8.1999999999999993</v>
      </c>
      <c r="D14" s="83">
        <v>0.25</v>
      </c>
      <c r="E14" s="85">
        <v>10.1</v>
      </c>
      <c r="F14" s="83">
        <v>0.33</v>
      </c>
      <c r="G14" s="85">
        <v>10.199999999999999</v>
      </c>
      <c r="H14" s="83">
        <v>0.54</v>
      </c>
      <c r="I14" s="85">
        <v>9.6</v>
      </c>
      <c r="J14" s="83">
        <v>0.49</v>
      </c>
      <c r="K14" s="85">
        <v>9.1</v>
      </c>
      <c r="L14" s="83">
        <v>1.01</v>
      </c>
      <c r="M14" s="85">
        <v>9.4404225395724009</v>
      </c>
      <c r="N14" s="83">
        <v>0.64131811602003097</v>
      </c>
      <c r="O14" s="85">
        <v>9.9706505849999996</v>
      </c>
      <c r="P14" s="83">
        <v>0.63396340100000004</v>
      </c>
      <c r="Q14" s="85">
        <v>10.493207022218</v>
      </c>
      <c r="R14" s="83">
        <v>1.3949035104515</v>
      </c>
      <c r="S14" s="85">
        <v>9.94089445031506</v>
      </c>
      <c r="T14" s="83">
        <v>0.65908995641023704</v>
      </c>
      <c r="U14" s="85">
        <v>9.4622951539477302</v>
      </c>
      <c r="V14" s="83">
        <v>0.78961719391103002</v>
      </c>
      <c r="W14" s="85">
        <v>8.7668405082996195</v>
      </c>
      <c r="X14" s="83">
        <v>0.58561405663891797</v>
      </c>
      <c r="Y14" s="85">
        <v>8.8745844419999997</v>
      </c>
      <c r="Z14" s="83">
        <v>1.0183805450000001</v>
      </c>
      <c r="AA14" s="126">
        <v>8.0236257440000003</v>
      </c>
      <c r="AB14" s="127">
        <v>0.77288119399999999</v>
      </c>
      <c r="AC14" s="126">
        <v>7.0556656534014799</v>
      </c>
      <c r="AD14" s="127">
        <v>1.08749367037967</v>
      </c>
      <c r="AE14" s="126">
        <v>7.7051800708464899</v>
      </c>
      <c r="AF14" s="127">
        <v>1.09363974755803</v>
      </c>
      <c r="AG14" s="126">
        <v>6.3913995950000002</v>
      </c>
      <c r="AH14" s="127">
        <v>0.80944813000000004</v>
      </c>
      <c r="AI14" s="126">
        <v>8.6</v>
      </c>
      <c r="AJ14" s="127">
        <v>0.82</v>
      </c>
      <c r="AK14" s="137">
        <v>6.2922165946514896</v>
      </c>
      <c r="AL14" s="138">
        <v>0.68247850244031705</v>
      </c>
      <c r="AM14" s="137">
        <v>8.1397705302799004</v>
      </c>
      <c r="AN14" s="138">
        <v>1.0092467462971699</v>
      </c>
    </row>
    <row r="15" spans="2:40" x14ac:dyDescent="0.25">
      <c r="B15" s="108" t="s">
        <v>25</v>
      </c>
      <c r="C15" s="85">
        <v>9.3000000000000007</v>
      </c>
      <c r="D15" s="83">
        <v>0.54</v>
      </c>
      <c r="E15" s="85">
        <v>10.5</v>
      </c>
      <c r="F15" s="83">
        <v>0.35</v>
      </c>
      <c r="G15" s="85">
        <v>9.3000000000000007</v>
      </c>
      <c r="H15" s="83">
        <v>0.54</v>
      </c>
      <c r="I15" s="85">
        <v>9.8000000000000007</v>
      </c>
      <c r="J15" s="83">
        <v>0.27</v>
      </c>
      <c r="K15" s="85">
        <v>9.5</v>
      </c>
      <c r="L15" s="83">
        <v>0.39</v>
      </c>
      <c r="M15" s="85">
        <v>9.7077615303099307</v>
      </c>
      <c r="N15" s="83">
        <v>0.35924822167251802</v>
      </c>
      <c r="O15" s="85">
        <v>9.4927428819999999</v>
      </c>
      <c r="P15" s="83">
        <v>0.46899989800000003</v>
      </c>
      <c r="Q15" s="85">
        <v>9.9306654675955404</v>
      </c>
      <c r="R15" s="83">
        <v>0.36629537494983699</v>
      </c>
      <c r="S15" s="85">
        <v>9.3713838259200308</v>
      </c>
      <c r="T15" s="83">
        <v>0.44888364832518501</v>
      </c>
      <c r="U15" s="85">
        <v>9.2996678893187994</v>
      </c>
      <c r="V15" s="83">
        <v>0.36104983025478099</v>
      </c>
      <c r="W15" s="85">
        <v>8.4824475869251792</v>
      </c>
      <c r="X15" s="83">
        <v>0.34053684917068699</v>
      </c>
      <c r="Y15" s="85">
        <v>7.1027441380000003</v>
      </c>
      <c r="Z15" s="83">
        <v>0.357244795</v>
      </c>
      <c r="AA15" s="126">
        <v>7.3705480019999996</v>
      </c>
      <c r="AB15" s="127">
        <v>0.40290125100000002</v>
      </c>
      <c r="AC15" s="126">
        <v>5.9990245424488604</v>
      </c>
      <c r="AD15" s="127">
        <v>0.38829202763306198</v>
      </c>
      <c r="AE15" s="126">
        <v>6.6034603772300304</v>
      </c>
      <c r="AF15" s="127">
        <v>0.39899681500005002</v>
      </c>
      <c r="AG15" s="126">
        <v>6.6998452329999996</v>
      </c>
      <c r="AH15" s="127">
        <v>0.348686985</v>
      </c>
      <c r="AI15" s="126">
        <v>7</v>
      </c>
      <c r="AJ15" s="127">
        <v>0.33</v>
      </c>
      <c r="AK15" s="137">
        <v>7.0591249301468704</v>
      </c>
      <c r="AL15" s="138">
        <v>0.326699218505273</v>
      </c>
      <c r="AM15" s="137">
        <v>8.4148696974839794</v>
      </c>
      <c r="AN15" s="138">
        <v>0.54601916207602597</v>
      </c>
    </row>
    <row r="16" spans="2:40" x14ac:dyDescent="0.25">
      <c r="B16" s="108" t="s">
        <v>26</v>
      </c>
      <c r="C16" s="85">
        <v>8.8000000000000007</v>
      </c>
      <c r="D16" s="83">
        <v>0.32</v>
      </c>
      <c r="E16" s="85">
        <v>9.8000000000000007</v>
      </c>
      <c r="F16" s="83">
        <v>0.49</v>
      </c>
      <c r="G16" s="85">
        <v>9.5</v>
      </c>
      <c r="H16" s="83">
        <v>0.48</v>
      </c>
      <c r="I16" s="85">
        <v>9</v>
      </c>
      <c r="J16" s="83">
        <v>0.42</v>
      </c>
      <c r="K16" s="85">
        <v>9.9</v>
      </c>
      <c r="L16" s="83">
        <v>0.31</v>
      </c>
      <c r="M16" s="85">
        <v>9.9633767451635595</v>
      </c>
      <c r="N16" s="83">
        <v>0.28213207528839601</v>
      </c>
      <c r="O16" s="85">
        <v>9.6630295260000008</v>
      </c>
      <c r="P16" s="83">
        <v>0.379960346</v>
      </c>
      <c r="Q16" s="85">
        <v>9.41353688785202</v>
      </c>
      <c r="R16" s="83">
        <v>0.46720845754727303</v>
      </c>
      <c r="S16" s="85">
        <v>9.1429042047553803</v>
      </c>
      <c r="T16" s="83">
        <v>0.33172556155841099</v>
      </c>
      <c r="U16" s="85">
        <v>8.82862130163495</v>
      </c>
      <c r="V16" s="83">
        <v>0.29325231689667602</v>
      </c>
      <c r="W16" s="85">
        <v>8.7312279628742502</v>
      </c>
      <c r="X16" s="83">
        <v>0.40975265459486898</v>
      </c>
      <c r="Y16" s="85">
        <v>7.8465748949999998</v>
      </c>
      <c r="Z16" s="83">
        <v>0.42053949000000002</v>
      </c>
      <c r="AA16" s="126">
        <v>8.0281734569999994</v>
      </c>
      <c r="AB16" s="127">
        <v>0.471108468</v>
      </c>
      <c r="AC16" s="126">
        <v>6.6658145983551798</v>
      </c>
      <c r="AD16" s="127">
        <v>0.40299971825470399</v>
      </c>
      <c r="AE16" s="126">
        <v>7.42705532099877</v>
      </c>
      <c r="AF16" s="127">
        <v>0.56654770131750998</v>
      </c>
      <c r="AG16" s="126">
        <v>6.9650938409999998</v>
      </c>
      <c r="AH16" s="127">
        <v>0.528281416</v>
      </c>
      <c r="AI16" s="126">
        <v>7.9</v>
      </c>
      <c r="AJ16" s="127">
        <v>0.48</v>
      </c>
      <c r="AK16" s="137">
        <v>7.7793757564366004</v>
      </c>
      <c r="AL16" s="138">
        <v>0.51150396010239296</v>
      </c>
      <c r="AM16" s="137">
        <v>8.2090674839447608</v>
      </c>
      <c r="AN16" s="138">
        <v>0.43861314160251202</v>
      </c>
    </row>
    <row r="17" spans="2:40" x14ac:dyDescent="0.25">
      <c r="B17" s="107" t="s">
        <v>27</v>
      </c>
      <c r="C17" s="85"/>
      <c r="D17" s="83"/>
      <c r="E17" s="85"/>
      <c r="F17" s="83"/>
      <c r="G17" s="85"/>
      <c r="H17" s="83"/>
      <c r="I17" s="85"/>
      <c r="J17" s="83"/>
      <c r="K17" s="85"/>
      <c r="L17" s="83"/>
      <c r="M17" s="85"/>
      <c r="N17" s="83"/>
      <c r="O17" s="85"/>
      <c r="P17" s="83"/>
      <c r="Q17" s="85"/>
      <c r="R17" s="83"/>
      <c r="S17" s="85"/>
      <c r="T17" s="83"/>
      <c r="U17" s="85"/>
      <c r="V17" s="83"/>
      <c r="W17" s="85"/>
      <c r="X17" s="83"/>
      <c r="Y17" s="85"/>
      <c r="Z17" s="83"/>
      <c r="AA17" s="85"/>
      <c r="AB17" s="83"/>
      <c r="AC17" s="85"/>
      <c r="AD17" s="83"/>
      <c r="AE17" s="85"/>
      <c r="AF17" s="83"/>
      <c r="AG17" s="85"/>
      <c r="AH17" s="83"/>
      <c r="AI17" s="85"/>
      <c r="AJ17" s="83"/>
      <c r="AK17" s="135"/>
      <c r="AL17" s="136"/>
      <c r="AM17" s="135"/>
      <c r="AN17" s="136"/>
    </row>
    <row r="18" spans="2:40" x14ac:dyDescent="0.25">
      <c r="B18" s="108" t="s">
        <v>66</v>
      </c>
      <c r="C18" s="85">
        <v>8.9</v>
      </c>
      <c r="D18" s="83">
        <v>0.26</v>
      </c>
      <c r="E18" s="85">
        <v>9.6999999999999993</v>
      </c>
      <c r="F18" s="83">
        <v>0.39</v>
      </c>
      <c r="G18" s="85">
        <v>9.1999999999999993</v>
      </c>
      <c r="H18" s="83">
        <v>0.41</v>
      </c>
      <c r="I18" s="85">
        <v>9.3000000000000007</v>
      </c>
      <c r="J18" s="83">
        <v>0.24</v>
      </c>
      <c r="K18" s="85">
        <v>9.6</v>
      </c>
      <c r="L18" s="83">
        <v>0.28999999999999998</v>
      </c>
      <c r="M18" s="85">
        <v>9.5970721127442307</v>
      </c>
      <c r="N18" s="83">
        <v>0.28571975751865802</v>
      </c>
      <c r="O18" s="85">
        <v>9.6393701109999999</v>
      </c>
      <c r="P18" s="83">
        <v>0.25112431499999999</v>
      </c>
      <c r="Q18" s="85">
        <v>9.1378656832964804</v>
      </c>
      <c r="R18" s="83">
        <v>0.29777760542207998</v>
      </c>
      <c r="S18" s="85">
        <v>9.3518570674797399</v>
      </c>
      <c r="T18" s="83">
        <v>0.28135457507475398</v>
      </c>
      <c r="U18" s="85">
        <v>9.2379158116748492</v>
      </c>
      <c r="V18" s="83">
        <v>0.30775813851851802</v>
      </c>
      <c r="W18" s="85">
        <v>8.8000000000000007</v>
      </c>
      <c r="X18" s="83">
        <v>0.22</v>
      </c>
      <c r="Y18" s="85">
        <v>7.5732050989999999</v>
      </c>
      <c r="Z18" s="83">
        <v>0.336292164</v>
      </c>
      <c r="AA18" s="85">
        <v>7.6580555080000003</v>
      </c>
      <c r="AB18" s="83">
        <v>0.38856671399999998</v>
      </c>
      <c r="AC18" s="85">
        <v>6.3042128730788303</v>
      </c>
      <c r="AD18" s="83">
        <v>0.32180003405632701</v>
      </c>
      <c r="AE18" s="85">
        <v>6.8111736847790603</v>
      </c>
      <c r="AF18" s="83">
        <v>0.40376863570774801</v>
      </c>
      <c r="AG18" s="85">
        <v>6.5161032040000002</v>
      </c>
      <c r="AH18" s="83">
        <v>0.301635498</v>
      </c>
      <c r="AI18" s="85">
        <v>7.2</v>
      </c>
      <c r="AJ18" s="83">
        <v>0.33</v>
      </c>
      <c r="AK18" s="135">
        <v>7.7060680365225496</v>
      </c>
      <c r="AL18" s="136">
        <v>0.418598887824154</v>
      </c>
      <c r="AM18" s="135">
        <v>7.8734476381518901</v>
      </c>
      <c r="AN18" s="136">
        <v>0.332061996004759</v>
      </c>
    </row>
    <row r="19" spans="2:40" x14ac:dyDescent="0.25">
      <c r="B19" s="108" t="s">
        <v>67</v>
      </c>
      <c r="C19" s="85">
        <v>9.5</v>
      </c>
      <c r="D19" s="83">
        <v>0.48</v>
      </c>
      <c r="E19" s="85">
        <v>10.199999999999999</v>
      </c>
      <c r="F19" s="83">
        <v>0.2</v>
      </c>
      <c r="G19" s="85">
        <v>9.1999999999999993</v>
      </c>
      <c r="H19" s="83">
        <v>0.47</v>
      </c>
      <c r="I19" s="85">
        <v>9.5</v>
      </c>
      <c r="J19" s="83">
        <v>0.44</v>
      </c>
      <c r="K19" s="85">
        <v>10</v>
      </c>
      <c r="L19" s="83">
        <v>0.24</v>
      </c>
      <c r="M19" s="85">
        <v>9.7852664766335202</v>
      </c>
      <c r="N19" s="83">
        <v>0.26782272775236399</v>
      </c>
      <c r="O19" s="85">
        <v>9.4444355780000002</v>
      </c>
      <c r="P19" s="83">
        <v>0.29147806399999998</v>
      </c>
      <c r="Q19" s="85">
        <v>9.4545371103565792</v>
      </c>
      <c r="R19" s="83">
        <v>0.332499000181806</v>
      </c>
      <c r="S19" s="85">
        <v>9.7026258441953903</v>
      </c>
      <c r="T19" s="83">
        <v>0.28798672550754301</v>
      </c>
      <c r="U19" s="85">
        <v>9.0439310562513793</v>
      </c>
      <c r="V19" s="83">
        <v>0.29251031598585397</v>
      </c>
      <c r="W19" s="85">
        <v>9.1999999999999993</v>
      </c>
      <c r="X19" s="83">
        <v>0.28000000000000003</v>
      </c>
      <c r="Y19" s="85">
        <v>7.4885741499999998</v>
      </c>
      <c r="Z19" s="83">
        <v>0.34481445999999999</v>
      </c>
      <c r="AA19" s="85">
        <v>7.6737860830000004</v>
      </c>
      <c r="AB19" s="83">
        <v>0.409593186</v>
      </c>
      <c r="AC19" s="85">
        <v>6.1457156975378897</v>
      </c>
      <c r="AD19" s="83">
        <v>0.30142291584454001</v>
      </c>
      <c r="AE19" s="85">
        <v>6.0737062409653202</v>
      </c>
      <c r="AF19" s="83">
        <v>0.27949921028361302</v>
      </c>
      <c r="AG19" s="85">
        <v>7.2923368100000001</v>
      </c>
      <c r="AH19" s="83">
        <v>0.38098026899999998</v>
      </c>
      <c r="AI19" s="85">
        <v>7.3</v>
      </c>
      <c r="AJ19" s="83">
        <v>0.34</v>
      </c>
      <c r="AK19" s="135">
        <v>7.5721283997729101</v>
      </c>
      <c r="AL19" s="136">
        <v>0.40285121728701101</v>
      </c>
      <c r="AM19" s="135">
        <v>8.0317523039587098</v>
      </c>
      <c r="AN19" s="136">
        <v>0.384317789322419</v>
      </c>
    </row>
    <row r="20" spans="2:40" x14ac:dyDescent="0.25">
      <c r="B20" s="108" t="s">
        <v>68</v>
      </c>
      <c r="C20" s="85">
        <v>8.6999999999999993</v>
      </c>
      <c r="D20" s="83">
        <v>0.32</v>
      </c>
      <c r="E20" s="85">
        <v>10</v>
      </c>
      <c r="F20" s="83">
        <v>0.46</v>
      </c>
      <c r="G20" s="85">
        <v>9.4</v>
      </c>
      <c r="H20" s="83">
        <v>0.4</v>
      </c>
      <c r="I20" s="85">
        <v>9.3000000000000007</v>
      </c>
      <c r="J20" s="83">
        <v>0.32</v>
      </c>
      <c r="K20" s="85">
        <v>9.6</v>
      </c>
      <c r="L20" s="83">
        <v>0.31</v>
      </c>
      <c r="M20" s="85">
        <v>9.8129168732279908</v>
      </c>
      <c r="N20" s="83">
        <v>0.31947652689988298</v>
      </c>
      <c r="O20" s="85">
        <v>9.5314004109999999</v>
      </c>
      <c r="P20" s="83">
        <v>0.30162454900000002</v>
      </c>
      <c r="Q20" s="85">
        <v>9.8903914922753895</v>
      </c>
      <c r="R20" s="83">
        <v>0.270543726710189</v>
      </c>
      <c r="S20" s="85">
        <v>9.3421180899904197</v>
      </c>
      <c r="T20" s="83">
        <v>0.36561489836959199</v>
      </c>
      <c r="U20" s="85">
        <v>9.1921130202117904</v>
      </c>
      <c r="V20" s="83">
        <v>0.28315300961283302</v>
      </c>
      <c r="W20" s="85">
        <v>8.6</v>
      </c>
      <c r="X20" s="83">
        <v>0.3</v>
      </c>
      <c r="Y20" s="85">
        <v>8.010910934</v>
      </c>
      <c r="Z20" s="83">
        <v>0.41331115800000001</v>
      </c>
      <c r="AA20" s="85">
        <v>7.652369083</v>
      </c>
      <c r="AB20" s="83">
        <v>0.33043692099999999</v>
      </c>
      <c r="AC20" s="85">
        <v>6.2767418678354998</v>
      </c>
      <c r="AD20" s="83">
        <v>0.308838770851875</v>
      </c>
      <c r="AE20" s="85">
        <v>6.0481877612860604</v>
      </c>
      <c r="AF20" s="83">
        <v>0.22549929306313601</v>
      </c>
      <c r="AG20" s="85">
        <v>6.8299207900000001</v>
      </c>
      <c r="AH20" s="83">
        <v>0.29721263999999997</v>
      </c>
      <c r="AI20" s="85">
        <v>7.3</v>
      </c>
      <c r="AJ20" s="83">
        <v>0.25</v>
      </c>
      <c r="AK20" s="135">
        <v>7.3471411894050096</v>
      </c>
      <c r="AL20" s="136">
        <v>0.292660824552823</v>
      </c>
      <c r="AM20" s="135">
        <v>7.8933104616096497</v>
      </c>
      <c r="AN20" s="136">
        <v>0.26261031591549999</v>
      </c>
    </row>
    <row r="21" spans="2:40" ht="15.75" thickBot="1" x14ac:dyDescent="0.3">
      <c r="B21" s="109" t="s">
        <v>28</v>
      </c>
      <c r="C21" s="86">
        <v>9.9</v>
      </c>
      <c r="D21" s="84">
        <v>0.49</v>
      </c>
      <c r="E21" s="86">
        <v>9.6</v>
      </c>
      <c r="F21" s="84">
        <v>0.64</v>
      </c>
      <c r="G21" s="86">
        <v>10.3</v>
      </c>
      <c r="H21" s="84">
        <v>0.37</v>
      </c>
      <c r="I21" s="86">
        <v>9.8000000000000007</v>
      </c>
      <c r="J21" s="84">
        <v>0.44</v>
      </c>
      <c r="K21" s="86">
        <v>9.6</v>
      </c>
      <c r="L21" s="84">
        <v>0.52</v>
      </c>
      <c r="M21" s="86">
        <v>9.5324675045060197</v>
      </c>
      <c r="N21" s="84">
        <v>0.38965890163496603</v>
      </c>
      <c r="O21" s="86">
        <v>9.2826250530000003</v>
      </c>
      <c r="P21" s="84">
        <v>0.48520106400000002</v>
      </c>
      <c r="Q21" s="86">
        <v>10.054408495686801</v>
      </c>
      <c r="R21" s="84">
        <v>0.455243757238672</v>
      </c>
      <c r="S21" s="86">
        <v>9.9828587956686796</v>
      </c>
      <c r="T21" s="84">
        <v>0.395367081964004</v>
      </c>
      <c r="U21" s="86">
        <v>9.8057966717960294</v>
      </c>
      <c r="V21" s="84">
        <v>0.45807720581740502</v>
      </c>
      <c r="W21" s="86">
        <v>8.3000000000000007</v>
      </c>
      <c r="X21" s="84">
        <v>0.31</v>
      </c>
      <c r="Y21" s="86">
        <v>8.1980754969999996</v>
      </c>
      <c r="Z21" s="84">
        <v>0.67319830199999997</v>
      </c>
      <c r="AA21" s="86">
        <v>7.3251284940000003</v>
      </c>
      <c r="AB21" s="84">
        <v>0.474170798</v>
      </c>
      <c r="AC21" s="86">
        <v>5.6346147873250798</v>
      </c>
      <c r="AD21" s="84">
        <v>0.31992079114765698</v>
      </c>
      <c r="AE21" s="86">
        <v>6.6807115231951002</v>
      </c>
      <c r="AF21" s="84">
        <v>0.50647420001631704</v>
      </c>
      <c r="AG21" s="86">
        <v>6.7092705820000003</v>
      </c>
      <c r="AH21" s="84">
        <v>0.54862503500000004</v>
      </c>
      <c r="AI21" s="86">
        <v>7.3</v>
      </c>
      <c r="AJ21" s="84">
        <v>0.34</v>
      </c>
      <c r="AK21" s="139">
        <v>7.5367470938978398</v>
      </c>
      <c r="AL21" s="140">
        <v>0.46097111766830001</v>
      </c>
      <c r="AM21" s="139">
        <v>7.6292243869594101</v>
      </c>
      <c r="AN21" s="140">
        <v>0.41594271211117601</v>
      </c>
    </row>
    <row r="22" spans="2:40" s="98" customFormat="1" ht="17.25" customHeight="1" x14ac:dyDescent="0.25">
      <c r="B22" s="99" t="s">
        <v>94</v>
      </c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1"/>
    </row>
    <row r="23" spans="2:40" s="102" customFormat="1" ht="18" customHeight="1" thickBot="1" x14ac:dyDescent="0.3">
      <c r="B23" s="103" t="s">
        <v>96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5"/>
    </row>
    <row r="25" spans="2:40" x14ac:dyDescent="0.25">
      <c r="AC25" s="129"/>
      <c r="AD25" s="130"/>
    </row>
    <row r="26" spans="2:40" x14ac:dyDescent="0.25">
      <c r="AC26" s="129"/>
      <c r="AD26" s="130"/>
    </row>
    <row r="27" spans="2:40" x14ac:dyDescent="0.25">
      <c r="AC27" s="129"/>
      <c r="AD27" s="130"/>
    </row>
    <row r="28" spans="2:40" x14ac:dyDescent="0.25">
      <c r="AC28" s="129"/>
      <c r="AD28" s="130"/>
    </row>
    <row r="29" spans="2:40" x14ac:dyDescent="0.25">
      <c r="AC29" s="129"/>
      <c r="AD29" s="130"/>
    </row>
    <row r="30" spans="2:40" x14ac:dyDescent="0.25">
      <c r="AC30" s="129"/>
      <c r="AD30" s="130"/>
    </row>
  </sheetData>
  <mergeCells count="19">
    <mergeCell ref="C4:D4"/>
    <mergeCell ref="E4:F4"/>
    <mergeCell ref="G4:H4"/>
    <mergeCell ref="I4:J4"/>
    <mergeCell ref="K4:L4"/>
    <mergeCell ref="AM4:AN4"/>
    <mergeCell ref="AK4:AL4"/>
    <mergeCell ref="AI4:AJ4"/>
    <mergeCell ref="W4:X4"/>
    <mergeCell ref="M4:N4"/>
    <mergeCell ref="O4:P4"/>
    <mergeCell ref="Q4:R4"/>
    <mergeCell ref="S4:T4"/>
    <mergeCell ref="U4:V4"/>
    <mergeCell ref="AG4:AH4"/>
    <mergeCell ref="AE4:AF4"/>
    <mergeCell ref="AC4:AD4"/>
    <mergeCell ref="AA4:AB4"/>
    <mergeCell ref="Y4: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T1 Economic Situation</vt:lpstr>
      <vt:lpstr>T2 Employment</vt:lpstr>
      <vt:lpstr>T3 Prices</vt:lpstr>
      <vt:lpstr>T4 Inflation</vt:lpstr>
      <vt:lpstr>T5 Income</vt:lpstr>
      <vt:lpstr>T6 Spending</vt:lpstr>
      <vt:lpstr>T7 Essential spending</vt:lpstr>
      <vt:lpstr>T8 Non-essential spending</vt:lpstr>
      <vt:lpstr>Sheet5</vt:lpstr>
      <vt:lpstr>T9 Indices</vt:lpstr>
      <vt:lpstr>T10 Household IE</vt:lpstr>
      <vt:lpstr>T10A Current</vt:lpstr>
      <vt:lpstr>T10B 1Year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Sourajyoti Sardar</dc:creator>
  <cp:lastModifiedBy>RBIWebsite Support, Manoj</cp:lastModifiedBy>
  <dcterms:created xsi:type="dcterms:W3CDTF">2024-05-22T05:27:47Z</dcterms:created>
  <dcterms:modified xsi:type="dcterms:W3CDTF">2026-10-07T11:12:45Z</dcterms:modified>
</cp:coreProperties>
</file>